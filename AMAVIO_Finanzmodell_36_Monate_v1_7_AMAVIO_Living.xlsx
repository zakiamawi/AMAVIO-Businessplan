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4d4f7be9e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4055f23e45f451f"/>
    <x:sheet xmlns:r="http://schemas.openxmlformats.org/officeDocument/2006/relationships" name="Assumptions" sheetId="2" r:id="R71607d0ccd844407"/>
    <x:sheet xmlns:r="http://schemas.openxmlformats.org/officeDocument/2006/relationships" name="Contract_Cash" sheetId="3" r:id="R851f614d029a42ff"/>
    <x:sheet xmlns:r="http://schemas.openxmlformats.org/officeDocument/2006/relationships" name="Monthly_Cash" sheetId="4" r:id="R35fd7894ffc7479c"/>
    <x:sheet xmlns:r="http://schemas.openxmlformats.org/officeDocument/2006/relationships" name="Annual_P&amp;L" sheetId="5" r:id="Ra38a4346666647ed"/>
    <x:sheet xmlns:r="http://schemas.openxmlformats.org/officeDocument/2006/relationships" name="Scenarios" sheetId="6" r:id="R943ea4736ea4422b"/>
    <x:sheet xmlns:r="http://schemas.openxmlformats.org/officeDocument/2006/relationships" name="Checks" sheetId="7" r:id="R1b95eef09d21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;[Red](€#,##0);-"/>
    <x:numFmt numFmtId="201" formatCode="0.0%;[Red](0.0%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02A43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EEF5"/>
      </x:patternFill>
    </x:fill>
  </x:fills>
  <x:borders count="4">
    <x:border/>
    <x:border>
      <x:left style="thin">
        <x:color rgb="FFB8BCC4"/>
      </x:left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double">
        <x:color rgb="FF102A4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3" fillId="3" borderId="2" xfId="0" applyNumberFormat="1" applyFont="1" applyFill="1" applyBorder="1"/>
    <x:xf numFmtId="200" fontId="0" fillId="0" borderId="2" xfId="0" applyNumberFormat="1" applyFont="1" applyFill="1" applyBorder="1"/>
    <x:xf numFmtId="200" fontId="3" fillId="3" borderId="2" xfId="0" applyNumberFormat="1" applyFont="1" applyFill="1" applyBorder="1"/>
    <x:xf numFmtId="201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008000"/>
      </x:font>
      <x:fill>
        <x:patternFill>
          <x:bgColor rgb="FFE6F4EA"/>
        </x:patternFill>
      </x:fill>
    </x:dxf>
    <x:dxf>
      <x:font>
        <x:b/>
        <x:color rgb="FF008000"/>
      </x:font>
      <x:fill>
        <x:patternFill>
          <x:bgColor rgb="FFE6F4EA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d474fc0ed4782" /><Relationship Type="http://schemas.openxmlformats.org/officeDocument/2006/relationships/theme" Target="/xl/theme/theme1.xml" Id="Rc705d1bae3d242bd" /><Relationship Type="http://schemas.openxmlformats.org/officeDocument/2006/relationships/sharedStrings" Target="/xl/sharedStrings.xml" Id="R0e52451bb08f47e1" /><Relationship Type="http://schemas.openxmlformats.org/officeDocument/2006/relationships/worksheet" Target="/xl/worksheets/sheet1.xml" Id="R44055f23e45f451f" /><Relationship Type="http://schemas.openxmlformats.org/officeDocument/2006/relationships/worksheet" Target="/xl/worksheets/sheet2.xml" Id="R71607d0ccd844407" /><Relationship Type="http://schemas.openxmlformats.org/officeDocument/2006/relationships/worksheet" Target="/xl/worksheets/sheet3.xml" Id="R851f614d029a42ff" /><Relationship Type="http://schemas.openxmlformats.org/officeDocument/2006/relationships/worksheet" Target="/xl/worksheets/sheet4.xml" Id="R35fd7894ffc7479c" /><Relationship Type="http://schemas.openxmlformats.org/officeDocument/2006/relationships/worksheet" Target="/xl/worksheets/sheet5.xml" Id="Ra38a4346666647ed" /><Relationship Type="http://schemas.openxmlformats.org/officeDocument/2006/relationships/worksheet" Target="/xl/worksheets/sheet6.xml" Id="R943ea4736ea4422b" /><Relationship Type="http://schemas.openxmlformats.org/officeDocument/2006/relationships/worksheet" Target="/xl/worksheets/sheet7.xml" Id="R1b95eef09d21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5" t="str">
        <x:v>AMAVIO | Finanzmodell 36 Monate v1.6</x:v>
      </x:c>
      <x:c r="B1" s="25"/>
      <x:c r="C1" s="25"/>
      <x:c r="D1" s="25"/>
      <x:c r="E1" s="25"/>
      <x:c r="F1" s="25"/>
      <x:c r="G1" s="25"/>
      <x:c r="H1" s="25"/>
    </x:row>
    <x:row r="2">
      <x:c r="A2" s="26" t="str">
        <x:v>P0-Remediation: Cash Collection, VAT timing, unified capital logic, corrected scenarios and checks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 t="str">
        <x:v>Version 1.7 · AMAVIO Living · commercial pricing aligned 28 July 2026</x:v>
      </x:c>
      <x:c r="C3" s="27"/>
      <x:c r="D3" s="27"/>
      <x:c r="E3" s="27"/>
      <x:c r="F3" s="27"/>
      <x:c r="G3" s="27"/>
      <x:c r="H3" s="27"/>
    </x:row>
    <x:row r="4" ht="28" customHeight="1">
      <x:c r="A4" s="28" t="str">
        <x:v>Status</x:v>
      </x:c>
      <x:c r="B4" s="28" t="str">
        <x:v>P0 CONDITIONAL – no external market clearance</x:v>
      </x:c>
      <x:c r="C4" s="27" t="str"/>
      <x:c r="D4" s="27" t="str"/>
      <x:c r="E4" s="27"/>
      <x:c r="F4" s="27"/>
      <x:c r="G4" s="27"/>
      <x:c r="H4" s="27"/>
    </x:row>
    <x:row r="5" ht="28" customHeight="1">
      <x:c r="A5" s="29" t="str">
        <x:v>Model purpose</x:v>
      </x:c>
      <x:c r="B5" s="29" t="str">
        <x:v>Plan P&amp;L and cash collections for a capital-light service business</x:v>
      </x:c>
      <x:c r="C5" s="27" t="str"/>
      <x:c r="D5" s="27" t="str"/>
      <x:c r="E5" s="27"/>
      <x:c r="F5" s="27"/>
      <x:c r="G5" s="27"/>
      <x:c r="H5" s="27"/>
    </x:row>
    <x:row r="6" ht="28" customHeight="1">
      <x:c r="A6" s="29" t="str">
        <x:v>Capital convention</x:v>
      </x:c>
      <x:c r="B6" s="29" t="str">
        <x:v>€25,000 total planned start funding: €500 share capital + €24,500 separately documented contribution/loan</x:v>
      </x:c>
      <x:c r="C6" s="27" t="str"/>
      <x:c r="D6" s="27" t="str"/>
      <x:c r="E6" s="27"/>
      <x:c r="F6" s="27"/>
      <x:c r="G6" s="27"/>
      <x:c r="H6" s="27"/>
    </x:row>
    <x:row r="7" ht="28" customHeight="1">
      <x:c r="A7" s="29" t="str">
        <x:v>Cash convention</x:v>
      </x:c>
      <x:c r="B7" s="29" t="str">
        <x:v>Cash receipts follow planned package instalments; P&amp;L revenue is separate. VAT is a timing reserve, not profit.</x:v>
      </x:c>
      <x:c r="C7" s="27" t="str"/>
      <x:c r="D7" s="27" t="str"/>
      <x:c r="E7" s="27"/>
      <x:c r="F7" s="27"/>
      <x:c r="G7" s="27"/>
      <x:c r="H7" s="27"/>
    </x:row>
    <x:row r="8" ht="28" customHeight="1">
      <x:c r="A8" s="29" t="str">
        <x:v>Limit</x:v>
      </x:c>
      <x:c r="B8" s="29" t="str">
        <x:v>No object operation, tenant deposits, customer funds, receivables financing or input-VAT recovery modelled.</x:v>
      </x:c>
      <x:c r="C8" s="27" t="str"/>
      <x:c r="D8" s="27" t="str"/>
      <x:c r="E8" s="27"/>
      <x:c r="F8" s="27"/>
      <x:c r="G8" s="27"/>
      <x:c r="H8" s="27"/>
    </x:row>
    <x:row r="9" ht="28" customHeight="1">
      <x:c r="A9" s="29" t="str">
        <x:v>Gate</x:v>
      </x:c>
      <x:c r="B9" s="29" t="str">
        <x:v>Replace planned funding by documented received funding before live cash decision.</x:v>
      </x:c>
      <x:c r="C9" s="27" t="str"/>
      <x:c r="D9" s="27" t="str"/>
      <x:c r="E9" s="27"/>
      <x:c r="F9" s="27"/>
      <x:c r="G9" s="27"/>
      <x:c r="H9" s="27"/>
    </x:row>
    <x:row r="10" ht="28" customHeight="1">
      <x:c r="A10" s="29" t="str">
        <x:v>Source</x:v>
      </x:c>
      <x:c r="B10" s="29" t="str">
        <x:v>P0 pricing: Blueprint 40/40/20; Launch 30/30/30/10; Office setup 50/50; retainer monthly in advance.</x:v>
      </x:c>
      <x:c r="C10" s="27" t="str"/>
      <x:c r="D10" s="27" t="str"/>
      <x:c r="E10" s="27"/>
      <x:c r="F10" s="27"/>
      <x:c r="G10" s="27"/>
      <x:c r="H10" s="27"/>
    </x:row>
    <x:row r="11" ht="28" customHeight="1">
      <x:c r="A11" s="29" t="str">
        <x:v>Owner</x:v>
      </x:c>
      <x:c r="B11" s="29" t="str">
        <x:v>Zaki Amawi / finance review required before use for commitments</x:v>
      </x:c>
      <x:c r="C11" s="27" t="str"/>
      <x:c r="D11" s="27" t="str"/>
      <x:c r="E11" s="27"/>
      <x:c r="F11" s="27"/>
      <x:c r="G11" s="27"/>
      <x:c r="H11" s="27"/>
    </x:row>
    <x:row r="12" ht="28" customHeight="1">
      <x:c r="A12" s="29" t="str">
        <x:v>Version date</x:v>
      </x:c>
      <x:c r="B12" s="29" t="str">
        <x:v>28 July 2026</x:v>
      </x:c>
      <x:c r="C12" s="27" t="str"/>
      <x:c r="D12" s="27" t="str"/>
      <x:c r="E12" s="27"/>
      <x:c r="F12" s="27"/>
      <x:c r="G12" s="27"/>
      <x:c r="H12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55" hidden="0" customWidth="1"/>
  </x:cols>
  <x:sheetData>
    <x:row r="1">
      <x:c r="A1" s="25" t="str">
        <x:v>AMAVIO | Inputs – edit blue cells only</x:v>
      </x:c>
      <x:c r="B1" s="25"/>
      <x:c r="C1" s="25"/>
      <x:c r="D1" s="25"/>
      <x:c r="E1" s="25"/>
      <x:c r="F1" s="25"/>
    </x:row>
    <x:row r="2">
      <x:c r="A2" s="27"/>
      <x:c r="B2" s="27"/>
      <x:c r="C2" s="27"/>
      <x:c r="D2" s="27"/>
      <x:c r="E2" s="27"/>
      <x:c r="F2" s="27"/>
    </x:row>
    <x:row r="3">
      <x:c r="A3" s="28" t="str">
        <x:v>Parameter</x:v>
      </x:c>
      <x:c r="B3" s="28" t="str">
        <x:v>Year 1</x:v>
      </x:c>
      <x:c r="C3" s="28" t="str">
        <x:v>Year 2</x:v>
      </x:c>
      <x:c r="D3" s="28" t="str">
        <x:v>Year 3</x:v>
      </x:c>
      <x:c r="E3" s="28" t="str">
        <x:v>Unit</x:v>
      </x:c>
      <x:c r="F3" s="28" t="str">
        <x:v>Note</x:v>
      </x:c>
    </x:row>
    <x:row r="4">
      <x:c r="A4" s="29" t="str">
        <x:v>Planned total start funding</x:v>
      </x:c>
      <x:c r="B4" s="30" t="n">
        <x:v>25000</x:v>
      </x:c>
      <x:c r="C4" s="30" t="n">
        <x:v>0</x:v>
      </x:c>
      <x:c r="D4" s="30" t="n">
        <x:v>0</x:v>
      </x:c>
      <x:c r="E4" s="29" t="str">
        <x:v>EUR</x:v>
      </x:c>
      <x:c r="F4" s="29" t="str">
        <x:v>€500 share capital + €24,500 documented contribution/loan; do not double count</x:v>
      </x:c>
    </x:row>
    <x:row r="5">
      <x:c r="A5" s="29" t="str">
        <x:v>Documented received start funding</x:v>
      </x:c>
      <x:c r="B5" s="30" t="n">
        <x:v>0</x:v>
      </x:c>
      <x:c r="C5" s="30" t="n">
        <x:v>0</x:v>
      </x:c>
      <x:c r="D5" s="30" t="n">
        <x:v>0</x:v>
      </x:c>
      <x:c r="E5" s="29" t="str">
        <x:v>EUR</x:v>
      </x:c>
      <x:c r="F5" s="29" t="str">
        <x:v>Set to actual received amount before live use</x:v>
      </x:c>
    </x:row>
    <x:row r="6">
      <x:c r="A6" s="29" t="str">
        <x:v>VAT rate</x:v>
      </x:c>
      <x:c r="B6" s="31" t="n">
        <x:v>0.19</x:v>
      </x:c>
      <x:c r="C6" s="31" t="n">
        <x:v>0.19</x:v>
      </x:c>
      <x:c r="D6" s="31" t="n">
        <x:v>0.19</x:v>
      </x:c>
      <x:c r="E6" s="29" t="str">
        <x:v>%</x:v>
      </x:c>
      <x:c r="F6" s="29" t="str">
        <x:v>VAT timing only; input VAT excluded</x:v>
      </x:c>
    </x:row>
    <x:row r="7">
      <x:c r="A7" s="29" t="str">
        <x:v>Variable external cost rate</x:v>
      </x:c>
      <x:c r="B7" s="31" t="n">
        <x:v>0.1</x:v>
      </x:c>
      <x:c r="C7" s="31" t="n">
        <x:v>0.12</x:v>
      </x:c>
      <x:c r="D7" s="31" t="n">
        <x:v>0.15</x:v>
      </x:c>
      <x:c r="E7" s="29" t="str">
        <x:v>% revenue</x:v>
      </x:c>
      <x:c r="F7" s="29" t="str">
        <x:v>Non-recharged service external costs</x:v>
      </x:c>
    </x:row>
    <x:row r="8">
      <x:c r="A8" s="29" t="str">
        <x:v>Monthly overhead</x:v>
      </x:c>
      <x:c r="B8" s="30" t="n">
        <x:v>1600</x:v>
      </x:c>
      <x:c r="C8" s="30" t="n">
        <x:v>2200</x:v>
      </x:c>
      <x:c r="D8" s="30" t="n">
        <x:v>3200</x:v>
      </x:c>
      <x:c r="E8" s="29" t="str">
        <x:v>EUR/month</x:v>
      </x:c>
      <x:c r="F8" s="29" t="str">
        <x:v>Software, insurance, marketing, advisers</x:v>
      </x:c>
    </x:row>
    <x:row r="9">
      <x:c r="A9" s="29" t="str">
        <x:v>Founder gross compensation</x:v>
      </x:c>
      <x:c r="B9" s="30" t="n">
        <x:v>2500</x:v>
      </x:c>
      <x:c r="C9" s="30" t="n">
        <x:v>3500</x:v>
      </x:c>
      <x:c r="D9" s="30" t="n">
        <x:v>5000</x:v>
      </x:c>
      <x:c r="E9" s="29" t="str">
        <x:v>EUR/month</x:v>
      </x:c>
      <x:c r="F9" s="29" t="str">
        <x:v>Only after GF agreement + resolution + cash gate</x:v>
      </x:c>
    </x:row>
    <x:row r="10">
      <x:c r="A10" s="29" t="str">
        <x:v>Project coordination staff</x:v>
      </x:c>
      <x:c r="B10" s="30" t="n">
        <x:v>0</x:v>
      </x:c>
      <x:c r="C10" s="30" t="n">
        <x:v>4000</x:v>
      </x:c>
      <x:c r="D10" s="30" t="n">
        <x:v>9000</x:v>
      </x:c>
      <x:c r="E10" s="29" t="str">
        <x:v>EUR/month</x:v>
      </x:c>
      <x:c r="F10" s="29" t="str">
        <x:v>Only after personnel gate</x:v>
      </x:c>
    </x:row>
    <x:row r="11">
      <x:c r="A11" s="29" t="str">
        <x:v>Depreciation</x:v>
      </x:c>
      <x:c r="B11" s="30" t="n">
        <x:v>2000</x:v>
      </x:c>
      <x:c r="C11" s="30" t="n">
        <x:v>3000</x:v>
      </x:c>
      <x:c r="D11" s="30" t="n">
        <x:v>5000</x:v>
      </x:c>
      <x:c r="E11" s="29" t="str">
        <x:v>EUR/year</x:v>
      </x:c>
      <x:c r="F11" s="29" t="str">
        <x:v>P&amp;L only</x:v>
      </x:c>
    </x:row>
    <x:row r="12">
      <x:c r="A12" s="29" t="str">
        <x:v>Capex</x:v>
      </x:c>
      <x:c r="B12" s="30" t="n">
        <x:v>2000</x:v>
      </x:c>
      <x:c r="C12" s="30" t="n">
        <x:v>8000</x:v>
      </x:c>
      <x:c r="D12" s="30" t="n">
        <x:v>15000</x:v>
      </x:c>
      <x:c r="E12" s="29" t="str">
        <x:v>EUR/year</x:v>
      </x:c>
      <x:c r="F12" s="29" t="str">
        <x:v>Cash use</x:v>
      </x:c>
    </x:row>
    <x:row r="13">
      <x:c r="A13" s="29" t="str">
        <x:v>Minimum liquidity</x:v>
      </x:c>
      <x:c r="B13" s="30" t="n">
        <x:v>10000</x:v>
      </x:c>
      <x:c r="C13" s="30" t="n">
        <x:v>15000</x:v>
      </x:c>
      <x:c r="D13" s="30" t="n">
        <x:v>25000</x:v>
      </x:c>
      <x:c r="E13" s="29" t="str">
        <x:v>EUR</x:v>
      </x:c>
      <x:c r="F13" s="29" t="str">
        <x:v>Management threshold</x:v>
      </x:c>
    </x:row>
    <x:row r="14">
      <x:c r="A14" s="29" t="str">
        <x:v>Downside revenue factor</x:v>
      </x:c>
      <x:c r="B14" s="31" t="n">
        <x:v>0.45</x:v>
      </x:c>
      <x:c r="C14" s="31" t="n">
        <x:v>0.45</x:v>
      </x:c>
      <x:c r="D14" s="31" t="n">
        <x:v>0.45</x:v>
      </x:c>
      <x:c r="E14" s="29" t="str">
        <x:v>% of Base</x:v>
      </x:c>
      <x:c r="F14" s="29" t="str">
        <x:v>Corrected to 45%</x:v>
      </x:c>
    </x:row>
    <x:row r="15">
      <x:c r="A15" s="29" t="str">
        <x:v>Growth revenue factor</x:v>
      </x:c>
      <x:c r="B15" s="31" t="n">
        <x:v>1.25</x:v>
      </x:c>
      <x:c r="C15" s="31" t="n">
        <x:v>1.25</x:v>
      </x:c>
      <x:c r="D15" s="31" t="n">
        <x:v>1.25</x:v>
      </x:c>
      <x:c r="E15" s="29" t="str">
        <x:v>% of Base</x:v>
      </x:c>
      <x:c r="F15" s="29" t="str">
        <x:v>Planning sensitivity</x:v>
      </x:c>
    </x:row>
    <x:row r="16">
      <x:c r="A16" s="29" t="str">
        <x:v>Start-year billable founder days</x:v>
      </x:c>
      <x:c r="B16" s="32" t="n">
        <x:v>102</x:v>
      </x:c>
      <x:c r="C16" s="32" t="n">
        <x:v>130</x:v>
      </x:c>
      <x:c r="D16" s="32" t="n">
        <x:v>140</x:v>
      </x:c>
      <x:c r="E16" s="29" t="str">
        <x:v>days</x:v>
      </x:c>
      <x:c r="F16" s="29" t="str">
        <x:v>Year 1 launch capacity; years 2–3 mature target capacity</x:v>
      </x:c>
    </x:row>
    <x:row r="17">
      <x:c r="A17" s="29" t="str">
        <x:v>Standard day rate</x:v>
      </x:c>
      <x:c r="B17" s="30" t="n">
        <x:v>1100</x:v>
      </x:c>
      <x:c r="C17" s="30" t="n">
        <x:v>1100</x:v>
      </x:c>
      <x:c r="D17" s="30" t="n">
        <x:v>1100</x:v>
      </x:c>
      <x:c r="E17" s="29" t="str">
        <x:v>EUR/day</x:v>
      </x:c>
      <x:c r="F17" s="29" t="str">
        <x:v>Internal calibration; packages are client-facing</x:v>
      </x:c>
    </x:row>
    <x:row r="18">
      <x:c r="A18" s="29" t="str">
        <x:v>P0 finance status</x:v>
      </x:c>
      <x:c r="B18" s="32" t="str">
        <x:v>CONDITIONAL</x:v>
      </x:c>
      <x:c r="C18" s="32" t="str">
        <x:v>CONDITIONAL</x:v>
      </x:c>
      <x:c r="D18" s="32" t="str">
        <x:v>CONDITIONAL</x:v>
      </x:c>
      <x:c r="E18" s="29" t="str">
        <x:v>status</x:v>
      </x:c>
      <x:c r="F18" s="29" t="str">
        <x:v>Requires documented funding + legal/data/brand gates before commitments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6" hidden="0" customWidth="1"/>
    <x:col min="4" max="4" width="20" hidden="0" customWidth="1"/>
    <x:col min="5" max="5" width="12" hidden="0" customWidth="1"/>
  </x:cols>
  <x:sheetData>
    <x:row r="1">
      <x:c r="A1" s="25" t="str">
        <x:v>AMAVIO | Contract value and planned cash collection schedule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7"/>
      <x:c r="AN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</x:row>
    <x:row r="3">
      <x:c r="A3" s="28" t="str">
        <x:v>Contract / package</x:v>
      </x:c>
      <x:c r="B3" s="28" t="str">
        <x:v>Year</x:v>
      </x:c>
      <x:c r="C3" s="28" t="str">
        <x:v>Net contract value</x:v>
      </x:c>
      <x:c r="D3" s="28" t="str">
        <x:v>Payment logic</x:v>
      </x:c>
      <x:c r="E3" s="28" t="str">
        <x:v>M1</x:v>
      </x:c>
      <x:c r="F3" s="28" t="str">
        <x:v>M2</x:v>
      </x:c>
      <x:c r="G3" s="28" t="str">
        <x:v>M3</x:v>
      </x:c>
      <x:c r="H3" s="28" t="str">
        <x:v>M4</x:v>
      </x:c>
      <x:c r="I3" s="28" t="str">
        <x:v>M5</x:v>
      </x:c>
      <x:c r="J3" s="28" t="str">
        <x:v>M6</x:v>
      </x:c>
      <x:c r="K3" s="28" t="str">
        <x:v>M7</x:v>
      </x:c>
      <x:c r="L3" s="28" t="str">
        <x:v>M8</x:v>
      </x:c>
      <x:c r="M3" s="28" t="str">
        <x:v>M9</x:v>
      </x:c>
      <x:c r="N3" s="28" t="str">
        <x:v>M10</x:v>
      </x:c>
      <x:c r="O3" s="28" t="str">
        <x:v>M11</x:v>
      </x:c>
      <x:c r="P3" s="28" t="str">
        <x:v>M12</x:v>
      </x:c>
      <x:c r="Q3" s="28" t="str">
        <x:v>M13</x:v>
      </x:c>
      <x:c r="R3" s="28" t="str">
        <x:v>M14</x:v>
      </x:c>
      <x:c r="S3" s="28" t="str">
        <x:v>M15</x:v>
      </x:c>
      <x:c r="T3" s="28" t="str">
        <x:v>M16</x:v>
      </x:c>
      <x:c r="U3" s="28" t="str">
        <x:v>M17</x:v>
      </x:c>
      <x:c r="V3" s="28" t="str">
        <x:v>M18</x:v>
      </x:c>
      <x:c r="W3" s="28" t="str">
        <x:v>M19</x:v>
      </x:c>
      <x:c r="X3" s="28" t="str">
        <x:v>M20</x:v>
      </x:c>
      <x:c r="Y3" s="28" t="str">
        <x:v>M21</x:v>
      </x:c>
      <x:c r="Z3" s="28" t="str">
        <x:v>M22</x:v>
      </x:c>
      <x:c r="AA3" s="28" t="str">
        <x:v>M23</x:v>
      </x:c>
      <x:c r="AB3" s="28" t="str">
        <x:v>M24</x:v>
      </x:c>
      <x:c r="AC3" s="28" t="str">
        <x:v>M25</x:v>
      </x:c>
      <x:c r="AD3" s="28" t="str">
        <x:v>M26</x:v>
      </x:c>
      <x:c r="AE3" s="28" t="str">
        <x:v>M27</x:v>
      </x:c>
      <x:c r="AF3" s="28" t="str">
        <x:v>M28</x:v>
      </x:c>
      <x:c r="AG3" s="28" t="str">
        <x:v>M29</x:v>
      </x:c>
      <x:c r="AH3" s="28" t="str">
        <x:v>M30</x:v>
      </x:c>
      <x:c r="AI3" s="28" t="str">
        <x:v>M31</x:v>
      </x:c>
      <x:c r="AJ3" s="28" t="str">
        <x:v>M32</x:v>
      </x:c>
      <x:c r="AK3" s="28" t="str">
        <x:v>M33</x:v>
      </x:c>
      <x:c r="AL3" s="28" t="str">
        <x:v>M34</x:v>
      </x:c>
      <x:c r="AM3" s="28" t="str">
        <x:v>M35</x:v>
      </x:c>
      <x:c r="AN3" s="28" t="str">
        <x:v>M36</x:v>
      </x:c>
    </x:row>
    <x:row r="4">
      <x:c r="A4" s="33" t="str">
        <x:v>Blueprint 01</x:v>
      </x:c>
      <x:c r="B4" s="33" t="n">
        <x:v>1</x:v>
      </x:c>
      <x:c r="C4" s="34" t="n">
        <x:v>12500</x:v>
      </x:c>
      <x:c r="D4" s="35" t="str">
        <x:v>40 / 40 / 20</x:v>
      </x:c>
      <x:c r="E4" s="35" t="n">
        <x:v>0</x:v>
      </x:c>
      <x:c r="F4" s="35" t="n">
        <x:v>0</x:v>
      </x:c>
      <x:c r="G4" s="35" t="n">
        <x:f>12500*0.4</x:f>
        <x:v>5000</x:v>
      </x:c>
      <x:c r="H4" s="35" t="n">
        <x:f>12500*0.4</x:f>
        <x:v>5000</x:v>
      </x:c>
      <x:c r="I4" s="35" t="n">
        <x:f>12500*0.2</x:f>
        <x:v>2500</x:v>
      </x:c>
      <x:c r="J4" s="35" t="n">
        <x:v>0</x:v>
      </x:c>
      <x:c r="K4" s="35" t="n">
        <x:v>0</x:v>
      </x:c>
      <x:c r="L4" s="35" t="n">
        <x:v>0</x:v>
      </x:c>
      <x:c r="M4" s="35" t="n">
        <x:v>0</x:v>
      </x:c>
      <x:c r="N4" s="35" t="n">
        <x:v>0</x:v>
      </x:c>
      <x:c r="O4" s="35" t="n">
        <x:v>0</x:v>
      </x:c>
      <x:c r="P4" s="35" t="n">
        <x:v>0</x:v>
      </x:c>
      <x:c r="Q4" s="35" t="n">
        <x:v>0</x:v>
      </x:c>
      <x:c r="R4" s="35" t="n">
        <x:v>0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n">
        <x:v>0</x:v>
      </x:c>
      <x:c r="Y4" s="35" t="n">
        <x:v>0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</x:row>
    <x:row r="5">
      <x:c r="A5" s="33" t="str">
        <x:v>Blueprint 02</x:v>
      </x:c>
      <x:c r="B5" s="33" t="n">
        <x:v>1</x:v>
      </x:c>
      <x:c r="C5" s="34" t="n">
        <x:v>12500</x:v>
      </x:c>
      <x:c r="D5" s="35" t="str">
        <x:v>40 / 40 / 20</x:v>
      </x:c>
      <x:c r="E5" s="35" t="n">
        <x:v>0</x:v>
      </x:c>
      <x:c r="F5" s="35" t="n">
        <x:v>0</x:v>
      </x:c>
      <x:c r="G5" s="35" t="n">
        <x:v>0</x:v>
      </x:c>
      <x:c r="H5" s="35" t="n">
        <x:v>0</x:v>
      </x:c>
      <x:c r="I5" s="35" t="n">
        <x:v>0</x:v>
      </x:c>
      <x:c r="J5" s="35" t="n">
        <x:f>12500*0.4</x:f>
        <x:v>5000</x:v>
      </x:c>
      <x:c r="K5" s="35" t="n">
        <x:f>12500*0.4</x:f>
        <x:v>5000</x:v>
      </x:c>
      <x:c r="L5" s="35" t="n">
        <x:f>12500*0.2</x:f>
        <x:v>2500</x:v>
      </x:c>
      <x:c r="M5" s="35" t="n">
        <x:v>0</x:v>
      </x:c>
      <x:c r="N5" s="35" t="n">
        <x:v>0</x:v>
      </x:c>
      <x:c r="O5" s="35" t="n">
        <x:v>0</x:v>
      </x:c>
      <x:c r="P5" s="35" t="n">
        <x:v>0</x:v>
      </x:c>
      <x:c r="Q5" s="35" t="n">
        <x:v>0</x:v>
      </x:c>
      <x:c r="R5" s="35" t="n">
        <x:v>0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n">
        <x:v>0</x:v>
      </x:c>
      <x:c r="Y5" s="35" t="n">
        <x:v>0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</x:row>
    <x:row r="6">
      <x:c r="A6" s="33" t="str">
        <x:v>Launch 01</x:v>
      </x:c>
      <x:c r="B6" s="33" t="n">
        <x:v>1</x:v>
      </x:c>
      <x:c r="C6" s="34" t="n">
        <x:v>29500</x:v>
      </x:c>
      <x:c r="D6" s="35" t="str">
        <x:v>30 / 30 / 30 / 10</x:v>
      </x:c>
      <x:c r="E6" s="35" t="n">
        <x:v>0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8850</x:v>
      </x:c>
      <x:c r="L6" s="35" t="n">
        <x:v>8850</x:v>
      </x:c>
      <x:c r="M6" s="35" t="n">
        <x:v>8850</x:v>
      </x:c>
      <x:c r="N6" s="35" t="n">
        <x:v>2950</x:v>
      </x:c>
      <x:c r="O6" s="35" t="n">
        <x:v>0</x:v>
      </x:c>
      <x:c r="P6" s="35" t="n">
        <x:v>0</x:v>
      </x:c>
      <x:c r="Q6" s="35" t="n">
        <x:v>0</x:v>
      </x:c>
      <x:c r="R6" s="35" t="n">
        <x:v>0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n">
        <x:v>0</x:v>
      </x:c>
      <x:c r="Y6" s="35" t="n">
        <x:v>0</x:v>
      </x:c>
      <x:c r="Z6" s="35" t="n">
        <x:v>0</x:v>
      </x:c>
      <x:c r="AA6" s="35" t="n">
        <x:v>0</x:v>
      </x:c>
      <x:c r="AB6" s="35" t="n">
        <x:v>0</x:v>
      </x:c>
      <x:c r="AC6" s="35" t="n">
        <x:v>0</x:v>
      </x:c>
      <x:c r="AD6" s="35" t="n">
        <x:v>0</x:v>
      </x:c>
      <x:c r="AE6" s="35" t="n">
        <x:v>0</x:v>
      </x:c>
      <x:c r="AF6" s="35" t="n">
        <x:v>0</x:v>
      </x:c>
      <x:c r="AG6" s="35" t="n">
        <x:v>0</x:v>
      </x:c>
      <x:c r="AH6" s="35" t="n">
        <x:v>0</x:v>
      </x:c>
      <x:c r="AI6" s="35" t="n">
        <x:v>0</x:v>
      </x:c>
      <x:c r="AJ6" s="35" t="n">
        <x:v>0</x:v>
      </x:c>
      <x:c r="AK6" s="35" t="n">
        <x:v>0</x:v>
      </x:c>
      <x:c r="AL6" s="35" t="n">
        <x:v>0</x:v>
      </x:c>
      <x:c r="AM6" s="35" t="n">
        <x:v>0</x:v>
      </x:c>
      <x:c r="AN6" s="35" t="n">
        <x:v>0</x:v>
      </x:c>
    </x:row>
    <x:row r="7">
      <x:c r="A7" s="33" t="str">
        <x:v>Office Setup 01</x:v>
      </x:c>
      <x:c r="B7" s="33" t="n">
        <x:v>1</x:v>
      </x:c>
      <x:c r="C7" s="34" t="n">
        <x:v>15000</x:v>
      </x:c>
      <x:c r="D7" s="35" t="str">
        <x:v>50 / 50</x:v>
      </x:c>
      <x:c r="E7" s="35" t="n">
        <x:v>0</x:v>
      </x:c>
      <x:c r="F7" s="35" t="n">
        <x:v>0</x:v>
      </x:c>
      <x:c r="G7" s="35" t="n">
        <x:v>0</x:v>
      </x:c>
      <x:c r="H7" s="35" t="n">
        <x:v>0</x:v>
      </x:c>
      <x:c r="I7" s="35" t="n">
        <x:v>0</x:v>
      </x:c>
      <x:c r="J7" s="35" t="n">
        <x:v>0</x:v>
      </x:c>
      <x:c r="K7" s="35" t="n">
        <x:v>0</x:v>
      </x:c>
      <x:c r="L7" s="35" t="n">
        <x:v>0</x:v>
      </x:c>
      <x:c r="M7" s="35" t="n">
        <x:v>0</x:v>
      </x:c>
      <x:c r="N7" s="35" t="n">
        <x:f>15000*0.5</x:f>
        <x:v>7500</x:v>
      </x:c>
      <x:c r="O7" s="35" t="n">
        <x:f>15000*0.5</x:f>
        <x:v>7500</x:v>
      </x:c>
      <x:c r="P7" s="35" t="n">
        <x:v>0</x:v>
      </x:c>
      <x:c r="Q7" s="35" t="n">
        <x:v>0</x:v>
      </x:c>
      <x:c r="R7" s="35" t="n">
        <x:v>0</x:v>
      </x:c>
      <x:c r="S7" s="35" t="n">
        <x:v>0</x:v>
      </x:c>
      <x:c r="T7" s="35" t="n">
        <x:v>0</x:v>
      </x:c>
      <x:c r="U7" s="35" t="n">
        <x:v>0</x:v>
      </x:c>
      <x:c r="V7" s="35" t="n">
        <x:v>0</x:v>
      </x:c>
      <x:c r="W7" s="35" t="n">
        <x:v>0</x:v>
      </x:c>
      <x:c r="X7" s="35" t="n">
        <x:v>0</x:v>
      </x:c>
      <x:c r="Y7" s="35" t="n">
        <x:v>0</x:v>
      </x:c>
      <x:c r="Z7" s="35" t="n">
        <x:v>0</x:v>
      </x:c>
      <x:c r="AA7" s="35" t="n">
        <x:v>0</x:v>
      </x:c>
      <x:c r="AB7" s="35" t="n">
        <x:v>0</x:v>
      </x:c>
      <x:c r="AC7" s="35" t="n">
        <x:v>0</x:v>
      </x:c>
      <x:c r="AD7" s="35" t="n">
        <x:v>0</x:v>
      </x:c>
      <x:c r="AE7" s="35" t="n">
        <x:v>0</x:v>
      </x:c>
      <x:c r="AF7" s="35" t="n">
        <x:v>0</x:v>
      </x:c>
      <x:c r="AG7" s="35" t="n">
        <x:v>0</x:v>
      </x:c>
      <x:c r="AH7" s="35" t="n">
        <x:v>0</x:v>
      </x:c>
      <x:c r="AI7" s="35" t="n">
        <x:v>0</x:v>
      </x:c>
      <x:c r="AJ7" s="35" t="n">
        <x:v>0</x:v>
      </x:c>
      <x:c r="AK7" s="35" t="n">
        <x:v>0</x:v>
      </x:c>
      <x:c r="AL7" s="35" t="n">
        <x:v>0</x:v>
      </x:c>
      <x:c r="AM7" s="35" t="n">
        <x:v>0</x:v>
      </x:c>
      <x:c r="AN7" s="35" t="n">
        <x:v>0</x:v>
      </x:c>
    </x:row>
    <x:row r="8">
      <x:c r="A8" s="33" t="str">
        <x:v>Retainer 01</x:v>
      </x:c>
      <x:c r="B8" s="33" t="n">
        <x:v>1</x:v>
      </x:c>
      <x:c r="C8" s="34" t="n">
        <x:v>13500</x:v>
      </x:c>
      <x:c r="D8" s="35" t="str">
        <x:v>monthly in advance</x:v>
      </x:c>
      <x:c r="E8" s="35" t="n">
        <x:v>0</x:v>
      </x:c>
      <x:c r="F8" s="35" t="n">
        <x:v>0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0</x:v>
      </x:c>
      <x:c r="L8" s="35" t="n">
        <x:v>0</x:v>
      </x:c>
      <x:c r="M8" s="35" t="n">
        <x:v>0</x:v>
      </x:c>
      <x:c r="N8" s="35" t="n">
        <x:f>13500*0.3333333333333333</x:f>
        <x:v>4500</x:v>
      </x:c>
      <x:c r="O8" s="35" t="n">
        <x:f>13500*0.3333333333333333</x:f>
        <x:v>4500</x:v>
      </x:c>
      <x:c r="P8" s="35" t="n">
        <x:f>13500*0.3333333333333333</x:f>
        <x:v>4500</x:v>
      </x:c>
      <x:c r="Q8" s="35" t="n">
        <x:v>0</x:v>
      </x:c>
      <x:c r="R8" s="35" t="n">
        <x:v>0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n">
        <x:v>0</x:v>
      </x:c>
      <x:c r="Y8" s="35" t="n">
        <x:v>0</x:v>
      </x:c>
      <x:c r="Z8" s="35" t="n">
        <x:v>0</x:v>
      </x:c>
      <x:c r="AA8" s="35" t="n">
        <x:v>0</x:v>
      </x:c>
      <x:c r="AB8" s="35" t="n">
        <x:v>0</x:v>
      </x:c>
      <x:c r="AC8" s="35" t="n">
        <x:v>0</x:v>
      </x:c>
      <x:c r="AD8" s="35" t="n">
        <x:v>0</x:v>
      </x:c>
      <x:c r="AE8" s="35" t="n">
        <x:v>0</x:v>
      </x:c>
      <x:c r="AF8" s="35" t="n">
        <x:v>0</x:v>
      </x:c>
      <x:c r="AG8" s="35" t="n">
        <x:v>0</x:v>
      </x:c>
      <x:c r="AH8" s="35" t="n">
        <x:v>0</x:v>
      </x:c>
      <x:c r="AI8" s="35" t="n">
        <x:v>0</x:v>
      </x:c>
      <x:c r="AJ8" s="35" t="n">
        <x:v>0</x:v>
      </x:c>
      <x:c r="AK8" s="35" t="n">
        <x:v>0</x:v>
      </x:c>
      <x:c r="AL8" s="35" t="n">
        <x:v>0</x:v>
      </x:c>
      <x:c r="AM8" s="35" t="n">
        <x:v>0</x:v>
      </x:c>
      <x:c r="AN8" s="35" t="n">
        <x:v>0</x:v>
      </x:c>
    </x:row>
    <x:row r="9">
      <x:c r="A9" s="33" t="str">
        <x:v>Add-ons 01</x:v>
      </x:c>
      <x:c r="B9" s="33" t="n">
        <x:v>1</x:v>
      </x:c>
      <x:c r="C9" s="34" t="n">
        <x:v>10500</x:v>
      </x:c>
      <x:c r="D9" s="35" t="str">
        <x:v>approved scope</x:v>
      </x:c>
      <x:c r="E9" s="35" t="n">
        <x:v>0</x:v>
      </x:c>
      <x:c r="F9" s="35" t="n">
        <x:v>0</x:v>
      </x:c>
      <x:c r="G9" s="35" t="n">
        <x:v>0</x:v>
      </x:c>
      <x:c r="H9" s="35" t="n">
        <x:v>0</x:v>
      </x:c>
      <x:c r="I9" s="35" t="n">
        <x:v>0</x:v>
      </x:c>
      <x:c r="J9" s="35" t="n">
        <x:v>0</x:v>
      </x:c>
      <x:c r="K9" s="35" t="n">
        <x:v>0</x:v>
      </x:c>
      <x:c r="L9" s="35" t="n">
        <x:v>0</x:v>
      </x:c>
      <x:c r="M9" s="35" t="n">
        <x:v>0</x:v>
      </x:c>
      <x:c r="N9" s="35" t="n">
        <x:f>10500*0.3333333333333333</x:f>
        <x:v>3500</x:v>
      </x:c>
      <x:c r="O9" s="35" t="n">
        <x:f>10500*0.3333333333333333</x:f>
        <x:v>3500</x:v>
      </x:c>
      <x:c r="P9" s="35" t="n">
        <x:f>10500*0.3333333333333333</x:f>
        <x:v>3500</x:v>
      </x:c>
      <x:c r="Q9" s="35" t="n">
        <x:v>0</x:v>
      </x:c>
      <x:c r="R9" s="35" t="n">
        <x:v>0</x:v>
      </x:c>
      <x:c r="S9" s="35" t="n">
        <x:v>0</x:v>
      </x:c>
      <x:c r="T9" s="35" t="n">
        <x:v>0</x:v>
      </x:c>
      <x:c r="U9" s="35" t="n">
        <x:v>0</x:v>
      </x:c>
      <x:c r="V9" s="35" t="n">
        <x:v>0</x:v>
      </x:c>
      <x:c r="W9" s="35" t="n">
        <x:v>0</x:v>
      </x:c>
      <x:c r="X9" s="35" t="n">
        <x:v>0</x:v>
      </x:c>
      <x:c r="Y9" s="35" t="n">
        <x:v>0</x:v>
      </x:c>
      <x:c r="Z9" s="35" t="n">
        <x:v>0</x:v>
      </x:c>
      <x:c r="AA9" s="35" t="n">
        <x:v>0</x:v>
      </x:c>
      <x:c r="AB9" s="35" t="n">
        <x:v>0</x:v>
      </x:c>
      <x:c r="AC9" s="35" t="n">
        <x:v>0</x:v>
      </x:c>
      <x:c r="AD9" s="35" t="n">
        <x:v>0</x:v>
      </x:c>
      <x:c r="AE9" s="35" t="n">
        <x:v>0</x:v>
      </x:c>
      <x:c r="AF9" s="35" t="n">
        <x:v>0</x:v>
      </x:c>
      <x:c r="AG9" s="35" t="n">
        <x:v>0</x:v>
      </x:c>
      <x:c r="AH9" s="35" t="n">
        <x:v>0</x:v>
      </x:c>
      <x:c r="AI9" s="35" t="n">
        <x:v>0</x:v>
      </x:c>
      <x:c r="AJ9" s="35" t="n">
        <x:v>0</x:v>
      </x:c>
      <x:c r="AK9" s="35" t="n">
        <x:v>0</x:v>
      </x:c>
      <x:c r="AL9" s="35" t="n">
        <x:v>0</x:v>
      </x:c>
      <x:c r="AM9" s="35" t="n">
        <x:v>0</x:v>
      </x:c>
      <x:c r="AN9" s="35" t="n">
        <x:v>0</x:v>
      </x:c>
    </x:row>
    <x:row r="10">
      <x:c r="A10" s="33" t="str">
        <x:v>Blueprint 03</x:v>
      </x:c>
      <x:c r="B10" s="33" t="n">
        <x:v>2</x:v>
      </x:c>
      <x:c r="C10" s="34" t="n">
        <x:v>21000</x:v>
      </x:c>
      <x:c r="D10" s="35" t="str">
        <x:v>40 / 40 / 20</x:v>
      </x:c>
      <x:c r="E10" s="35" t="n">
        <x:v>0</x:v>
      </x:c>
      <x:c r="F10" s="35" t="n">
        <x:v>0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</x:v>
      </x:c>
      <x:c r="O10" s="35" t="n">
        <x:v>0</x:v>
      </x:c>
      <x:c r="P10" s="35" t="n">
        <x:v>0</x:v>
      </x:c>
      <x:c r="Q10" s="35" t="n">
        <x:f>21000*0.4</x:f>
        <x:v>8400</x:v>
      </x:c>
      <x:c r="R10" s="35" t="n">
        <x:f>21000*0.4</x:f>
        <x:v>8400</x:v>
      </x:c>
      <x:c r="S10" s="35" t="n">
        <x:f>21000*0.2</x:f>
        <x:v>4200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n">
        <x:v>0</x:v>
      </x:c>
      <x:c r="Y10" s="35" t="n">
        <x:v>0</x:v>
      </x:c>
      <x:c r="Z10" s="35" t="n">
        <x:v>0</x:v>
      </x:c>
      <x:c r="AA10" s="35" t="n">
        <x:v>0</x:v>
      </x:c>
      <x:c r="AB10" s="35" t="n">
        <x:v>0</x:v>
      </x:c>
      <x:c r="AC10" s="35" t="n">
        <x:v>0</x:v>
      </x:c>
      <x:c r="AD10" s="35" t="n">
        <x:v>0</x:v>
      </x:c>
      <x:c r="AE10" s="35" t="n">
        <x:v>0</x:v>
      </x:c>
      <x:c r="AF10" s="35" t="n">
        <x:v>0</x:v>
      </x:c>
      <x:c r="AG10" s="35" t="n">
        <x:v>0</x:v>
      </x:c>
      <x:c r="AH10" s="35" t="n">
        <x:v>0</x:v>
      </x:c>
      <x:c r="AI10" s="35" t="n">
        <x:v>0</x:v>
      </x:c>
      <x:c r="AJ10" s="35" t="n">
        <x:v>0</x:v>
      </x:c>
      <x:c r="AK10" s="35" t="n">
        <x:v>0</x:v>
      </x:c>
      <x:c r="AL10" s="35" t="n">
        <x:v>0</x:v>
      </x:c>
      <x:c r="AM10" s="35" t="n">
        <x:v>0</x:v>
      </x:c>
      <x:c r="AN10" s="35" t="n">
        <x:v>0</x:v>
      </x:c>
    </x:row>
    <x:row r="11">
      <x:c r="A11" s="33" t="str">
        <x:v>Blueprint 04</x:v>
      </x:c>
      <x:c r="B11" s="33" t="n">
        <x:v>2</x:v>
      </x:c>
      <x:c r="C11" s="34" t="n">
        <x:v>21000</x:v>
      </x:c>
      <x:c r="D11" s="35" t="str">
        <x:v>40 / 40 / 20</x:v>
      </x:c>
      <x:c r="E11" s="35" t="n">
        <x:v>0</x:v>
      </x:c>
      <x:c r="F11" s="35" t="n">
        <x:v>0</x:v>
      </x:c>
      <x:c r="G11" s="35" t="n">
        <x:v>0</x:v>
      </x:c>
      <x:c r="H11" s="35" t="n">
        <x:v>0</x:v>
      </x:c>
      <x:c r="I11" s="35" t="n">
        <x:v>0</x:v>
      </x:c>
      <x:c r="J11" s="35" t="n">
        <x:v>0</x:v>
      </x:c>
      <x:c r="K11" s="35" t="n">
        <x:v>0</x:v>
      </x:c>
      <x:c r="L11" s="35" t="n">
        <x:v>0</x:v>
      </x:c>
      <x:c r="M11" s="35" t="n">
        <x:v>0</x:v>
      </x:c>
      <x:c r="N11" s="35" t="n">
        <x:v>0</x:v>
      </x:c>
      <x:c r="O11" s="35" t="n">
        <x:v>0</x:v>
      </x:c>
      <x:c r="P11" s="35" t="n">
        <x:v>0</x:v>
      </x:c>
      <x:c r="Q11" s="35" t="n">
        <x:v>0</x:v>
      </x:c>
      <x:c r="R11" s="35" t="n">
        <x:v>0</x:v>
      </x:c>
      <x:c r="S11" s="35" t="n">
        <x:v>0</x:v>
      </x:c>
      <x:c r="T11" s="35" t="n">
        <x:f>21000*0.4</x:f>
        <x:v>8400</x:v>
      </x:c>
      <x:c r="U11" s="35" t="n">
        <x:f>21000*0.4</x:f>
        <x:v>8400</x:v>
      </x:c>
      <x:c r="V11" s="35" t="n">
        <x:f>21000*0.2</x:f>
        <x:v>4200</x:v>
      </x:c>
      <x:c r="W11" s="35" t="n">
        <x:v>0</x:v>
      </x:c>
      <x:c r="X11" s="35" t="n">
        <x:v>0</x:v>
      </x:c>
      <x:c r="Y11" s="35" t="n">
        <x:v>0</x:v>
      </x:c>
      <x:c r="Z11" s="35" t="n">
        <x:v>0</x:v>
      </x:c>
      <x:c r="AA11" s="35" t="n">
        <x:v>0</x:v>
      </x:c>
      <x:c r="AB11" s="35" t="n">
        <x:v>0</x:v>
      </x:c>
      <x:c r="AC11" s="35" t="n">
        <x:v>0</x:v>
      </x:c>
      <x:c r="AD11" s="35" t="n">
        <x:v>0</x:v>
      </x:c>
      <x:c r="AE11" s="35" t="n">
        <x:v>0</x:v>
      </x:c>
      <x:c r="AF11" s="35" t="n">
        <x:v>0</x:v>
      </x:c>
      <x:c r="AG11" s="35" t="n">
        <x:v>0</x:v>
      </x:c>
      <x:c r="AH11" s="35" t="n">
        <x:v>0</x:v>
      </x:c>
      <x:c r="AI11" s="35" t="n">
        <x:v>0</x:v>
      </x:c>
      <x:c r="AJ11" s="35" t="n">
        <x:v>0</x:v>
      </x:c>
      <x:c r="AK11" s="35" t="n">
        <x:v>0</x:v>
      </x:c>
      <x:c r="AL11" s="35" t="n">
        <x:v>0</x:v>
      </x:c>
      <x:c r="AM11" s="35" t="n">
        <x:v>0</x:v>
      </x:c>
      <x:c r="AN11" s="35" t="n">
        <x:v>0</x:v>
      </x:c>
    </x:row>
    <x:row r="12">
      <x:c r="A12" s="33" t="str">
        <x:v>Blueprint 05</x:v>
      </x:c>
      <x:c r="B12" s="33" t="n">
        <x:v>2</x:v>
      </x:c>
      <x:c r="C12" s="34" t="n">
        <x:v>21000</x:v>
      </x:c>
      <x:c r="D12" s="35" t="str">
        <x:v>40 / 40 / 20</x:v>
      </x:c>
      <x:c r="E12" s="35" t="n">
        <x:v>0</x:v>
      </x:c>
      <x:c r="F12" s="35" t="n">
        <x:v>0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0</x:v>
      </x:c>
      <x:c r="L12" s="35" t="n">
        <x:v>0</x:v>
      </x:c>
      <x:c r="M12" s="35" t="n">
        <x:v>0</x:v>
      </x:c>
      <x:c r="N12" s="35" t="n">
        <x:v>0</x:v>
      </x:c>
      <x:c r="O12" s="35" t="n">
        <x:v>0</x:v>
      </x:c>
      <x:c r="P12" s="35" t="n">
        <x:v>0</x:v>
      </x:c>
      <x:c r="Q12" s="35" t="n">
        <x:v>0</x:v>
      </x:c>
      <x:c r="R12" s="35" t="n">
        <x:v>0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f>21000*0.4</x:f>
        <x:v>8400</x:v>
      </x:c>
      <x:c r="X12" s="35" t="n">
        <x:f>21000*0.4</x:f>
        <x:v>8400</x:v>
      </x:c>
      <x:c r="Y12" s="35" t="n">
        <x:f>21000*0.2</x:f>
        <x:v>4200</x:v>
      </x:c>
      <x:c r="Z12" s="35" t="n">
        <x:v>0</x:v>
      </x:c>
      <x:c r="AA12" s="35" t="n">
        <x:v>0</x:v>
      </x:c>
      <x:c r="AB12" s="35" t="n">
        <x:v>0</x:v>
      </x:c>
      <x:c r="AC12" s="35" t="n">
        <x:v>0</x:v>
      </x:c>
      <x:c r="AD12" s="35" t="n">
        <x:v>0</x:v>
      </x:c>
      <x:c r="AE12" s="35" t="n">
        <x:v>0</x:v>
      </x:c>
      <x:c r="AF12" s="35" t="n">
        <x:v>0</x:v>
      </x:c>
      <x:c r="AG12" s="35" t="n">
        <x:v>0</x:v>
      </x:c>
      <x:c r="AH12" s="35" t="n">
        <x:v>0</x:v>
      </x:c>
      <x:c r="AI12" s="35" t="n">
        <x:v>0</x:v>
      </x:c>
      <x:c r="AJ12" s="35" t="n">
        <x:v>0</x:v>
      </x:c>
      <x:c r="AK12" s="35" t="n">
        <x:v>0</x:v>
      </x:c>
      <x:c r="AL12" s="35" t="n">
        <x:v>0</x:v>
      </x:c>
      <x:c r="AM12" s="35" t="n">
        <x:v>0</x:v>
      </x:c>
      <x:c r="AN12" s="35" t="n">
        <x:v>0</x:v>
      </x:c>
    </x:row>
    <x:row r="13">
      <x:c r="A13" s="33" t="str">
        <x:v>Launch 02</x:v>
      </x:c>
      <x:c r="B13" s="33" t="n">
        <x:v>2</x:v>
      </x:c>
      <x:c r="C13" s="34" t="n">
        <x:v>50000</x:v>
      </x:c>
      <x:c r="D13" s="35" t="str">
        <x:v>30 / 30 / 30 / 10</x:v>
      </x:c>
      <x:c r="E13" s="35" t="n">
        <x:v>0</x:v>
      </x:c>
      <x:c r="F13" s="35" t="n">
        <x:v>0</x:v>
      </x:c>
      <x:c r="G13" s="35" t="n">
        <x:v>0</x:v>
      </x:c>
      <x:c r="H13" s="35" t="n">
        <x:v>0</x:v>
      </x:c>
      <x:c r="I13" s="35" t="n">
        <x:v>0</x:v>
      </x:c>
      <x:c r="J13" s="35" t="n">
        <x:v>0</x:v>
      </x:c>
      <x:c r="K13" s="35" t="n">
        <x:v>0</x:v>
      </x:c>
      <x:c r="L13" s="35" t="n">
        <x:v>0</x:v>
      </x:c>
      <x:c r="M13" s="35" t="n">
        <x:v>0</x:v>
      </x:c>
      <x:c r="N13" s="35" t="n">
        <x:v>0</x:v>
      </x:c>
      <x:c r="O13" s="35" t="n">
        <x:v>0</x:v>
      </x:c>
      <x:c r="P13" s="35" t="n">
        <x:v>0</x:v>
      </x:c>
      <x:c r="Q13" s="35" t="n">
        <x:v>0</x:v>
      </x:c>
      <x:c r="R13" s="35" t="n">
        <x:f>50000*0.3</x:f>
        <x:v>15000</x:v>
      </x:c>
      <x:c r="S13" s="35" t="n">
        <x:f>50000*0.3</x:f>
        <x:v>15000</x:v>
      </x:c>
      <x:c r="T13" s="35" t="n">
        <x:f>50000*0.3</x:f>
        <x:v>15000</x:v>
      </x:c>
      <x:c r="U13" s="35" t="n">
        <x:f>50000*0.1</x:f>
        <x:v>5000</x:v>
      </x:c>
      <x:c r="V13" s="35" t="n">
        <x:v>0</x:v>
      </x:c>
      <x:c r="W13" s="35" t="n">
        <x:v>0</x:v>
      </x:c>
      <x:c r="X13" s="35" t="n">
        <x:v>0</x:v>
      </x:c>
      <x:c r="Y13" s="35" t="n">
        <x:v>0</x:v>
      </x:c>
      <x:c r="Z13" s="35" t="n">
        <x:v>0</x:v>
      </x:c>
      <x:c r="AA13" s="35" t="n">
        <x:v>0</x:v>
      </x:c>
      <x:c r="AB13" s="35" t="n">
        <x:v>0</x:v>
      </x:c>
      <x:c r="AC13" s="35" t="n">
        <x:v>0</x:v>
      </x:c>
      <x:c r="AD13" s="35" t="n">
        <x:v>0</x:v>
      </x:c>
      <x:c r="AE13" s="35" t="n">
        <x:v>0</x:v>
      </x:c>
      <x:c r="AF13" s="35" t="n">
        <x:v>0</x:v>
      </x:c>
      <x:c r="AG13" s="35" t="n">
        <x:v>0</x:v>
      </x:c>
      <x:c r="AH13" s="35" t="n">
        <x:v>0</x:v>
      </x:c>
      <x:c r="AI13" s="35" t="n">
        <x:v>0</x:v>
      </x:c>
      <x:c r="AJ13" s="35" t="n">
        <x:v>0</x:v>
      </x:c>
      <x:c r="AK13" s="35" t="n">
        <x:v>0</x:v>
      </x:c>
      <x:c r="AL13" s="35" t="n">
        <x:v>0</x:v>
      </x:c>
      <x:c r="AM13" s="35" t="n">
        <x:v>0</x:v>
      </x:c>
      <x:c r="AN13" s="35" t="n">
        <x:v>0</x:v>
      </x:c>
    </x:row>
    <x:row r="14">
      <x:c r="A14" s="33" t="str">
        <x:v>Launch 03</x:v>
      </x:c>
      <x:c r="B14" s="33" t="n">
        <x:v>2</x:v>
      </x:c>
      <x:c r="C14" s="34" t="n">
        <x:v>50000</x:v>
      </x:c>
      <x:c r="D14" s="35" t="str">
        <x:v>30 / 30 / 30 / 10</x:v>
      </x:c>
      <x:c r="E14" s="35" t="n">
        <x:v>0</x:v>
      </x:c>
      <x:c r="F14" s="35" t="n">
        <x:v>0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0</x:v>
      </x:c>
      <x:c r="L14" s="35" t="n">
        <x:v>0</x:v>
      </x:c>
      <x:c r="M14" s="35" t="n">
        <x:v>0</x:v>
      </x:c>
      <x:c r="N14" s="35" t="n">
        <x:v>0</x:v>
      </x:c>
      <x:c r="O14" s="35" t="n">
        <x:v>0</x:v>
      </x:c>
      <x:c r="P14" s="35" t="n">
        <x:v>0</x:v>
      </x:c>
      <x:c r="Q14" s="35" t="n">
        <x:v>0</x:v>
      </x:c>
      <x:c r="R14" s="35" t="n">
        <x:v>0</x:v>
      </x:c>
      <x:c r="S14" s="35" t="n">
        <x:v>0</x:v>
      </x:c>
      <x:c r="T14" s="35" t="n">
        <x:v>0</x:v>
      </x:c>
      <x:c r="U14" s="35" t="n">
        <x:v>0</x:v>
      </x:c>
      <x:c r="V14" s="35" t="n">
        <x:f>50000*0.3</x:f>
        <x:v>15000</x:v>
      </x:c>
      <x:c r="W14" s="35" t="n">
        <x:f>50000*0.3</x:f>
        <x:v>15000</x:v>
      </x:c>
      <x:c r="X14" s="35" t="n">
        <x:f>50000*0.3</x:f>
        <x:v>15000</x:v>
      </x:c>
      <x:c r="Y14" s="35" t="n">
        <x:f>50000*0.1</x:f>
        <x:v>5000</x:v>
      </x:c>
      <x:c r="Z14" s="35" t="n">
        <x:v>0</x:v>
      </x:c>
      <x:c r="AA14" s="35" t="n">
        <x:v>0</x:v>
      </x:c>
      <x:c r="AB14" s="35" t="n">
        <x:v>0</x:v>
      </x:c>
      <x:c r="AC14" s="35" t="n">
        <x:v>0</x:v>
      </x:c>
      <x:c r="AD14" s="35" t="n">
        <x:v>0</x:v>
      </x:c>
      <x:c r="AE14" s="35" t="n">
        <x:v>0</x:v>
      </x:c>
      <x:c r="AF14" s="35" t="n">
        <x:v>0</x:v>
      </x:c>
      <x:c r="AG14" s="35" t="n">
        <x:v>0</x:v>
      </x:c>
      <x:c r="AH14" s="35" t="n">
        <x:v>0</x:v>
      </x:c>
      <x:c r="AI14" s="35" t="n">
        <x:v>0</x:v>
      </x:c>
      <x:c r="AJ14" s="35" t="n">
        <x:v>0</x:v>
      </x:c>
      <x:c r="AK14" s="35" t="n">
        <x:v>0</x:v>
      </x:c>
      <x:c r="AL14" s="35" t="n">
        <x:v>0</x:v>
      </x:c>
      <x:c r="AM14" s="35" t="n">
        <x:v>0</x:v>
      </x:c>
      <x:c r="AN14" s="35" t="n">
        <x:v>0</x:v>
      </x:c>
    </x:row>
    <x:row r="15">
      <x:c r="A15" s="33" t="str">
        <x:v>Office Setup 02</x:v>
      </x:c>
      <x:c r="B15" s="33" t="n">
        <x:v>2</x:v>
      </x:c>
      <x:c r="C15" s="34" t="n">
        <x:v>25000</x:v>
      </x:c>
      <x:c r="D15" s="35" t="str">
        <x:v>50 / 50</x:v>
      </x:c>
      <x:c r="E15" s="35" t="n">
        <x:v>0</x:v>
      </x:c>
      <x:c r="F15" s="35" t="n">
        <x:v>0</x:v>
      </x:c>
      <x:c r="G15" s="35" t="n">
        <x:v>0</x:v>
      </x:c>
      <x:c r="H15" s="35" t="n">
        <x:v>0</x:v>
      </x:c>
      <x:c r="I15" s="35" t="n">
        <x:v>0</x:v>
      </x:c>
      <x:c r="J15" s="35" t="n">
        <x:v>0</x:v>
      </x:c>
      <x:c r="K15" s="35" t="n">
        <x:v>0</x:v>
      </x:c>
      <x:c r="L15" s="35" t="n">
        <x:v>0</x:v>
      </x:c>
      <x:c r="M15" s="35" t="n">
        <x:v>0</x:v>
      </x:c>
      <x:c r="N15" s="35" t="n">
        <x:v>0</x:v>
      </x:c>
      <x:c r="O15" s="35" t="n">
        <x:v>0</x:v>
      </x:c>
      <x:c r="P15" s="35" t="n">
        <x:v>0</x:v>
      </x:c>
      <x:c r="Q15" s="35" t="n">
        <x:v>0</x:v>
      </x:c>
      <x:c r="R15" s="35" t="n">
        <x:v>0</x:v>
      </x:c>
      <x:c r="S15" s="35" t="n">
        <x:v>0</x:v>
      </x:c>
      <x:c r="T15" s="35" t="n">
        <x:v>0</x:v>
      </x:c>
      <x:c r="U15" s="35" t="n">
        <x:v>0</x:v>
      </x:c>
      <x:c r="V15" s="35" t="n">
        <x:f>25000*0.5</x:f>
        <x:v>12500</x:v>
      </x:c>
      <x:c r="W15" s="35" t="n">
        <x:f>25000*0.5</x:f>
        <x:v>12500</x:v>
      </x:c>
      <x:c r="X15" s="35" t="n">
        <x:v>0</x:v>
      </x:c>
      <x:c r="Y15" s="35" t="n">
        <x:v>0</x:v>
      </x:c>
      <x:c r="Z15" s="35" t="n">
        <x:v>0</x:v>
      </x:c>
      <x:c r="AA15" s="35" t="n">
        <x:v>0</x:v>
      </x:c>
      <x:c r="AB15" s="35" t="n">
        <x:v>0</x:v>
      </x:c>
      <x:c r="AC15" s="35" t="n">
        <x:v>0</x:v>
      </x:c>
      <x:c r="AD15" s="35" t="n">
        <x:v>0</x:v>
      </x:c>
      <x:c r="AE15" s="35" t="n">
        <x:v>0</x:v>
      </x:c>
      <x:c r="AF15" s="35" t="n">
        <x:v>0</x:v>
      </x:c>
      <x:c r="AG15" s="35" t="n">
        <x:v>0</x:v>
      </x:c>
      <x:c r="AH15" s="35" t="n">
        <x:v>0</x:v>
      </x:c>
      <x:c r="AI15" s="35" t="n">
        <x:v>0</x:v>
      </x:c>
      <x:c r="AJ15" s="35" t="n">
        <x:v>0</x:v>
      </x:c>
      <x:c r="AK15" s="35" t="n">
        <x:v>0</x:v>
      </x:c>
      <x:c r="AL15" s="35" t="n">
        <x:v>0</x:v>
      </x:c>
      <x:c r="AM15" s="35" t="n">
        <x:v>0</x:v>
      </x:c>
      <x:c r="AN15" s="35" t="n">
        <x:v>0</x:v>
      </x:c>
    </x:row>
    <x:row r="16">
      <x:c r="A16" s="33" t="str">
        <x:v>Retainer 02</x:v>
      </x:c>
      <x:c r="B16" s="33" t="n">
        <x:v>2</x:v>
      </x:c>
      <x:c r="C16" s="34" t="n">
        <x:v>72000</x:v>
      </x:c>
      <x:c r="D16" s="35" t="str">
        <x:v>monthly in advance</x:v>
      </x:c>
      <x:c r="E16" s="35" t="n">
        <x:v>0</x:v>
      </x:c>
      <x:c r="F16" s="35" t="n">
        <x:v>0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0</x:v>
      </x:c>
      <x:c r="L16" s="35" t="n">
        <x:v>0</x:v>
      </x:c>
      <x:c r="M16" s="35" t="n">
        <x:v>0</x:v>
      </x:c>
      <x:c r="N16" s="35" t="n">
        <x:v>0</x:v>
      </x:c>
      <x:c r="O16" s="35" t="n">
        <x:v>0</x:v>
      </x:c>
      <x:c r="P16" s="35" t="n">
        <x:v>0</x:v>
      </x:c>
      <x:c r="Q16" s="35" t="n">
        <x:f>72000*0.08333333333333333</x:f>
        <x:v>6000</x:v>
      </x:c>
      <x:c r="R16" s="35" t="n">
        <x:f>72000*0.08333333333333333</x:f>
        <x:v>6000</x:v>
      </x:c>
      <x:c r="S16" s="35" t="n">
        <x:f>72000*0.08333333333333333</x:f>
        <x:v>6000</x:v>
      </x:c>
      <x:c r="T16" s="35" t="n">
        <x:f>72000*0.08333333333333333</x:f>
        <x:v>6000</x:v>
      </x:c>
      <x:c r="U16" s="35" t="n">
        <x:f>72000*0.08333333333333333</x:f>
        <x:v>6000</x:v>
      </x:c>
      <x:c r="V16" s="35" t="n">
        <x:f>72000*0.08333333333333333</x:f>
        <x:v>6000</x:v>
      </x:c>
      <x:c r="W16" s="35" t="n">
        <x:f>72000*0.08333333333333333</x:f>
        <x:v>6000</x:v>
      </x:c>
      <x:c r="X16" s="35" t="n">
        <x:f>72000*0.08333333333333333</x:f>
        <x:v>6000</x:v>
      </x:c>
      <x:c r="Y16" s="35" t="n">
        <x:f>72000*0.08333333333333333</x:f>
        <x:v>6000</x:v>
      </x:c>
      <x:c r="Z16" s="35" t="n">
        <x:f>72000*0.08333333333333333</x:f>
        <x:v>6000</x:v>
      </x:c>
      <x:c r="AA16" s="35" t="n">
        <x:f>72000*0.08333333333333333</x:f>
        <x:v>6000</x:v>
      </x:c>
      <x:c r="AB16" s="35" t="n">
        <x:f>72000*0.08333333333333333</x:f>
        <x:v>6000</x:v>
      </x:c>
      <x:c r="AC16" s="35" t="n">
        <x:v>0</x:v>
      </x:c>
      <x:c r="AD16" s="35" t="n">
        <x:v>0</x:v>
      </x:c>
      <x:c r="AE16" s="35" t="n">
        <x:v>0</x:v>
      </x:c>
      <x:c r="AF16" s="35" t="n">
        <x:v>0</x:v>
      </x:c>
      <x:c r="AG16" s="35" t="n">
        <x:v>0</x:v>
      </x:c>
      <x:c r="AH16" s="35" t="n">
        <x:v>0</x:v>
      </x:c>
      <x:c r="AI16" s="35" t="n">
        <x:v>0</x:v>
      </x:c>
      <x:c r="AJ16" s="35" t="n">
        <x:v>0</x:v>
      </x:c>
      <x:c r="AK16" s="35" t="n">
        <x:v>0</x:v>
      </x:c>
      <x:c r="AL16" s="35" t="n">
        <x:v>0</x:v>
      </x:c>
      <x:c r="AM16" s="35" t="n">
        <x:v>0</x:v>
      </x:c>
      <x:c r="AN16" s="35" t="n">
        <x:v>0</x:v>
      </x:c>
    </x:row>
    <x:row r="17">
      <x:c r="A17" s="33" t="str">
        <x:v>Add-ons 02</x:v>
      </x:c>
      <x:c r="B17" s="33" t="n">
        <x:v>2</x:v>
      </x:c>
      <x:c r="C17" s="34" t="n">
        <x:v>9000</x:v>
      </x:c>
      <x:c r="D17" s="35" t="str">
        <x:v>approved scope</x:v>
      </x:c>
      <x:c r="E17" s="35" t="n">
        <x:v>0</x:v>
      </x:c>
      <x:c r="F17" s="35" t="n">
        <x:v>0</x:v>
      </x:c>
      <x:c r="G17" s="35" t="n">
        <x:v>0</x:v>
      </x:c>
      <x:c r="H17" s="35" t="n">
        <x:v>0</x:v>
      </x:c>
      <x:c r="I17" s="35" t="n">
        <x:v>0</x:v>
      </x:c>
      <x:c r="J17" s="35" t="n">
        <x:v>0</x:v>
      </x:c>
      <x:c r="K17" s="35" t="n">
        <x:v>0</x:v>
      </x:c>
      <x:c r="L17" s="35" t="n">
        <x:v>0</x:v>
      </x:c>
      <x:c r="M17" s="35" t="n">
        <x:v>0</x:v>
      </x:c>
      <x:c r="N17" s="35" t="n">
        <x:v>0</x:v>
      </x:c>
      <x:c r="O17" s="35" t="n">
        <x:v>0</x:v>
      </x:c>
      <x:c r="P17" s="35" t="n">
        <x:v>0</x:v>
      </x:c>
      <x:c r="Q17" s="35" t="n">
        <x:v>0</x:v>
      </x:c>
      <x:c r="R17" s="35" t="n">
        <x:v>0</x:v>
      </x:c>
      <x:c r="S17" s="35" t="n">
        <x:v>0</x:v>
      </x:c>
      <x:c r="T17" s="35" t="n">
        <x:v>0</x:v>
      </x:c>
      <x:c r="U17" s="35" t="n">
        <x:f>9000*0.3333333333333333</x:f>
        <x:v>3000</x:v>
      </x:c>
      <x:c r="V17" s="35" t="n">
        <x:v>0</x:v>
      </x:c>
      <x:c r="W17" s="35" t="n">
        <x:v>0</x:v>
      </x:c>
      <x:c r="X17" s="35" t="n">
        <x:f>9000*0.3333333333333333</x:f>
        <x:v>3000</x:v>
      </x:c>
      <x:c r="Y17" s="35" t="n">
        <x:v>0</x:v>
      </x:c>
      <x:c r="Z17" s="35" t="n">
        <x:v>0</x:v>
      </x:c>
      <x:c r="AA17" s="35" t="n">
        <x:f>9000*0.3333333333333333</x:f>
        <x:v>3000</x:v>
      </x:c>
      <x:c r="AB17" s="35" t="n">
        <x:v>0</x:v>
      </x:c>
      <x:c r="AC17" s="35" t="n">
        <x:v>0</x:v>
      </x:c>
      <x:c r="AD17" s="35" t="n">
        <x:v>0</x:v>
      </x:c>
      <x:c r="AE17" s="35" t="n">
        <x:v>0</x:v>
      </x:c>
      <x:c r="AF17" s="35" t="n">
        <x:v>0</x:v>
      </x:c>
      <x:c r="AG17" s="35" t="n">
        <x:v>0</x:v>
      </x:c>
      <x:c r="AH17" s="35" t="n">
        <x:v>0</x:v>
      </x:c>
      <x:c r="AI17" s="35" t="n">
        <x:v>0</x:v>
      </x:c>
      <x:c r="AJ17" s="35" t="n">
        <x:v>0</x:v>
      </x:c>
      <x:c r="AK17" s="35" t="n">
        <x:v>0</x:v>
      </x:c>
      <x:c r="AL17" s="35" t="n">
        <x:v>0</x:v>
      </x:c>
      <x:c r="AM17" s="35" t="n">
        <x:v>0</x:v>
      </x:c>
      <x:c r="AN17" s="35" t="n">
        <x:v>0</x:v>
      </x:c>
    </x:row>
    <x:row r="18">
      <x:c r="A18" s="33" t="str">
        <x:v>Blueprint 06</x:v>
      </x:c>
      <x:c r="B18" s="33" t="n">
        <x:v>3</x:v>
      </x:c>
      <x:c r="C18" s="34" t="n">
        <x:v>21000</x:v>
      </x:c>
      <x:c r="D18" s="35" t="str">
        <x:v>40 / 40 / 20</x:v>
      </x:c>
      <x:c r="E18" s="35" t="n">
        <x:v>0</x:v>
      </x:c>
      <x:c r="F18" s="35" t="n">
        <x:v>0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0</x:v>
      </x:c>
      <x:c r="L18" s="35" t="n">
        <x:v>0</x:v>
      </x:c>
      <x:c r="M18" s="35" t="n">
        <x:v>0</x:v>
      </x:c>
      <x:c r="N18" s="35" t="n">
        <x:v>0</x:v>
      </x:c>
      <x:c r="O18" s="35" t="n">
        <x:v>0</x:v>
      </x:c>
      <x:c r="P18" s="35" t="n">
        <x:v>0</x:v>
      </x:c>
      <x:c r="Q18" s="35" t="n">
        <x:v>0</x:v>
      </x:c>
      <x:c r="R18" s="35" t="n">
        <x:v>0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n">
        <x:v>0</x:v>
      </x:c>
      <x:c r="Y18" s="35" t="n">
        <x:v>0</x:v>
      </x:c>
      <x:c r="Z18" s="35" t="n">
        <x:v>0</x:v>
      </x:c>
      <x:c r="AA18" s="35" t="n">
        <x:v>0</x:v>
      </x:c>
      <x:c r="AB18" s="35" t="n">
        <x:v>0</x:v>
      </x:c>
      <x:c r="AC18" s="35" t="n">
        <x:f>21000*0.4</x:f>
        <x:v>8400</x:v>
      </x:c>
      <x:c r="AD18" s="35" t="n">
        <x:f>21000*0.4</x:f>
        <x:v>8400</x:v>
      </x:c>
      <x:c r="AE18" s="35" t="n">
        <x:f>21000*0.2</x:f>
        <x:v>4200</x:v>
      </x:c>
      <x:c r="AF18" s="35" t="n">
        <x:v>0</x:v>
      </x:c>
      <x:c r="AG18" s="35" t="n">
        <x:v>0</x:v>
      </x:c>
      <x:c r="AH18" s="35" t="n">
        <x:v>0</x:v>
      </x:c>
      <x:c r="AI18" s="35" t="n">
        <x:v>0</x:v>
      </x:c>
      <x:c r="AJ18" s="35" t="n">
        <x:v>0</x:v>
      </x:c>
      <x:c r="AK18" s="35" t="n">
        <x:v>0</x:v>
      </x:c>
      <x:c r="AL18" s="35" t="n">
        <x:v>0</x:v>
      </x:c>
      <x:c r="AM18" s="35" t="n">
        <x:v>0</x:v>
      </x:c>
      <x:c r="AN18" s="35" t="n">
        <x:v>0</x:v>
      </x:c>
    </x:row>
    <x:row r="19">
      <x:c r="A19" s="33" t="str">
        <x:v>Blueprint 07</x:v>
      </x:c>
      <x:c r="B19" s="33" t="n">
        <x:v>3</x:v>
      </x:c>
      <x:c r="C19" s="34" t="n">
        <x:v>21000</x:v>
      </x:c>
      <x:c r="D19" s="35" t="str">
        <x:v>40 / 40 / 20</x:v>
      </x:c>
      <x:c r="E19" s="35" t="n">
        <x:v>0</x:v>
      </x:c>
      <x:c r="F19" s="35" t="n">
        <x:v>0</x:v>
      </x:c>
      <x:c r="G19" s="35" t="n">
        <x:v>0</x:v>
      </x:c>
      <x:c r="H19" s="35" t="n">
        <x:v>0</x:v>
      </x:c>
      <x:c r="I19" s="35" t="n">
        <x:v>0</x:v>
      </x:c>
      <x:c r="J19" s="35" t="n">
        <x:v>0</x:v>
      </x:c>
      <x:c r="K19" s="35" t="n">
        <x:v>0</x:v>
      </x:c>
      <x:c r="L19" s="35" t="n">
        <x:v>0</x:v>
      </x:c>
      <x:c r="M19" s="35" t="n">
        <x:v>0</x:v>
      </x:c>
      <x:c r="N19" s="35" t="n">
        <x:v>0</x:v>
      </x:c>
      <x:c r="O19" s="35" t="n">
        <x:v>0</x:v>
      </x:c>
      <x:c r="P19" s="35" t="n">
        <x:v>0</x:v>
      </x:c>
      <x:c r="Q19" s="35" t="n">
        <x:v>0</x:v>
      </x:c>
      <x:c r="R19" s="35" t="n">
        <x:v>0</x:v>
      </x:c>
      <x:c r="S19" s="35" t="n">
        <x:v>0</x:v>
      </x:c>
      <x:c r="T19" s="35" t="n">
        <x:v>0</x:v>
      </x:c>
      <x:c r="U19" s="35" t="n">
        <x:v>0</x:v>
      </x:c>
      <x:c r="V19" s="35" t="n">
        <x:v>0</x:v>
      </x:c>
      <x:c r="W19" s="35" t="n">
        <x:v>0</x:v>
      </x:c>
      <x:c r="X19" s="35" t="n">
        <x:v>0</x:v>
      </x:c>
      <x:c r="Y19" s="35" t="n">
        <x:v>0</x:v>
      </x:c>
      <x:c r="Z19" s="35" t="n">
        <x:v>0</x:v>
      </x:c>
      <x:c r="AA19" s="35" t="n">
        <x:v>0</x:v>
      </x:c>
      <x:c r="AB19" s="35" t="n">
        <x:v>0</x:v>
      </x:c>
      <x:c r="AC19" s="35" t="n">
        <x:v>0</x:v>
      </x:c>
      <x:c r="AD19" s="35" t="n">
        <x:v>0</x:v>
      </x:c>
      <x:c r="AE19" s="35" t="n">
        <x:f>21000*0.4</x:f>
        <x:v>8400</x:v>
      </x:c>
      <x:c r="AF19" s="35" t="n">
        <x:f>21000*0.4</x:f>
        <x:v>8400</x:v>
      </x:c>
      <x:c r="AG19" s="35" t="n">
        <x:f>21000*0.2</x:f>
        <x:v>4200</x:v>
      </x:c>
      <x:c r="AH19" s="35" t="n">
        <x:v>0</x:v>
      </x:c>
      <x:c r="AI19" s="35" t="n">
        <x:v>0</x:v>
      </x:c>
      <x:c r="AJ19" s="35" t="n">
        <x:v>0</x:v>
      </x:c>
      <x:c r="AK19" s="35" t="n">
        <x:v>0</x:v>
      </x:c>
      <x:c r="AL19" s="35" t="n">
        <x:v>0</x:v>
      </x:c>
      <x:c r="AM19" s="35" t="n">
        <x:v>0</x:v>
      </x:c>
      <x:c r="AN19" s="35" t="n">
        <x:v>0</x:v>
      </x:c>
    </x:row>
    <x:row r="20">
      <x:c r="A20" s="33" t="str">
        <x:v>Blueprint 08</x:v>
      </x:c>
      <x:c r="B20" s="33" t="n">
        <x:v>3</x:v>
      </x:c>
      <x:c r="C20" s="34" t="n">
        <x:v>21000</x:v>
      </x:c>
      <x:c r="D20" s="35" t="str">
        <x:v>40 / 40 / 20</x:v>
      </x:c>
      <x:c r="E20" s="35" t="n">
        <x:v>0</x:v>
      </x:c>
      <x:c r="F20" s="35" t="n">
        <x:v>0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0</x:v>
      </x:c>
      <x:c r="L20" s="35" t="n">
        <x:v>0</x:v>
      </x:c>
      <x:c r="M20" s="35" t="n">
        <x:v>0</x:v>
      </x:c>
      <x:c r="N20" s="35" t="n">
        <x:v>0</x:v>
      </x:c>
      <x:c r="O20" s="35" t="n">
        <x:v>0</x:v>
      </x:c>
      <x:c r="P20" s="35" t="n">
        <x:v>0</x:v>
      </x:c>
      <x:c r="Q20" s="35" t="n">
        <x:v>0</x:v>
      </x:c>
      <x:c r="R20" s="35" t="n">
        <x:v>0</x:v>
      </x:c>
      <x:c r="S20" s="35" t="n">
        <x:v>0</x:v>
      </x:c>
      <x:c r="T20" s="35" t="n">
        <x:v>0</x:v>
      </x:c>
      <x:c r="U20" s="35" t="n">
        <x:v>0</x:v>
      </x:c>
      <x:c r="V20" s="35" t="n">
        <x:v>0</x:v>
      </x:c>
      <x:c r="W20" s="35" t="n">
        <x:v>0</x:v>
      </x:c>
      <x:c r="X20" s="35" t="n">
        <x:v>0</x:v>
      </x:c>
      <x:c r="Y20" s="35" t="n">
        <x:v>0</x:v>
      </x:c>
      <x:c r="Z20" s="35" t="n">
        <x:v>0</x:v>
      </x:c>
      <x:c r="AA20" s="35" t="n">
        <x:v>0</x:v>
      </x:c>
      <x:c r="AB20" s="35" t="n">
        <x:v>0</x:v>
      </x:c>
      <x:c r="AC20" s="35" t="n">
        <x:v>0</x:v>
      </x:c>
      <x:c r="AD20" s="35" t="n">
        <x:v>0</x:v>
      </x:c>
      <x:c r="AE20" s="35" t="n">
        <x:v>0</x:v>
      </x:c>
      <x:c r="AF20" s="35" t="n">
        <x:v>0</x:v>
      </x:c>
      <x:c r="AG20" s="35" t="n">
        <x:f>21000*0.4</x:f>
        <x:v>8400</x:v>
      </x:c>
      <x:c r="AH20" s="35" t="n">
        <x:f>21000*0.4</x:f>
        <x:v>8400</x:v>
      </x:c>
      <x:c r="AI20" s="35" t="n">
        <x:f>21000*0.2</x:f>
        <x:v>4200</x:v>
      </x:c>
      <x:c r="AJ20" s="35" t="n">
        <x:v>0</x:v>
      </x:c>
      <x:c r="AK20" s="35" t="n">
        <x:v>0</x:v>
      </x:c>
      <x:c r="AL20" s="35" t="n">
        <x:v>0</x:v>
      </x:c>
      <x:c r="AM20" s="35" t="n">
        <x:v>0</x:v>
      </x:c>
      <x:c r="AN20" s="35" t="n">
        <x:v>0</x:v>
      </x:c>
    </x:row>
    <x:row r="21">
      <x:c r="A21" s="33" t="str">
        <x:v>Blueprint 09</x:v>
      </x:c>
      <x:c r="B21" s="33" t="n">
        <x:v>3</x:v>
      </x:c>
      <x:c r="C21" s="34" t="n">
        <x:v>21000</x:v>
      </x:c>
      <x:c r="D21" s="35" t="str">
        <x:v>40 / 40 / 20</x:v>
      </x:c>
      <x:c r="E21" s="35" t="n">
        <x:v>0</x:v>
      </x:c>
      <x:c r="F21" s="35" t="n">
        <x:v>0</x:v>
      </x:c>
      <x:c r="G21" s="35" t="n">
        <x:v>0</x:v>
      </x:c>
      <x:c r="H21" s="35" t="n">
        <x:v>0</x:v>
      </x:c>
      <x:c r="I21" s="35" t="n">
        <x:v>0</x:v>
      </x:c>
      <x:c r="J21" s="35" t="n">
        <x:v>0</x:v>
      </x:c>
      <x:c r="K21" s="35" t="n">
        <x:v>0</x:v>
      </x:c>
      <x:c r="L21" s="35" t="n">
        <x:v>0</x:v>
      </x:c>
      <x:c r="M21" s="35" t="n">
        <x:v>0</x:v>
      </x:c>
      <x:c r="N21" s="35" t="n">
        <x:v>0</x:v>
      </x:c>
      <x:c r="O21" s="35" t="n">
        <x:v>0</x:v>
      </x:c>
      <x:c r="P21" s="35" t="n">
        <x:v>0</x:v>
      </x:c>
      <x:c r="Q21" s="35" t="n">
        <x:v>0</x:v>
      </x:c>
      <x:c r="R21" s="35" t="n">
        <x:v>0</x:v>
      </x:c>
      <x:c r="S21" s="35" t="n">
        <x:v>0</x:v>
      </x:c>
      <x:c r="T21" s="35" t="n">
        <x:v>0</x:v>
      </x:c>
      <x:c r="U21" s="35" t="n">
        <x:v>0</x:v>
      </x:c>
      <x:c r="V21" s="35" t="n">
        <x:v>0</x:v>
      </x:c>
      <x:c r="W21" s="35" t="n">
        <x:v>0</x:v>
      </x:c>
      <x:c r="X21" s="35" t="n">
        <x:v>0</x:v>
      </x:c>
      <x:c r="Y21" s="35" t="n">
        <x:v>0</x:v>
      </x:c>
      <x:c r="Z21" s="35" t="n">
        <x:v>0</x:v>
      </x:c>
      <x:c r="AA21" s="35" t="n">
        <x:v>0</x:v>
      </x:c>
      <x:c r="AB21" s="35" t="n">
        <x:v>0</x:v>
      </x:c>
      <x:c r="AC21" s="35" t="n">
        <x:v>0</x:v>
      </x:c>
      <x:c r="AD21" s="35" t="n">
        <x:v>0</x:v>
      </x:c>
      <x:c r="AE21" s="35" t="n">
        <x:v>0</x:v>
      </x:c>
      <x:c r="AF21" s="35" t="n">
        <x:v>0</x:v>
      </x:c>
      <x:c r="AG21" s="35" t="n">
        <x:v>0</x:v>
      </x:c>
      <x:c r="AH21" s="35" t="n">
        <x:v>0</x:v>
      </x:c>
      <x:c r="AI21" s="35" t="n">
        <x:f>21000*0.4</x:f>
        <x:v>8400</x:v>
      </x:c>
      <x:c r="AJ21" s="35" t="n">
        <x:f>21000*0.4</x:f>
        <x:v>8400</x:v>
      </x:c>
      <x:c r="AK21" s="35" t="n">
        <x:f>21000*0.2</x:f>
        <x:v>4200</x:v>
      </x:c>
      <x:c r="AL21" s="35" t="n">
        <x:v>0</x:v>
      </x:c>
      <x:c r="AM21" s="35" t="n">
        <x:v>0</x:v>
      </x:c>
      <x:c r="AN21" s="35" t="n">
        <x:v>0</x:v>
      </x:c>
    </x:row>
    <x:row r="22">
      <x:c r="A22" s="33" t="str">
        <x:v>Launch 04</x:v>
      </x:c>
      <x:c r="B22" s="33" t="n">
        <x:v>3</x:v>
      </x:c>
      <x:c r="C22" s="34" t="n">
        <x:v>55000</x:v>
      </x:c>
      <x:c r="D22" s="35" t="str">
        <x:v>30 / 30 / 30 / 10</x:v>
      </x:c>
      <x:c r="E22" s="35" t="n">
        <x:v>0</x:v>
      </x:c>
      <x:c r="F22" s="35" t="n">
        <x:v>0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0</x:v>
      </x:c>
      <x:c r="L22" s="35" t="n">
        <x:v>0</x:v>
      </x:c>
      <x:c r="M22" s="35" t="n">
        <x:v>0</x:v>
      </x:c>
      <x:c r="N22" s="35" t="n">
        <x:v>0</x:v>
      </x:c>
      <x:c r="O22" s="35" t="n">
        <x:v>0</x:v>
      </x:c>
      <x:c r="P22" s="35" t="n">
        <x:v>0</x:v>
      </x:c>
      <x:c r="Q22" s="35" t="n">
        <x:v>0</x:v>
      </x:c>
      <x:c r="R22" s="35" t="n">
        <x:v>0</x:v>
      </x:c>
      <x:c r="S22" s="35" t="n">
        <x:v>0</x:v>
      </x:c>
      <x:c r="T22" s="35" t="n">
        <x:v>0</x:v>
      </x:c>
      <x:c r="U22" s="35" t="n">
        <x:v>0</x:v>
      </x:c>
      <x:c r="V22" s="35" t="n">
        <x:v>0</x:v>
      </x:c>
      <x:c r="W22" s="35" t="n">
        <x:v>0</x:v>
      </x:c>
      <x:c r="X22" s="35" t="n">
        <x:v>0</x:v>
      </x:c>
      <x:c r="Y22" s="35" t="n">
        <x:v>0</x:v>
      </x:c>
      <x:c r="Z22" s="35" t="n">
        <x:v>0</x:v>
      </x:c>
      <x:c r="AA22" s="35" t="n">
        <x:v>0</x:v>
      </x:c>
      <x:c r="AB22" s="35" t="n">
        <x:v>0</x:v>
      </x:c>
      <x:c r="AC22" s="35" t="n">
        <x:f>55000*0.3</x:f>
        <x:v>16500</x:v>
      </x:c>
      <x:c r="AD22" s="35" t="n">
        <x:f>55000*0.3</x:f>
        <x:v>16500</x:v>
      </x:c>
      <x:c r="AE22" s="35" t="n">
        <x:f>55000*0.3</x:f>
        <x:v>16500</x:v>
      </x:c>
      <x:c r="AF22" s="35" t="n">
        <x:f>55000*0.1</x:f>
        <x:v>5500</x:v>
      </x:c>
      <x:c r="AG22" s="35" t="n">
        <x:v>0</x:v>
      </x:c>
      <x:c r="AH22" s="35" t="n">
        <x:v>0</x:v>
      </x:c>
      <x:c r="AI22" s="35" t="n">
        <x:v>0</x:v>
      </x:c>
      <x:c r="AJ22" s="35" t="n">
        <x:v>0</x:v>
      </x:c>
      <x:c r="AK22" s="35" t="n">
        <x:v>0</x:v>
      </x:c>
      <x:c r="AL22" s="35" t="n">
        <x:v>0</x:v>
      </x:c>
      <x:c r="AM22" s="35" t="n">
        <x:v>0</x:v>
      </x:c>
      <x:c r="AN22" s="35" t="n">
        <x:v>0</x:v>
      </x:c>
    </x:row>
    <x:row r="23">
      <x:c r="A23" s="33" t="str">
        <x:v>Launch 05</x:v>
      </x:c>
      <x:c r="B23" s="33" t="n">
        <x:v>3</x:v>
      </x:c>
      <x:c r="C23" s="34" t="n">
        <x:v>55000</x:v>
      </x:c>
      <x:c r="D23" s="35" t="str">
        <x:v>30 / 30 / 30 / 10</x:v>
      </x:c>
      <x:c r="E23" s="35" t="n">
        <x:v>0</x:v>
      </x:c>
      <x:c r="F23" s="35" t="n">
        <x:v>0</x:v>
      </x:c>
      <x:c r="G23" s="35" t="n">
        <x:v>0</x:v>
      </x:c>
      <x:c r="H23" s="35" t="n">
        <x:v>0</x:v>
      </x:c>
      <x:c r="I23" s="35" t="n">
        <x:v>0</x:v>
      </x:c>
      <x:c r="J23" s="35" t="n">
        <x:v>0</x:v>
      </x:c>
      <x:c r="K23" s="35" t="n">
        <x:v>0</x:v>
      </x:c>
      <x:c r="L23" s="35" t="n">
        <x:v>0</x:v>
      </x:c>
      <x:c r="M23" s="35" t="n">
        <x:v>0</x:v>
      </x:c>
      <x:c r="N23" s="35" t="n">
        <x:v>0</x:v>
      </x:c>
      <x:c r="O23" s="35" t="n">
        <x:v>0</x:v>
      </x:c>
      <x:c r="P23" s="35" t="n">
        <x:v>0</x:v>
      </x:c>
      <x:c r="Q23" s="35" t="n">
        <x:v>0</x:v>
      </x:c>
      <x:c r="R23" s="35" t="n">
        <x:v>0</x:v>
      </x:c>
      <x:c r="S23" s="35" t="n">
        <x:v>0</x:v>
      </x:c>
      <x:c r="T23" s="35" t="n">
        <x:v>0</x:v>
      </x:c>
      <x:c r="U23" s="35" t="n">
        <x:v>0</x:v>
      </x:c>
      <x:c r="V23" s="35" t="n">
        <x:v>0</x:v>
      </x:c>
      <x:c r="W23" s="35" t="n">
        <x:v>0</x:v>
      </x:c>
      <x:c r="X23" s="35" t="n">
        <x:v>0</x:v>
      </x:c>
      <x:c r="Y23" s="35" t="n">
        <x:v>0</x:v>
      </x:c>
      <x:c r="Z23" s="35" t="n">
        <x:v>0</x:v>
      </x:c>
      <x:c r="AA23" s="35" t="n">
        <x:v>0</x:v>
      </x:c>
      <x:c r="AB23" s="35" t="n">
        <x:v>0</x:v>
      </x:c>
      <x:c r="AC23" s="35" t="n">
        <x:v>0</x:v>
      </x:c>
      <x:c r="AD23" s="35" t="n">
        <x:v>0</x:v>
      </x:c>
      <x:c r="AE23" s="35" t="n">
        <x:v>0</x:v>
      </x:c>
      <x:c r="AF23" s="35" t="n">
        <x:v>0</x:v>
      </x:c>
      <x:c r="AG23" s="35" t="n">
        <x:v>0</x:v>
      </x:c>
      <x:c r="AH23" s="35" t="n">
        <x:f>55000*0.3</x:f>
        <x:v>16500</x:v>
      </x:c>
      <x:c r="AI23" s="35" t="n">
        <x:f>55000*0.3</x:f>
        <x:v>16500</x:v>
      </x:c>
      <x:c r="AJ23" s="35" t="n">
        <x:f>55000*0.3</x:f>
        <x:v>16500</x:v>
      </x:c>
      <x:c r="AK23" s="35" t="n">
        <x:f>55000*0.1</x:f>
        <x:v>5500</x:v>
      </x:c>
      <x:c r="AL23" s="35" t="n">
        <x:v>0</x:v>
      </x:c>
      <x:c r="AM23" s="35" t="n">
        <x:v>0</x:v>
      </x:c>
      <x:c r="AN23" s="35" t="n">
        <x:v>0</x:v>
      </x:c>
    </x:row>
    <x:row r="24">
      <x:c r="A24" s="33" t="str">
        <x:v>Office Setup 03</x:v>
      </x:c>
      <x:c r="B24" s="33" t="n">
        <x:v>3</x:v>
      </x:c>
      <x:c r="C24" s="34" t="n">
        <x:v>28000</x:v>
      </x:c>
      <x:c r="D24" s="35" t="str">
        <x:v>50 / 50</x:v>
      </x:c>
      <x:c r="E24" s="35" t="n">
        <x:v>0</x:v>
      </x:c>
      <x:c r="F24" s="35" t="n">
        <x:v>0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0</x:v>
      </x:c>
      <x:c r="L24" s="35" t="n">
        <x:v>0</x:v>
      </x:c>
      <x:c r="M24" s="35" t="n">
        <x:v>0</x:v>
      </x:c>
      <x:c r="N24" s="35" t="n">
        <x:v>0</x:v>
      </x:c>
      <x:c r="O24" s="35" t="n">
        <x:v>0</x:v>
      </x:c>
      <x:c r="P24" s="35" t="n">
        <x:v>0</x:v>
      </x:c>
      <x:c r="Q24" s="35" t="n">
        <x:v>0</x:v>
      </x:c>
      <x:c r="R24" s="35" t="n">
        <x:v>0</x:v>
      </x:c>
      <x:c r="S24" s="35" t="n">
        <x:v>0</x:v>
      </x:c>
      <x:c r="T24" s="35" t="n">
        <x:v>0</x:v>
      </x:c>
      <x:c r="U24" s="35" t="n">
        <x:v>0</x:v>
      </x:c>
      <x:c r="V24" s="35" t="n">
        <x:v>0</x:v>
      </x:c>
      <x:c r="W24" s="35" t="n">
        <x:v>0</x:v>
      </x:c>
      <x:c r="X24" s="35" t="n">
        <x:v>0</x:v>
      </x:c>
      <x:c r="Y24" s="35" t="n">
        <x:v>0</x:v>
      </x:c>
      <x:c r="Z24" s="35" t="n">
        <x:v>0</x:v>
      </x:c>
      <x:c r="AA24" s="35" t="n">
        <x:v>0</x:v>
      </x:c>
      <x:c r="AB24" s="35" t="n">
        <x:v>0</x:v>
      </x:c>
      <x:c r="AC24" s="35" t="n">
        <x:v>0</x:v>
      </x:c>
      <x:c r="AD24" s="35" t="n">
        <x:v>0</x:v>
      </x:c>
      <x:c r="AE24" s="35" t="n">
        <x:f>28000*0.5</x:f>
        <x:v>14000</x:v>
      </x:c>
      <x:c r="AF24" s="35" t="n">
        <x:f>28000*0.5</x:f>
        <x:v>14000</x:v>
      </x:c>
      <x:c r="AG24" s="35" t="n">
        <x:v>0</x:v>
      </x:c>
      <x:c r="AH24" s="35" t="n">
        <x:v>0</x:v>
      </x:c>
      <x:c r="AI24" s="35" t="n">
        <x:v>0</x:v>
      </x:c>
      <x:c r="AJ24" s="35" t="n">
        <x:v>0</x:v>
      </x:c>
      <x:c r="AK24" s="35" t="n">
        <x:v>0</x:v>
      </x:c>
      <x:c r="AL24" s="35" t="n">
        <x:v>0</x:v>
      </x:c>
      <x:c r="AM24" s="35" t="n">
        <x:v>0</x:v>
      </x:c>
      <x:c r="AN24" s="35" t="n">
        <x:v>0</x:v>
      </x:c>
    </x:row>
    <x:row r="25">
      <x:c r="A25" s="33" t="str">
        <x:v>Office Setup 04</x:v>
      </x:c>
      <x:c r="B25" s="33" t="n">
        <x:v>3</x:v>
      </x:c>
      <x:c r="C25" s="34" t="n">
        <x:v>28000</x:v>
      </x:c>
      <x:c r="D25" s="35" t="str">
        <x:v>50 / 50</x:v>
      </x:c>
      <x:c r="E25" s="35" t="n">
        <x:v>0</x:v>
      </x:c>
      <x:c r="F25" s="35" t="n">
        <x:v>0</x:v>
      </x:c>
      <x:c r="G25" s="35" t="n">
        <x:v>0</x:v>
      </x:c>
      <x:c r="H25" s="35" t="n">
        <x:v>0</x:v>
      </x:c>
      <x:c r="I25" s="35" t="n">
        <x:v>0</x:v>
      </x:c>
      <x:c r="J25" s="35" t="n">
        <x:v>0</x:v>
      </x:c>
      <x:c r="K25" s="35" t="n">
        <x:v>0</x:v>
      </x:c>
      <x:c r="L25" s="35" t="n">
        <x:v>0</x:v>
      </x:c>
      <x:c r="M25" s="35" t="n">
        <x:v>0</x:v>
      </x:c>
      <x:c r="N25" s="35" t="n">
        <x:v>0</x:v>
      </x:c>
      <x:c r="O25" s="35" t="n">
        <x:v>0</x:v>
      </x:c>
      <x:c r="P25" s="35" t="n">
        <x:v>0</x:v>
      </x:c>
      <x:c r="Q25" s="35" t="n">
        <x:v>0</x:v>
      </x:c>
      <x:c r="R25" s="35" t="n">
        <x:v>0</x:v>
      </x:c>
      <x:c r="S25" s="35" t="n">
        <x:v>0</x:v>
      </x:c>
      <x:c r="T25" s="35" t="n">
        <x:v>0</x:v>
      </x:c>
      <x:c r="U25" s="35" t="n">
        <x:v>0</x:v>
      </x:c>
      <x:c r="V25" s="35" t="n">
        <x:v>0</x:v>
      </x:c>
      <x:c r="W25" s="35" t="n">
        <x:v>0</x:v>
      </x:c>
      <x:c r="X25" s="35" t="n">
        <x:v>0</x:v>
      </x:c>
      <x:c r="Y25" s="35" t="n">
        <x:v>0</x:v>
      </x:c>
      <x:c r="Z25" s="35" t="n">
        <x:v>0</x:v>
      </x:c>
      <x:c r="AA25" s="35" t="n">
        <x:v>0</x:v>
      </x:c>
      <x:c r="AB25" s="35" t="n">
        <x:v>0</x:v>
      </x:c>
      <x:c r="AC25" s="35" t="n">
        <x:v>0</x:v>
      </x:c>
      <x:c r="AD25" s="35" t="n">
        <x:v>0</x:v>
      </x:c>
      <x:c r="AE25" s="35" t="n">
        <x:v>0</x:v>
      </x:c>
      <x:c r="AF25" s="35" t="n">
        <x:v>0</x:v>
      </x:c>
      <x:c r="AG25" s="35" t="n">
        <x:v>0</x:v>
      </x:c>
      <x:c r="AH25" s="35" t="n">
        <x:v>0</x:v>
      </x:c>
      <x:c r="AI25" s="35" t="n">
        <x:v>0</x:v>
      </x:c>
      <x:c r="AJ25" s="35" t="n">
        <x:f>28000*0.5</x:f>
        <x:v>14000</x:v>
      </x:c>
      <x:c r="AK25" s="35" t="n">
        <x:f>28000*0.5</x:f>
        <x:v>14000</x:v>
      </x:c>
      <x:c r="AL25" s="35" t="n">
        <x:v>0</x:v>
      </x:c>
      <x:c r="AM25" s="35" t="n">
        <x:v>0</x:v>
      </x:c>
      <x:c r="AN25" s="35" t="n">
        <x:v>0</x:v>
      </x:c>
    </x:row>
    <x:row r="26">
      <x:c r="A26" s="33" t="str">
        <x:v>Retainer 03</x:v>
      </x:c>
      <x:c r="B26" s="33" t="n">
        <x:v>3</x:v>
      </x:c>
      <x:c r="C26" s="34" t="n">
        <x:v>144000</x:v>
      </x:c>
      <x:c r="D26" s="35" t="str">
        <x:v>monthly in advance</x:v>
      </x:c>
      <x:c r="E26" s="35" t="n">
        <x:v>0</x:v>
      </x:c>
      <x:c r="F26" s="35" t="n">
        <x:v>0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0</x:v>
      </x:c>
      <x:c r="L26" s="35" t="n">
        <x:v>0</x:v>
      </x:c>
      <x:c r="M26" s="35" t="n">
        <x:v>0</x:v>
      </x:c>
      <x:c r="N26" s="35" t="n">
        <x:v>0</x:v>
      </x:c>
      <x:c r="O26" s="35" t="n">
        <x:v>0</x:v>
      </x:c>
      <x:c r="P26" s="35" t="n">
        <x:v>0</x:v>
      </x:c>
      <x:c r="Q26" s="35" t="n">
        <x:v>0</x:v>
      </x:c>
      <x:c r="R26" s="35" t="n">
        <x:v>0</x:v>
      </x:c>
      <x:c r="S26" s="35" t="n">
        <x:v>0</x:v>
      </x:c>
      <x:c r="T26" s="35" t="n">
        <x:v>0</x:v>
      </x:c>
      <x:c r="U26" s="35" t="n">
        <x:v>0</x:v>
      </x:c>
      <x:c r="V26" s="35" t="n">
        <x:v>0</x:v>
      </x:c>
      <x:c r="W26" s="35" t="n">
        <x:v>0</x:v>
      </x:c>
      <x:c r="X26" s="35" t="n">
        <x:v>0</x:v>
      </x:c>
      <x:c r="Y26" s="35" t="n">
        <x:v>0</x:v>
      </x:c>
      <x:c r="Z26" s="35" t="n">
        <x:v>0</x:v>
      </x:c>
      <x:c r="AA26" s="35" t="n">
        <x:v>0</x:v>
      </x:c>
      <x:c r="AB26" s="35" t="n">
        <x:v>0</x:v>
      </x:c>
      <x:c r="AC26" s="35" t="n">
        <x:f>144000*0.08333333333333333</x:f>
        <x:v>12000</x:v>
      </x:c>
      <x:c r="AD26" s="35" t="n">
        <x:f>144000*0.08333333333333333</x:f>
        <x:v>12000</x:v>
      </x:c>
      <x:c r="AE26" s="35" t="n">
        <x:f>144000*0.08333333333333333</x:f>
        <x:v>12000</x:v>
      </x:c>
      <x:c r="AF26" s="35" t="n">
        <x:f>144000*0.08333333333333333</x:f>
        <x:v>12000</x:v>
      </x:c>
      <x:c r="AG26" s="35" t="n">
        <x:f>144000*0.08333333333333333</x:f>
        <x:v>12000</x:v>
      </x:c>
      <x:c r="AH26" s="35" t="n">
        <x:f>144000*0.08333333333333333</x:f>
        <x:v>12000</x:v>
      </x:c>
      <x:c r="AI26" s="35" t="n">
        <x:f>144000*0.08333333333333333</x:f>
        <x:v>12000</x:v>
      </x:c>
      <x:c r="AJ26" s="35" t="n">
        <x:f>144000*0.08333333333333333</x:f>
        <x:v>12000</x:v>
      </x:c>
      <x:c r="AK26" s="35" t="n">
        <x:f>144000*0.08333333333333333</x:f>
        <x:v>12000</x:v>
      </x:c>
      <x:c r="AL26" s="35" t="n">
        <x:f>144000*0.08333333333333333</x:f>
        <x:v>12000</x:v>
      </x:c>
      <x:c r="AM26" s="35" t="n">
        <x:f>144000*0.08333333333333333</x:f>
        <x:v>12000</x:v>
      </x:c>
      <x:c r="AN26" s="35" t="n">
        <x:f>144000*0.08333333333333333</x:f>
        <x:v>12000</x:v>
      </x:c>
    </x:row>
    <x:row r="27">
      <x:c r="A27" s="33" t="str">
        <x:v>Add-ons 03</x:v>
      </x:c>
      <x:c r="B27" s="33" t="n">
        <x:v>3</x:v>
      </x:c>
      <x:c r="C27" s="34" t="n">
        <x:v>48000</x:v>
      </x:c>
      <x:c r="D27" s="35" t="str">
        <x:v>approved scope</x:v>
      </x:c>
      <x:c r="E27" s="35" t="n">
        <x:v>0</x:v>
      </x:c>
      <x:c r="F27" s="35" t="n">
        <x:v>0</x:v>
      </x:c>
      <x:c r="G27" s="35" t="n">
        <x:v>0</x:v>
      </x:c>
      <x:c r="H27" s="35" t="n">
        <x:v>0</x:v>
      </x:c>
      <x:c r="I27" s="35" t="n">
        <x:v>0</x:v>
      </x:c>
      <x:c r="J27" s="35" t="n">
        <x:v>0</x:v>
      </x:c>
      <x:c r="K27" s="35" t="n">
        <x:v>0</x:v>
      </x:c>
      <x:c r="L27" s="35" t="n">
        <x:v>0</x:v>
      </x:c>
      <x:c r="M27" s="35" t="n">
        <x:v>0</x:v>
      </x:c>
      <x:c r="N27" s="35" t="n">
        <x:v>0</x:v>
      </x:c>
      <x:c r="O27" s="35" t="n">
        <x:v>0</x:v>
      </x:c>
      <x:c r="P27" s="35" t="n">
        <x:v>0</x:v>
      </x:c>
      <x:c r="Q27" s="35" t="n">
        <x:v>0</x:v>
      </x:c>
      <x:c r="R27" s="35" t="n">
        <x:v>0</x:v>
      </x:c>
      <x:c r="S27" s="35" t="n">
        <x:v>0</x:v>
      </x:c>
      <x:c r="T27" s="35" t="n">
        <x:v>0</x:v>
      </x:c>
      <x:c r="U27" s="35" t="n">
        <x:v>0</x:v>
      </x:c>
      <x:c r="V27" s="35" t="n">
        <x:v>0</x:v>
      </x:c>
      <x:c r="W27" s="35" t="n">
        <x:v>0</x:v>
      </x:c>
      <x:c r="X27" s="35" t="n">
        <x:v>0</x:v>
      </x:c>
      <x:c r="Y27" s="35" t="n">
        <x:v>0</x:v>
      </x:c>
      <x:c r="Z27" s="35" t="n">
        <x:v>0</x:v>
      </x:c>
      <x:c r="AA27" s="35" t="n">
        <x:v>0</x:v>
      </x:c>
      <x:c r="AB27" s="35" t="n">
        <x:v>0</x:v>
      </x:c>
      <x:c r="AC27" s="35" t="n">
        <x:f>48000*0.08333333333333333</x:f>
        <x:v>4000</x:v>
      </x:c>
      <x:c r="AD27" s="35" t="n">
        <x:f>48000*0.08333333333333333</x:f>
        <x:v>4000</x:v>
      </x:c>
      <x:c r="AE27" s="35" t="n">
        <x:f>48000*0.08333333333333333</x:f>
        <x:v>4000</x:v>
      </x:c>
      <x:c r="AF27" s="35" t="n">
        <x:f>48000*0.08333333333333333</x:f>
        <x:v>4000</x:v>
      </x:c>
      <x:c r="AG27" s="35" t="n">
        <x:f>48000*0.08333333333333333</x:f>
        <x:v>4000</x:v>
      </x:c>
      <x:c r="AH27" s="35" t="n">
        <x:f>48000*0.08333333333333333</x:f>
        <x:v>4000</x:v>
      </x:c>
      <x:c r="AI27" s="35" t="n">
        <x:f>48000*0.08333333333333333</x:f>
        <x:v>4000</x:v>
      </x:c>
      <x:c r="AJ27" s="35" t="n">
        <x:f>48000*0.08333333333333333</x:f>
        <x:v>4000</x:v>
      </x:c>
      <x:c r="AK27" s="35" t="n">
        <x:f>48000*0.08333333333333333</x:f>
        <x:v>4000</x:v>
      </x:c>
      <x:c r="AL27" s="35" t="n">
        <x:f>48000*0.08333333333333333</x:f>
        <x:v>4000</x:v>
      </x:c>
      <x:c r="AM27" s="35" t="n">
        <x:f>48000*0.08333333333333333</x:f>
        <x:v>4000</x:v>
      </x:c>
      <x:c r="AN27" s="35" t="n">
        <x:f>48000*0.08333333333333333</x:f>
        <x:v>4000</x:v>
      </x:c>
    </x:row>
    <x:row r="28">
      <x:c r="A28" s="36" t="str">
        <x:v>TOTAL NET CASH COLLECTION</x:v>
      </x:c>
      <x:c r="B28" s="36"/>
      <x:c r="C28" s="37" t="n">
        <x:f>SUM(C4:C27)</x:f>
        <x:v>804500</x:v>
      </x:c>
      <x:c r="D28" s="37"/>
      <x:c r="E28" s="37" t="n">
        <x:f>SUM(E4:E27)</x:f>
        <x:v>0</x:v>
      </x:c>
      <x:c r="F28" s="37" t="n">
        <x:f>SUM(F4:F27)</x:f>
        <x:v>0</x:v>
      </x:c>
      <x:c r="G28" s="37" t="n">
        <x:f>SUM(G4:G27)</x:f>
        <x:v>5000</x:v>
      </x:c>
      <x:c r="H28" s="37" t="n">
        <x:f>SUM(H4:H27)</x:f>
        <x:v>5000</x:v>
      </x:c>
      <x:c r="I28" s="37" t="n">
        <x:f>SUM(I4:I27)</x:f>
        <x:v>2500</x:v>
      </x:c>
      <x:c r="J28" s="37" t="n">
        <x:f>SUM(J4:J27)</x:f>
        <x:v>5000</x:v>
      </x:c>
      <x:c r="K28" s="37" t="n">
        <x:f>SUM(K4:K27)</x:f>
        <x:v>13850</x:v>
      </x:c>
      <x:c r="L28" s="37" t="n">
        <x:f>SUM(L4:L27)</x:f>
        <x:v>11350</x:v>
      </x:c>
      <x:c r="M28" s="37" t="n">
        <x:f>SUM(M4:M27)</x:f>
        <x:v>8850</x:v>
      </x:c>
      <x:c r="N28" s="37" t="n">
        <x:f>SUM(N4:N27)</x:f>
        <x:v>18450</x:v>
      </x:c>
      <x:c r="O28" s="37" t="n">
        <x:f>SUM(O4:O27)</x:f>
        <x:v>15500</x:v>
      </x:c>
      <x:c r="P28" s="37" t="n">
        <x:f>SUM(P4:P27)</x:f>
        <x:v>8000</x:v>
      </x:c>
      <x:c r="Q28" s="37" t="n">
        <x:f>SUM(Q4:Q27)</x:f>
        <x:v>14400</x:v>
      </x:c>
      <x:c r="R28" s="37" t="n">
        <x:f>SUM(R4:R27)</x:f>
        <x:v>29400</x:v>
      </x:c>
      <x:c r="S28" s="37" t="n">
        <x:f>SUM(S4:S27)</x:f>
        <x:v>25200</x:v>
      </x:c>
      <x:c r="T28" s="37" t="n">
        <x:f>SUM(T4:T27)</x:f>
        <x:v>29400</x:v>
      </x:c>
      <x:c r="U28" s="37" t="n">
        <x:f>SUM(U4:U27)</x:f>
        <x:v>22400</x:v>
      </x:c>
      <x:c r="V28" s="37" t="n">
        <x:f>SUM(V4:V27)</x:f>
        <x:v>37700</x:v>
      </x:c>
      <x:c r="W28" s="37" t="n">
        <x:f>SUM(W4:W27)</x:f>
        <x:v>41900</x:v>
      </x:c>
      <x:c r="X28" s="37" t="n">
        <x:f>SUM(X4:X27)</x:f>
        <x:v>32400</x:v>
      </x:c>
      <x:c r="Y28" s="37" t="n">
        <x:f>SUM(Y4:Y27)</x:f>
        <x:v>15200</x:v>
      </x:c>
      <x:c r="Z28" s="37" t="n">
        <x:f>SUM(Z4:Z27)</x:f>
        <x:v>6000</x:v>
      </x:c>
      <x:c r="AA28" s="37" t="n">
        <x:f>SUM(AA4:AA27)</x:f>
        <x:v>9000</x:v>
      </x:c>
      <x:c r="AB28" s="37" t="n">
        <x:f>SUM(AB4:AB27)</x:f>
        <x:v>6000</x:v>
      </x:c>
      <x:c r="AC28" s="37" t="n">
        <x:f>SUM(AC4:AC27)</x:f>
        <x:v>40900</x:v>
      </x:c>
      <x:c r="AD28" s="37" t="n">
        <x:f>SUM(AD4:AD27)</x:f>
        <x:v>40900</x:v>
      </x:c>
      <x:c r="AE28" s="37" t="n">
        <x:f>SUM(AE4:AE27)</x:f>
        <x:v>59100</x:v>
      </x:c>
      <x:c r="AF28" s="37" t="n">
        <x:f>SUM(AF4:AF27)</x:f>
        <x:v>43900</x:v>
      </x:c>
      <x:c r="AG28" s="37" t="n">
        <x:f>SUM(AG4:AG27)</x:f>
        <x:v>28600</x:v>
      </x:c>
      <x:c r="AH28" s="37" t="n">
        <x:f>SUM(AH4:AH27)</x:f>
        <x:v>40900</x:v>
      </x:c>
      <x:c r="AI28" s="37" t="n">
        <x:f>SUM(AI4:AI27)</x:f>
        <x:v>45100</x:v>
      </x:c>
      <x:c r="AJ28" s="37" t="n">
        <x:f>SUM(AJ4:AJ27)</x:f>
        <x:v>54900</x:v>
      </x:c>
      <x:c r="AK28" s="37" t="n">
        <x:f>SUM(AK4:AK27)</x:f>
        <x:v>39700</x:v>
      </x:c>
      <x:c r="AL28" s="37" t="n">
        <x:f>SUM(AL4:AL27)</x:f>
        <x:v>16000</x:v>
      </x:c>
      <x:c r="AM28" s="37" t="n">
        <x:f>SUM(AM4:AM27)</x:f>
        <x:v>16000</x:v>
      </x:c>
      <x:c r="AN28" s="37" t="n">
        <x:f>SUM(AN4:AN27)</x:f>
        <x:v>16000</x:v>
      </x:c>
    </x:row>
  </x:sheetData>
  <x:mergeCells>
    <x:mergeCell ref="A1:A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</x:cols>
  <x:sheetData>
    <x:row r="1">
      <x:c r="A1" s="25" t="str">
        <x:v>AMAVIO | 36-month cash plan – collections, VAT timing and liquidity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</x:row>
    <x:row r="3">
      <x:c r="A3" s="28" t="str">
        <x:v>Position</x:v>
      </x:c>
      <x:c r="B3" s="28" t="str">
        <x:v>M1</x:v>
      </x:c>
      <x:c r="C3" s="28" t="str">
        <x:v>M2</x:v>
      </x:c>
      <x:c r="D3" s="28" t="str">
        <x:v>M3</x:v>
      </x:c>
      <x:c r="E3" s="28" t="str">
        <x:v>M4</x:v>
      </x:c>
      <x:c r="F3" s="28" t="str">
        <x:v>M5</x:v>
      </x:c>
      <x:c r="G3" s="28" t="str">
        <x:v>M6</x:v>
      </x:c>
      <x:c r="H3" s="28" t="str">
        <x:v>M7</x:v>
      </x:c>
      <x:c r="I3" s="28" t="str">
        <x:v>M8</x:v>
      </x:c>
      <x:c r="J3" s="28" t="str">
        <x:v>M9</x:v>
      </x:c>
      <x:c r="K3" s="28" t="str">
        <x:v>M10</x:v>
      </x:c>
      <x:c r="L3" s="28" t="str">
        <x:v>M11</x:v>
      </x:c>
      <x:c r="M3" s="28" t="str">
        <x:v>M12</x:v>
      </x:c>
      <x:c r="N3" s="28" t="str">
        <x:v>M13</x:v>
      </x:c>
      <x:c r="O3" s="28" t="str">
        <x:v>M14</x:v>
      </x:c>
      <x:c r="P3" s="28" t="str">
        <x:v>M15</x:v>
      </x:c>
      <x:c r="Q3" s="28" t="str">
        <x:v>M16</x:v>
      </x:c>
      <x:c r="R3" s="28" t="str">
        <x:v>M17</x:v>
      </x:c>
      <x:c r="S3" s="28" t="str">
        <x:v>M18</x:v>
      </x:c>
      <x:c r="T3" s="28" t="str">
        <x:v>M19</x:v>
      </x:c>
      <x:c r="U3" s="28" t="str">
        <x:v>M20</x:v>
      </x:c>
      <x:c r="V3" s="28" t="str">
        <x:v>M21</x:v>
      </x:c>
      <x:c r="W3" s="28" t="str">
        <x:v>M22</x:v>
      </x:c>
      <x:c r="X3" s="28" t="str">
        <x:v>M23</x:v>
      </x:c>
      <x:c r="Y3" s="28" t="str">
        <x:v>M24</x:v>
      </x:c>
      <x:c r="Z3" s="28" t="str">
        <x:v>M25</x:v>
      </x:c>
      <x:c r="AA3" s="28" t="str">
        <x:v>M26</x:v>
      </x:c>
      <x:c r="AB3" s="28" t="str">
        <x:v>M27</x:v>
      </x:c>
      <x:c r="AC3" s="28" t="str">
        <x:v>M28</x:v>
      </x:c>
      <x:c r="AD3" s="28" t="str">
        <x:v>M29</x:v>
      </x:c>
      <x:c r="AE3" s="28" t="str">
        <x:v>M30</x:v>
      </x:c>
      <x:c r="AF3" s="28" t="str">
        <x:v>M31</x:v>
      </x:c>
      <x:c r="AG3" s="28" t="str">
        <x:v>M32</x:v>
      </x:c>
      <x:c r="AH3" s="28" t="str">
        <x:v>M33</x:v>
      </x:c>
      <x:c r="AI3" s="28" t="str">
        <x:v>M34</x:v>
      </x:c>
      <x:c r="AJ3" s="28" t="str">
        <x:v>M35</x:v>
      </x:c>
      <x:c r="AK3" s="28" t="str">
        <x:v>M36</x:v>
      </x:c>
    </x:row>
    <x:row r="4">
      <x:c r="A4" s="33" t="str">
        <x:v>Net cash collections</x:v>
      </x:c>
      <x:c r="B4" s="35" t="n">
        <x:f>'Contract_Cash'!E28</x:f>
        <x:v>0</x:v>
      </x:c>
      <x:c r="C4" s="35" t="n">
        <x:f>'Contract_Cash'!F28</x:f>
        <x:v>0</x:v>
      </x:c>
      <x:c r="D4" s="35" t="n">
        <x:f>'Contract_Cash'!G28</x:f>
        <x:v>5000</x:v>
      </x:c>
      <x:c r="E4" s="35" t="n">
        <x:f>'Contract_Cash'!H28</x:f>
        <x:v>5000</x:v>
      </x:c>
      <x:c r="F4" s="35" t="n">
        <x:f>'Contract_Cash'!I28</x:f>
        <x:v>2500</x:v>
      </x:c>
      <x:c r="G4" s="35" t="n">
        <x:f>'Contract_Cash'!J28</x:f>
        <x:v>5000</x:v>
      </x:c>
      <x:c r="H4" s="35" t="n">
        <x:f>'Contract_Cash'!K28</x:f>
        <x:v>13850</x:v>
      </x:c>
      <x:c r="I4" s="35" t="n">
        <x:f>'Contract_Cash'!L28</x:f>
        <x:v>11350</x:v>
      </x:c>
      <x:c r="J4" s="35" t="n">
        <x:f>'Contract_Cash'!M28</x:f>
        <x:v>8850</x:v>
      </x:c>
      <x:c r="K4" s="35" t="n">
        <x:f>'Contract_Cash'!N28</x:f>
        <x:v>18450</x:v>
      </x:c>
      <x:c r="L4" s="35" t="n">
        <x:f>'Contract_Cash'!O28</x:f>
        <x:v>15500</x:v>
      </x:c>
      <x:c r="M4" s="35" t="n">
        <x:f>'Contract_Cash'!P28</x:f>
        <x:v>8000</x:v>
      </x:c>
      <x:c r="N4" s="35" t="n">
        <x:f>'Contract_Cash'!Q28</x:f>
        <x:v>14400</x:v>
      </x:c>
      <x:c r="O4" s="35" t="n">
        <x:f>'Contract_Cash'!R28</x:f>
        <x:v>29400</x:v>
      </x:c>
      <x:c r="P4" s="35" t="n">
        <x:f>'Contract_Cash'!S28</x:f>
        <x:v>25200</x:v>
      </x:c>
      <x:c r="Q4" s="35" t="n">
        <x:f>'Contract_Cash'!T28</x:f>
        <x:v>29400</x:v>
      </x:c>
      <x:c r="R4" s="35" t="n">
        <x:f>'Contract_Cash'!U28</x:f>
        <x:v>22400</x:v>
      </x:c>
      <x:c r="S4" s="35" t="n">
        <x:f>'Contract_Cash'!V28</x:f>
        <x:v>37700</x:v>
      </x:c>
      <x:c r="T4" s="35" t="n">
        <x:f>'Contract_Cash'!W28</x:f>
        <x:v>41900</x:v>
      </x:c>
      <x:c r="U4" s="35" t="n">
        <x:f>'Contract_Cash'!X28</x:f>
        <x:v>32400</x:v>
      </x:c>
      <x:c r="V4" s="35" t="n">
        <x:f>'Contract_Cash'!Y28</x:f>
        <x:v>15200</x:v>
      </x:c>
      <x:c r="W4" s="35" t="n">
        <x:f>'Contract_Cash'!Z28</x:f>
        <x:v>6000</x:v>
      </x:c>
      <x:c r="X4" s="35" t="n">
        <x:f>'Contract_Cash'!AA28</x:f>
        <x:v>9000</x:v>
      </x:c>
      <x:c r="Y4" s="35" t="n">
        <x:f>'Contract_Cash'!AB28</x:f>
        <x:v>6000</x:v>
      </x:c>
      <x:c r="Z4" s="35" t="n">
        <x:f>'Contract_Cash'!AC28</x:f>
        <x:v>40900</x:v>
      </x:c>
      <x:c r="AA4" s="35" t="n">
        <x:f>'Contract_Cash'!AD28</x:f>
        <x:v>40900</x:v>
      </x:c>
      <x:c r="AB4" s="35" t="n">
        <x:f>'Contract_Cash'!AE28</x:f>
        <x:v>59100</x:v>
      </x:c>
      <x:c r="AC4" s="35" t="n">
        <x:f>'Contract_Cash'!AF28</x:f>
        <x:v>43900</x:v>
      </x:c>
      <x:c r="AD4" s="35" t="n">
        <x:f>'Contract_Cash'!AG28</x:f>
        <x:v>28600</x:v>
      </x:c>
      <x:c r="AE4" s="35" t="n">
        <x:f>'Contract_Cash'!AH28</x:f>
        <x:v>40900</x:v>
      </x:c>
      <x:c r="AF4" s="35" t="n">
        <x:f>'Contract_Cash'!AI28</x:f>
        <x:v>45100</x:v>
      </x:c>
      <x:c r="AG4" s="35" t="n">
        <x:f>'Contract_Cash'!AJ28</x:f>
        <x:v>54900</x:v>
      </x:c>
      <x:c r="AH4" s="35" t="n">
        <x:f>'Contract_Cash'!AK28</x:f>
        <x:v>39700</x:v>
      </x:c>
      <x:c r="AI4" s="35" t="n">
        <x:f>'Contract_Cash'!AL28</x:f>
        <x:v>16000</x:v>
      </x:c>
      <x:c r="AJ4" s="35" t="n">
        <x:f>'Contract_Cash'!AM28</x:f>
        <x:v>16000</x:v>
      </x:c>
      <x:c r="AK4" s="35" t="n">
        <x:f>'Contract_Cash'!AN28</x:f>
        <x:v>16000</x:v>
      </x:c>
    </x:row>
    <x:row r="5">
      <x:c r="A5" s="33" t="str">
        <x:v>VAT collected</x:v>
      </x:c>
      <x:c r="B5" s="35" t="n">
        <x:f>B4*'Assumptions'!B6</x:f>
        <x:v>0</x:v>
      </x:c>
      <x:c r="C5" s="35" t="n">
        <x:f>C4*'Assumptions'!B6</x:f>
        <x:v>0</x:v>
      </x:c>
      <x:c r="D5" s="35" t="n">
        <x:f>D4*'Assumptions'!B6</x:f>
        <x:v>950</x:v>
      </x:c>
      <x:c r="E5" s="35" t="n">
        <x:f>E4*'Assumptions'!B6</x:f>
        <x:v>950</x:v>
      </x:c>
      <x:c r="F5" s="35" t="n">
        <x:f>F4*'Assumptions'!B6</x:f>
        <x:v>475</x:v>
      </x:c>
      <x:c r="G5" s="35" t="n">
        <x:f>G4*'Assumptions'!B6</x:f>
        <x:v>950</x:v>
      </x:c>
      <x:c r="H5" s="35" t="n">
        <x:f>H4*'Assumptions'!B6</x:f>
        <x:v>2631.5</x:v>
      </x:c>
      <x:c r="I5" s="35" t="n">
        <x:f>I4*'Assumptions'!B6</x:f>
        <x:v>2156.5</x:v>
      </x:c>
      <x:c r="J5" s="35" t="n">
        <x:f>J4*'Assumptions'!B6</x:f>
        <x:v>1681.5</x:v>
      </x:c>
      <x:c r="K5" s="35" t="n">
        <x:f>K4*'Assumptions'!B6</x:f>
        <x:v>3505.5</x:v>
      </x:c>
      <x:c r="L5" s="35" t="n">
        <x:f>L4*'Assumptions'!B6</x:f>
        <x:v>2945</x:v>
      </x:c>
      <x:c r="M5" s="35" t="n">
        <x:f>M4*'Assumptions'!B6</x:f>
        <x:v>1520</x:v>
      </x:c>
      <x:c r="N5" s="35" t="n">
        <x:f>N4*'Assumptions'!C6</x:f>
        <x:v>2736</x:v>
      </x:c>
      <x:c r="O5" s="35" t="n">
        <x:f>O4*'Assumptions'!C6</x:f>
        <x:v>5586</x:v>
      </x:c>
      <x:c r="P5" s="35" t="n">
        <x:f>P4*'Assumptions'!C6</x:f>
        <x:v>4788</x:v>
      </x:c>
      <x:c r="Q5" s="35" t="n">
        <x:f>Q4*'Assumptions'!C6</x:f>
        <x:v>5586</x:v>
      </x:c>
      <x:c r="R5" s="35" t="n">
        <x:f>R4*'Assumptions'!C6</x:f>
        <x:v>4256</x:v>
      </x:c>
      <x:c r="S5" s="35" t="n">
        <x:f>S4*'Assumptions'!C6</x:f>
        <x:v>7163</x:v>
      </x:c>
      <x:c r="T5" s="35" t="n">
        <x:f>T4*'Assumptions'!C6</x:f>
        <x:v>7961</x:v>
      </x:c>
      <x:c r="U5" s="35" t="n">
        <x:f>U4*'Assumptions'!C6</x:f>
        <x:v>6156</x:v>
      </x:c>
      <x:c r="V5" s="35" t="n">
        <x:f>V4*'Assumptions'!C6</x:f>
        <x:v>2888</x:v>
      </x:c>
      <x:c r="W5" s="35" t="n">
        <x:f>W4*'Assumptions'!C6</x:f>
        <x:v>1140</x:v>
      </x:c>
      <x:c r="X5" s="35" t="n">
        <x:f>X4*'Assumptions'!C6</x:f>
        <x:v>1710</x:v>
      </x:c>
      <x:c r="Y5" s="35" t="n">
        <x:f>Y4*'Assumptions'!C6</x:f>
        <x:v>1140</x:v>
      </x:c>
      <x:c r="Z5" s="35" t="n">
        <x:f>Z4*'Assumptions'!D6</x:f>
        <x:v>7771</x:v>
      </x:c>
      <x:c r="AA5" s="35" t="n">
        <x:f>AA4*'Assumptions'!D6</x:f>
        <x:v>7771</x:v>
      </x:c>
      <x:c r="AB5" s="35" t="n">
        <x:f>AB4*'Assumptions'!D6</x:f>
        <x:v>11229</x:v>
      </x:c>
      <x:c r="AC5" s="35" t="n">
        <x:f>AC4*'Assumptions'!D6</x:f>
        <x:v>8341</x:v>
      </x:c>
      <x:c r="AD5" s="35" t="n">
        <x:f>AD4*'Assumptions'!D6</x:f>
        <x:v>5434</x:v>
      </x:c>
      <x:c r="AE5" s="35" t="n">
        <x:f>AE4*'Assumptions'!D6</x:f>
        <x:v>7771</x:v>
      </x:c>
      <x:c r="AF5" s="35" t="n">
        <x:f>AF4*'Assumptions'!D6</x:f>
        <x:v>8569</x:v>
      </x:c>
      <x:c r="AG5" s="35" t="n">
        <x:f>AG4*'Assumptions'!D6</x:f>
        <x:v>10431</x:v>
      </x:c>
      <x:c r="AH5" s="35" t="n">
        <x:f>AH4*'Assumptions'!D6</x:f>
        <x:v>7543</x:v>
      </x:c>
      <x:c r="AI5" s="35" t="n">
        <x:f>AI4*'Assumptions'!D6</x:f>
        <x:v>3040</x:v>
      </x:c>
      <x:c r="AJ5" s="35" t="n">
        <x:f>AJ4*'Assumptions'!D6</x:f>
        <x:v>3040</x:v>
      </x:c>
      <x:c r="AK5" s="35" t="n">
        <x:f>AK4*'Assumptions'!D6</x:f>
        <x:v>3040</x:v>
      </x:c>
    </x:row>
    <x:row r="6">
      <x:c r="A6" s="33" t="str">
        <x:v>VAT paid from prior-month reserve</x:v>
      </x:c>
      <x:c r="B6" s="35" t="n">
        <x:f>0</x:f>
        <x:v>0</x:v>
      </x:c>
      <x:c r="C6" s="35" t="n">
        <x:f>B5</x:f>
        <x:v>0</x:v>
      </x:c>
      <x:c r="D6" s="35" t="n">
        <x:f>C5</x:f>
        <x:v>0</x:v>
      </x:c>
      <x:c r="E6" s="35" t="n">
        <x:f>D5</x:f>
        <x:v>950</x:v>
      </x:c>
      <x:c r="F6" s="35" t="n">
        <x:f>E5</x:f>
        <x:v>950</x:v>
      </x:c>
      <x:c r="G6" s="35" t="n">
        <x:f>F5</x:f>
        <x:v>475</x:v>
      </x:c>
      <x:c r="H6" s="35" t="n">
        <x:f>G5</x:f>
        <x:v>950</x:v>
      </x:c>
      <x:c r="I6" s="35" t="n">
        <x:f>H5</x:f>
        <x:v>2631.5</x:v>
      </x:c>
      <x:c r="J6" s="35" t="n">
        <x:f>I5</x:f>
        <x:v>2156.5</x:v>
      </x:c>
      <x:c r="K6" s="35" t="n">
        <x:f>J5</x:f>
        <x:v>1681.5</x:v>
      </x:c>
      <x:c r="L6" s="35" t="n">
        <x:f>K5</x:f>
        <x:v>3505.5</x:v>
      </x:c>
      <x:c r="M6" s="35" t="n">
        <x:f>L5</x:f>
        <x:v>2945</x:v>
      </x:c>
      <x:c r="N6" s="35" t="n">
        <x:f>M5</x:f>
        <x:v>1520</x:v>
      </x:c>
      <x:c r="O6" s="35" t="n">
        <x:f>N5</x:f>
        <x:v>2736</x:v>
      </x:c>
      <x:c r="P6" s="35" t="n">
        <x:f>O5</x:f>
        <x:v>5586</x:v>
      </x:c>
      <x:c r="Q6" s="35" t="n">
        <x:f>P5</x:f>
        <x:v>4788</x:v>
      </x:c>
      <x:c r="R6" s="35" t="n">
        <x:f>Q5</x:f>
        <x:v>5586</x:v>
      </x:c>
      <x:c r="S6" s="35" t="n">
        <x:f>R5</x:f>
        <x:v>4256</x:v>
      </x:c>
      <x:c r="T6" s="35" t="n">
        <x:f>S5</x:f>
        <x:v>7163</x:v>
      </x:c>
      <x:c r="U6" s="35" t="n">
        <x:f>T5</x:f>
        <x:v>7961</x:v>
      </x:c>
      <x:c r="V6" s="35" t="n">
        <x:f>U5</x:f>
        <x:v>6156</x:v>
      </x:c>
      <x:c r="W6" s="35" t="n">
        <x:f>V5</x:f>
        <x:v>2888</x:v>
      </x:c>
      <x:c r="X6" s="35" t="n">
        <x:f>W5</x:f>
        <x:v>1140</x:v>
      </x:c>
      <x:c r="Y6" s="35" t="n">
        <x:f>X5</x:f>
        <x:v>1710</x:v>
      </x:c>
      <x:c r="Z6" s="35" t="n">
        <x:f>Y5</x:f>
        <x:v>1140</x:v>
      </x:c>
      <x:c r="AA6" s="35" t="n">
        <x:f>Z5</x:f>
        <x:v>7771</x:v>
      </x:c>
      <x:c r="AB6" s="35" t="n">
        <x:f>AA5</x:f>
        <x:v>7771</x:v>
      </x:c>
      <x:c r="AC6" s="35" t="n">
        <x:f>AB5</x:f>
        <x:v>11229</x:v>
      </x:c>
      <x:c r="AD6" s="35" t="n">
        <x:f>AC5</x:f>
        <x:v>8341</x:v>
      </x:c>
      <x:c r="AE6" s="35" t="n">
        <x:f>AD5</x:f>
        <x:v>5434</x:v>
      </x:c>
      <x:c r="AF6" s="35" t="n">
        <x:f>AE5</x:f>
        <x:v>7771</x:v>
      </x:c>
      <x:c r="AG6" s="35" t="n">
        <x:f>AF5</x:f>
        <x:v>8569</x:v>
      </x:c>
      <x:c r="AH6" s="35" t="n">
        <x:f>AG5</x:f>
        <x:v>10431</x:v>
      </x:c>
      <x:c r="AI6" s="35" t="n">
        <x:f>AH5</x:f>
        <x:v>7543</x:v>
      </x:c>
      <x:c r="AJ6" s="35" t="n">
        <x:f>AI5</x:f>
        <x:v>3040</x:v>
      </x:c>
      <x:c r="AK6" s="35" t="n">
        <x:f>AJ5</x:f>
        <x:v>3040</x:v>
      </x:c>
    </x:row>
    <x:row r="7">
      <x:c r="A7" s="33" t="str">
        <x:v>Gross cash receipts</x:v>
      </x:c>
      <x:c r="B7" s="35" t="n">
        <x:f>B4+B5-B6</x:f>
        <x:v>0</x:v>
      </x:c>
      <x:c r="C7" s="35" t="n">
        <x:f>C4+C5-C6</x:f>
        <x:v>0</x:v>
      </x:c>
      <x:c r="D7" s="35" t="n">
        <x:f>D4+D5-D6</x:f>
        <x:v>5950</x:v>
      </x:c>
      <x:c r="E7" s="35" t="n">
        <x:f>E4+E5-E6</x:f>
        <x:v>5000</x:v>
      </x:c>
      <x:c r="F7" s="35" t="n">
        <x:f>F4+F5-F6</x:f>
        <x:v>2025</x:v>
      </x:c>
      <x:c r="G7" s="35" t="n">
        <x:f>G4+G5-G6</x:f>
        <x:v>5475</x:v>
      </x:c>
      <x:c r="H7" s="35" t="n">
        <x:f>H4+H5-H6</x:f>
        <x:v>15531.5</x:v>
      </x:c>
      <x:c r="I7" s="35" t="n">
        <x:f>I4+I5-I6</x:f>
        <x:v>10875</x:v>
      </x:c>
      <x:c r="J7" s="35" t="n">
        <x:f>J4+J5-J6</x:f>
        <x:v>8375</x:v>
      </x:c>
      <x:c r="K7" s="35" t="n">
        <x:f>K4+K5-K6</x:f>
        <x:v>20274</x:v>
      </x:c>
      <x:c r="L7" s="35" t="n">
        <x:f>L4+L5-L6</x:f>
        <x:v>14939.5</x:v>
      </x:c>
      <x:c r="M7" s="35" t="n">
        <x:f>M4+M5-M6</x:f>
        <x:v>6575</x:v>
      </x:c>
      <x:c r="N7" s="35" t="n">
        <x:f>N4+N5-N6</x:f>
        <x:v>15616</x:v>
      </x:c>
      <x:c r="O7" s="35" t="n">
        <x:f>O4+O5-O6</x:f>
        <x:v>32250</x:v>
      </x:c>
      <x:c r="P7" s="35" t="n">
        <x:f>P4+P5-P6</x:f>
        <x:v>24402</x:v>
      </x:c>
      <x:c r="Q7" s="35" t="n">
        <x:f>Q4+Q5-Q6</x:f>
        <x:v>30198</x:v>
      </x:c>
      <x:c r="R7" s="35" t="n">
        <x:f>R4+R5-R6</x:f>
        <x:v>21070</x:v>
      </x:c>
      <x:c r="S7" s="35" t="n">
        <x:f>S4+S5-S6</x:f>
        <x:v>40607</x:v>
      </x:c>
      <x:c r="T7" s="35" t="n">
        <x:f>T4+T5-T6</x:f>
        <x:v>42698</x:v>
      </x:c>
      <x:c r="U7" s="35" t="n">
        <x:f>U4+U5-U6</x:f>
        <x:v>30595</x:v>
      </x:c>
      <x:c r="V7" s="35" t="n">
        <x:f>V4+V5-V6</x:f>
        <x:v>11932</x:v>
      </x:c>
      <x:c r="W7" s="35" t="n">
        <x:f>W4+W5-W6</x:f>
        <x:v>4252</x:v>
      </x:c>
      <x:c r="X7" s="35" t="n">
        <x:f>X4+X5-X6</x:f>
        <x:v>9570</x:v>
      </x:c>
      <x:c r="Y7" s="35" t="n">
        <x:f>Y4+Y5-Y6</x:f>
        <x:v>5430</x:v>
      </x:c>
      <x:c r="Z7" s="35" t="n">
        <x:f>Z4+Z5-Z6</x:f>
        <x:v>47531</x:v>
      </x:c>
      <x:c r="AA7" s="35" t="n">
        <x:f>AA4+AA5-AA6</x:f>
        <x:v>40900</x:v>
      </x:c>
      <x:c r="AB7" s="35" t="n">
        <x:f>AB4+AB5-AB6</x:f>
        <x:v>62558</x:v>
      </x:c>
      <x:c r="AC7" s="35" t="n">
        <x:f>AC4+AC5-AC6</x:f>
        <x:v>41012</x:v>
      </x:c>
      <x:c r="AD7" s="35" t="n">
        <x:f>AD4+AD5-AD6</x:f>
        <x:v>25693</x:v>
      </x:c>
      <x:c r="AE7" s="35" t="n">
        <x:f>AE4+AE5-AE6</x:f>
        <x:v>43237</x:v>
      </x:c>
      <x:c r="AF7" s="35" t="n">
        <x:f>AF4+AF5-AF6</x:f>
        <x:v>45898</x:v>
      </x:c>
      <x:c r="AG7" s="35" t="n">
        <x:f>AG4+AG5-AG6</x:f>
        <x:v>56762</x:v>
      </x:c>
      <x:c r="AH7" s="35" t="n">
        <x:f>AH4+AH5-AH6</x:f>
        <x:v>36812</x:v>
      </x:c>
      <x:c r="AI7" s="35" t="n">
        <x:f>AI4+AI5-AI6</x:f>
        <x:v>11497</x:v>
      </x:c>
      <x:c r="AJ7" s="35" t="n">
        <x:f>AJ4+AJ5-AJ6</x:f>
        <x:v>16000</x:v>
      </x:c>
      <x:c r="AK7" s="35" t="n">
        <x:f>AK4+AK5-AK6</x:f>
        <x:v>16000</x:v>
      </x:c>
    </x:row>
    <x:row r="8">
      <x:c r="A8" s="33" t="str">
        <x:v>Variable external cash costs</x:v>
      </x:c>
      <x:c r="B8" s="35" t="n">
        <x:f>B4*'Assumptions'!B7</x:f>
        <x:v>0</x:v>
      </x:c>
      <x:c r="C8" s="35" t="n">
        <x:f>C4*'Assumptions'!B7</x:f>
        <x:v>0</x:v>
      </x:c>
      <x:c r="D8" s="35" t="n">
        <x:f>D4*'Assumptions'!B7</x:f>
        <x:v>500</x:v>
      </x:c>
      <x:c r="E8" s="35" t="n">
        <x:f>E4*'Assumptions'!B7</x:f>
        <x:v>500</x:v>
      </x:c>
      <x:c r="F8" s="35" t="n">
        <x:f>F4*'Assumptions'!B7</x:f>
        <x:v>250</x:v>
      </x:c>
      <x:c r="G8" s="35" t="n">
        <x:f>G4*'Assumptions'!B7</x:f>
        <x:v>500</x:v>
      </x:c>
      <x:c r="H8" s="35" t="n">
        <x:f>H4*'Assumptions'!B7</x:f>
        <x:v>1385</x:v>
      </x:c>
      <x:c r="I8" s="35" t="n">
        <x:f>I4*'Assumptions'!B7</x:f>
        <x:v>1135</x:v>
      </x:c>
      <x:c r="J8" s="35" t="n">
        <x:f>J4*'Assumptions'!B7</x:f>
        <x:v>885</x:v>
      </x:c>
      <x:c r="K8" s="35" t="n">
        <x:f>K4*'Assumptions'!B7</x:f>
        <x:v>1845</x:v>
      </x:c>
      <x:c r="L8" s="35" t="n">
        <x:f>L4*'Assumptions'!B7</x:f>
        <x:v>1550</x:v>
      </x:c>
      <x:c r="M8" s="35" t="n">
        <x:f>M4*'Assumptions'!B7</x:f>
        <x:v>800</x:v>
      </x:c>
      <x:c r="N8" s="35" t="n">
        <x:f>N4*'Assumptions'!C7</x:f>
        <x:v>1728</x:v>
      </x:c>
      <x:c r="O8" s="35" t="n">
        <x:f>O4*'Assumptions'!C7</x:f>
        <x:v>3528</x:v>
      </x:c>
      <x:c r="P8" s="35" t="n">
        <x:f>P4*'Assumptions'!C7</x:f>
        <x:v>3024</x:v>
      </x:c>
      <x:c r="Q8" s="35" t="n">
        <x:f>Q4*'Assumptions'!C7</x:f>
        <x:v>3528</x:v>
      </x:c>
      <x:c r="R8" s="35" t="n">
        <x:f>R4*'Assumptions'!C7</x:f>
        <x:v>2688</x:v>
      </x:c>
      <x:c r="S8" s="35" t="n">
        <x:f>S4*'Assumptions'!C7</x:f>
        <x:v>4524</x:v>
      </x:c>
      <x:c r="T8" s="35" t="n">
        <x:f>T4*'Assumptions'!C7</x:f>
        <x:v>5028</x:v>
      </x:c>
      <x:c r="U8" s="35" t="n">
        <x:f>U4*'Assumptions'!C7</x:f>
        <x:v>3888</x:v>
      </x:c>
      <x:c r="V8" s="35" t="n">
        <x:f>V4*'Assumptions'!C7</x:f>
        <x:v>1824</x:v>
      </x:c>
      <x:c r="W8" s="35" t="n">
        <x:f>W4*'Assumptions'!C7</x:f>
        <x:v>720</x:v>
      </x:c>
      <x:c r="X8" s="35" t="n">
        <x:f>X4*'Assumptions'!C7</x:f>
        <x:v>1080</x:v>
      </x:c>
      <x:c r="Y8" s="35" t="n">
        <x:f>Y4*'Assumptions'!C7</x:f>
        <x:v>720</x:v>
      </x:c>
      <x:c r="Z8" s="35" t="n">
        <x:f>Z4*'Assumptions'!D7</x:f>
        <x:v>6135</x:v>
      </x:c>
      <x:c r="AA8" s="35" t="n">
        <x:f>AA4*'Assumptions'!D7</x:f>
        <x:v>6135</x:v>
      </x:c>
      <x:c r="AB8" s="35" t="n">
        <x:f>AB4*'Assumptions'!D7</x:f>
        <x:v>8865</x:v>
      </x:c>
      <x:c r="AC8" s="35" t="n">
        <x:f>AC4*'Assumptions'!D7</x:f>
        <x:v>6585</x:v>
      </x:c>
      <x:c r="AD8" s="35" t="n">
        <x:f>AD4*'Assumptions'!D7</x:f>
        <x:v>4290</x:v>
      </x:c>
      <x:c r="AE8" s="35" t="n">
        <x:f>AE4*'Assumptions'!D7</x:f>
        <x:v>6135</x:v>
      </x:c>
      <x:c r="AF8" s="35" t="n">
        <x:f>AF4*'Assumptions'!D7</x:f>
        <x:v>6765</x:v>
      </x:c>
      <x:c r="AG8" s="35" t="n">
        <x:f>AG4*'Assumptions'!D7</x:f>
        <x:v>8235</x:v>
      </x:c>
      <x:c r="AH8" s="35" t="n">
        <x:f>AH4*'Assumptions'!D7</x:f>
        <x:v>5955</x:v>
      </x:c>
      <x:c r="AI8" s="35" t="n">
        <x:f>AI4*'Assumptions'!D7</x:f>
        <x:v>2400</x:v>
      </x:c>
      <x:c r="AJ8" s="35" t="n">
        <x:f>AJ4*'Assumptions'!D7</x:f>
        <x:v>2400</x:v>
      </x:c>
      <x:c r="AK8" s="35" t="n">
        <x:f>AK4*'Assumptions'!D7</x:f>
        <x:v>2400</x:v>
      </x:c>
    </x:row>
    <x:row r="9">
      <x:c r="A9" s="33" t="str">
        <x:v>Overhead</x:v>
      </x:c>
      <x:c r="B9" s="35" t="n">
        <x:f>'Assumptions'!B8</x:f>
        <x:v>1600</x:v>
      </x:c>
      <x:c r="C9" s="35" t="n">
        <x:f>'Assumptions'!B8</x:f>
        <x:v>1600</x:v>
      </x:c>
      <x:c r="D9" s="35" t="n">
        <x:f>'Assumptions'!B8</x:f>
        <x:v>1600</x:v>
      </x:c>
      <x:c r="E9" s="35" t="n">
        <x:f>'Assumptions'!B8</x:f>
        <x:v>1600</x:v>
      </x:c>
      <x:c r="F9" s="35" t="n">
        <x:f>'Assumptions'!B8</x:f>
        <x:v>1600</x:v>
      </x:c>
      <x:c r="G9" s="35" t="n">
        <x:f>'Assumptions'!B8</x:f>
        <x:v>1600</x:v>
      </x:c>
      <x:c r="H9" s="35" t="n">
        <x:f>'Assumptions'!B8</x:f>
        <x:v>1600</x:v>
      </x:c>
      <x:c r="I9" s="35" t="n">
        <x:f>'Assumptions'!B8</x:f>
        <x:v>1600</x:v>
      </x:c>
      <x:c r="J9" s="35" t="n">
        <x:f>'Assumptions'!B8</x:f>
        <x:v>1600</x:v>
      </x:c>
      <x:c r="K9" s="35" t="n">
        <x:f>'Assumptions'!B8</x:f>
        <x:v>1600</x:v>
      </x:c>
      <x:c r="L9" s="35" t="n">
        <x:f>'Assumptions'!B8</x:f>
        <x:v>1600</x:v>
      </x:c>
      <x:c r="M9" s="35" t="n">
        <x:f>'Assumptions'!B8</x:f>
        <x:v>1600</x:v>
      </x:c>
      <x:c r="N9" s="35" t="n">
        <x:f>'Assumptions'!C8</x:f>
        <x:v>2200</x:v>
      </x:c>
      <x:c r="O9" s="35" t="n">
        <x:f>'Assumptions'!C8</x:f>
        <x:v>2200</x:v>
      </x:c>
      <x:c r="P9" s="35" t="n">
        <x:f>'Assumptions'!C8</x:f>
        <x:v>2200</x:v>
      </x:c>
      <x:c r="Q9" s="35" t="n">
        <x:f>'Assumptions'!C8</x:f>
        <x:v>2200</x:v>
      </x:c>
      <x:c r="R9" s="35" t="n">
        <x:f>'Assumptions'!C8</x:f>
        <x:v>2200</x:v>
      </x:c>
      <x:c r="S9" s="35" t="n">
        <x:f>'Assumptions'!C8</x:f>
        <x:v>2200</x:v>
      </x:c>
      <x:c r="T9" s="35" t="n">
        <x:f>'Assumptions'!C8</x:f>
        <x:v>2200</x:v>
      </x:c>
      <x:c r="U9" s="35" t="n">
        <x:f>'Assumptions'!C8</x:f>
        <x:v>2200</x:v>
      </x:c>
      <x:c r="V9" s="35" t="n">
        <x:f>'Assumptions'!C8</x:f>
        <x:v>2200</x:v>
      </x:c>
      <x:c r="W9" s="35" t="n">
        <x:f>'Assumptions'!C8</x:f>
        <x:v>2200</x:v>
      </x:c>
      <x:c r="X9" s="35" t="n">
        <x:f>'Assumptions'!C8</x:f>
        <x:v>2200</x:v>
      </x:c>
      <x:c r="Y9" s="35" t="n">
        <x:f>'Assumptions'!C8</x:f>
        <x:v>2200</x:v>
      </x:c>
      <x:c r="Z9" s="35" t="n">
        <x:f>'Assumptions'!D8</x:f>
        <x:v>3200</x:v>
      </x:c>
      <x:c r="AA9" s="35" t="n">
        <x:f>'Assumptions'!D8</x:f>
        <x:v>3200</x:v>
      </x:c>
      <x:c r="AB9" s="35" t="n">
        <x:f>'Assumptions'!D8</x:f>
        <x:v>3200</x:v>
      </x:c>
      <x:c r="AC9" s="35" t="n">
        <x:f>'Assumptions'!D8</x:f>
        <x:v>3200</x:v>
      </x:c>
      <x:c r="AD9" s="35" t="n">
        <x:f>'Assumptions'!D8</x:f>
        <x:v>3200</x:v>
      </x:c>
      <x:c r="AE9" s="35" t="n">
        <x:f>'Assumptions'!D8</x:f>
        <x:v>3200</x:v>
      </x:c>
      <x:c r="AF9" s="35" t="n">
        <x:f>'Assumptions'!D8</x:f>
        <x:v>3200</x:v>
      </x:c>
      <x:c r="AG9" s="35" t="n">
        <x:f>'Assumptions'!D8</x:f>
        <x:v>3200</x:v>
      </x:c>
      <x:c r="AH9" s="35" t="n">
        <x:f>'Assumptions'!D8</x:f>
        <x:v>3200</x:v>
      </x:c>
      <x:c r="AI9" s="35" t="n">
        <x:f>'Assumptions'!D8</x:f>
        <x:v>3200</x:v>
      </x:c>
      <x:c r="AJ9" s="35" t="n">
        <x:f>'Assumptions'!D8</x:f>
        <x:v>3200</x:v>
      </x:c>
      <x:c r="AK9" s="35" t="n">
        <x:f>'Assumptions'!D8</x:f>
        <x:v>3200</x:v>
      </x:c>
    </x:row>
    <x:row r="10">
      <x:c r="A10" s="33" t="str">
        <x:v>Founder compensation</x:v>
      </x:c>
      <x:c r="B10" s="35" t="n">
        <x:f>'Assumptions'!B9</x:f>
        <x:v>2500</x:v>
      </x:c>
      <x:c r="C10" s="35" t="n">
        <x:f>'Assumptions'!B9</x:f>
        <x:v>2500</x:v>
      </x:c>
      <x:c r="D10" s="35" t="n">
        <x:f>'Assumptions'!B9</x:f>
        <x:v>2500</x:v>
      </x:c>
      <x:c r="E10" s="35" t="n">
        <x:f>'Assumptions'!B9</x:f>
        <x:v>2500</x:v>
      </x:c>
      <x:c r="F10" s="35" t="n">
        <x:f>'Assumptions'!B9</x:f>
        <x:v>2500</x:v>
      </x:c>
      <x:c r="G10" s="35" t="n">
        <x:f>'Assumptions'!B9</x:f>
        <x:v>2500</x:v>
      </x:c>
      <x:c r="H10" s="35" t="n">
        <x:f>'Assumptions'!B9</x:f>
        <x:v>2500</x:v>
      </x:c>
      <x:c r="I10" s="35" t="n">
        <x:f>'Assumptions'!B9</x:f>
        <x:v>2500</x:v>
      </x:c>
      <x:c r="J10" s="35" t="n">
        <x:f>'Assumptions'!B9</x:f>
        <x:v>2500</x:v>
      </x:c>
      <x:c r="K10" s="35" t="n">
        <x:f>'Assumptions'!B9</x:f>
        <x:v>2500</x:v>
      </x:c>
      <x:c r="L10" s="35" t="n">
        <x:f>'Assumptions'!B9</x:f>
        <x:v>2500</x:v>
      </x:c>
      <x:c r="M10" s="35" t="n">
        <x:f>'Assumptions'!B9</x:f>
        <x:v>2500</x:v>
      </x:c>
      <x:c r="N10" s="35" t="n">
        <x:f>'Assumptions'!C9</x:f>
        <x:v>3500</x:v>
      </x:c>
      <x:c r="O10" s="35" t="n">
        <x:f>'Assumptions'!C9</x:f>
        <x:v>3500</x:v>
      </x:c>
      <x:c r="P10" s="35" t="n">
        <x:f>'Assumptions'!C9</x:f>
        <x:v>3500</x:v>
      </x:c>
      <x:c r="Q10" s="35" t="n">
        <x:f>'Assumptions'!C9</x:f>
        <x:v>3500</x:v>
      </x:c>
      <x:c r="R10" s="35" t="n">
        <x:f>'Assumptions'!C9</x:f>
        <x:v>3500</x:v>
      </x:c>
      <x:c r="S10" s="35" t="n">
        <x:f>'Assumptions'!C9</x:f>
        <x:v>3500</x:v>
      </x:c>
      <x:c r="T10" s="35" t="n">
        <x:f>'Assumptions'!C9</x:f>
        <x:v>3500</x:v>
      </x:c>
      <x:c r="U10" s="35" t="n">
        <x:f>'Assumptions'!C9</x:f>
        <x:v>3500</x:v>
      </x:c>
      <x:c r="V10" s="35" t="n">
        <x:f>'Assumptions'!C9</x:f>
        <x:v>3500</x:v>
      </x:c>
      <x:c r="W10" s="35" t="n">
        <x:f>'Assumptions'!C9</x:f>
        <x:v>3500</x:v>
      </x:c>
      <x:c r="X10" s="35" t="n">
        <x:f>'Assumptions'!C9</x:f>
        <x:v>3500</x:v>
      </x:c>
      <x:c r="Y10" s="35" t="n">
        <x:f>'Assumptions'!C9</x:f>
        <x:v>3500</x:v>
      </x:c>
      <x:c r="Z10" s="35" t="n">
        <x:f>'Assumptions'!D9</x:f>
        <x:v>5000</x:v>
      </x:c>
      <x:c r="AA10" s="35" t="n">
        <x:f>'Assumptions'!D9</x:f>
        <x:v>5000</x:v>
      </x:c>
      <x:c r="AB10" s="35" t="n">
        <x:f>'Assumptions'!D9</x:f>
        <x:v>5000</x:v>
      </x:c>
      <x:c r="AC10" s="35" t="n">
        <x:f>'Assumptions'!D9</x:f>
        <x:v>5000</x:v>
      </x:c>
      <x:c r="AD10" s="35" t="n">
        <x:f>'Assumptions'!D9</x:f>
        <x:v>5000</x:v>
      </x:c>
      <x:c r="AE10" s="35" t="n">
        <x:f>'Assumptions'!D9</x:f>
        <x:v>5000</x:v>
      </x:c>
      <x:c r="AF10" s="35" t="n">
        <x:f>'Assumptions'!D9</x:f>
        <x:v>5000</x:v>
      </x:c>
      <x:c r="AG10" s="35" t="n">
        <x:f>'Assumptions'!D9</x:f>
        <x:v>5000</x:v>
      </x:c>
      <x:c r="AH10" s="35" t="n">
        <x:f>'Assumptions'!D9</x:f>
        <x:v>5000</x:v>
      </x:c>
      <x:c r="AI10" s="35" t="n">
        <x:f>'Assumptions'!D9</x:f>
        <x:v>5000</x:v>
      </x:c>
      <x:c r="AJ10" s="35" t="n">
        <x:f>'Assumptions'!D9</x:f>
        <x:v>5000</x:v>
      </x:c>
      <x:c r="AK10" s="35" t="n">
        <x:f>'Assumptions'!D9</x:f>
        <x:v>5000</x:v>
      </x:c>
    </x:row>
    <x:row r="11">
      <x:c r="A11" s="33" t="str">
        <x:v>Project coordination</x:v>
      </x:c>
      <x:c r="B11" s="35" t="n">
        <x:f>'Assumptions'!B10</x:f>
        <x:v>0</x:v>
      </x:c>
      <x:c r="C11" s="35" t="n">
        <x:f>'Assumptions'!B10</x:f>
        <x:v>0</x:v>
      </x:c>
      <x:c r="D11" s="35" t="n">
        <x:f>'Assumptions'!B10</x:f>
        <x:v>0</x:v>
      </x:c>
      <x:c r="E11" s="35" t="n">
        <x:f>'Assumptions'!B10</x:f>
        <x:v>0</x:v>
      </x:c>
      <x:c r="F11" s="35" t="n">
        <x:f>'Assumptions'!B10</x:f>
        <x:v>0</x:v>
      </x:c>
      <x:c r="G11" s="35" t="n">
        <x:f>'Assumptions'!B10</x:f>
        <x:v>0</x:v>
      </x:c>
      <x:c r="H11" s="35" t="n">
        <x:f>'Assumptions'!B10</x:f>
        <x:v>0</x:v>
      </x:c>
      <x:c r="I11" s="35" t="n">
        <x:f>'Assumptions'!B10</x:f>
        <x:v>0</x:v>
      </x:c>
      <x:c r="J11" s="35" t="n">
        <x:f>'Assumptions'!B10</x:f>
        <x:v>0</x:v>
      </x:c>
      <x:c r="K11" s="35" t="n">
        <x:f>'Assumptions'!B10</x:f>
        <x:v>0</x:v>
      </x:c>
      <x:c r="L11" s="35" t="n">
        <x:f>'Assumptions'!B10</x:f>
        <x:v>0</x:v>
      </x:c>
      <x:c r="M11" s="35" t="n">
        <x:f>'Assumptions'!B10</x:f>
        <x:v>0</x:v>
      </x:c>
      <x:c r="N11" s="35" t="n">
        <x:f>'Assumptions'!C10</x:f>
        <x:v>4000</x:v>
      </x:c>
      <x:c r="O11" s="35" t="n">
        <x:f>'Assumptions'!C10</x:f>
        <x:v>4000</x:v>
      </x:c>
      <x:c r="P11" s="35" t="n">
        <x:f>'Assumptions'!C10</x:f>
        <x:v>4000</x:v>
      </x:c>
      <x:c r="Q11" s="35" t="n">
        <x:f>'Assumptions'!C10</x:f>
        <x:v>4000</x:v>
      </x:c>
      <x:c r="R11" s="35" t="n">
        <x:f>'Assumptions'!C10</x:f>
        <x:v>4000</x:v>
      </x:c>
      <x:c r="S11" s="35" t="n">
        <x:f>'Assumptions'!C10</x:f>
        <x:v>4000</x:v>
      </x:c>
      <x:c r="T11" s="35" t="n">
        <x:f>'Assumptions'!C10</x:f>
        <x:v>4000</x:v>
      </x:c>
      <x:c r="U11" s="35" t="n">
        <x:f>'Assumptions'!C10</x:f>
        <x:v>4000</x:v>
      </x:c>
      <x:c r="V11" s="35" t="n">
        <x:f>'Assumptions'!C10</x:f>
        <x:v>4000</x:v>
      </x:c>
      <x:c r="W11" s="35" t="n">
        <x:f>'Assumptions'!C10</x:f>
        <x:v>4000</x:v>
      </x:c>
      <x:c r="X11" s="35" t="n">
        <x:f>'Assumptions'!C10</x:f>
        <x:v>4000</x:v>
      </x:c>
      <x:c r="Y11" s="35" t="n">
        <x:f>'Assumptions'!C10</x:f>
        <x:v>4000</x:v>
      </x:c>
      <x:c r="Z11" s="35" t="n">
        <x:f>'Assumptions'!D10</x:f>
        <x:v>9000</x:v>
      </x:c>
      <x:c r="AA11" s="35" t="n">
        <x:f>'Assumptions'!D10</x:f>
        <x:v>9000</x:v>
      </x:c>
      <x:c r="AB11" s="35" t="n">
        <x:f>'Assumptions'!D10</x:f>
        <x:v>9000</x:v>
      </x:c>
      <x:c r="AC11" s="35" t="n">
        <x:f>'Assumptions'!D10</x:f>
        <x:v>9000</x:v>
      </x:c>
      <x:c r="AD11" s="35" t="n">
        <x:f>'Assumptions'!D10</x:f>
        <x:v>9000</x:v>
      </x:c>
      <x:c r="AE11" s="35" t="n">
        <x:f>'Assumptions'!D10</x:f>
        <x:v>9000</x:v>
      </x:c>
      <x:c r="AF11" s="35" t="n">
        <x:f>'Assumptions'!D10</x:f>
        <x:v>9000</x:v>
      </x:c>
      <x:c r="AG11" s="35" t="n">
        <x:f>'Assumptions'!D10</x:f>
        <x:v>9000</x:v>
      </x:c>
      <x:c r="AH11" s="35" t="n">
        <x:f>'Assumptions'!D10</x:f>
        <x:v>9000</x:v>
      </x:c>
      <x:c r="AI11" s="35" t="n">
        <x:f>'Assumptions'!D10</x:f>
        <x:v>9000</x:v>
      </x:c>
      <x:c r="AJ11" s="35" t="n">
        <x:f>'Assumptions'!D10</x:f>
        <x:v>9000</x:v>
      </x:c>
      <x:c r="AK11" s="35" t="n">
        <x:f>'Assumptions'!D10</x:f>
        <x:v>9000</x:v>
      </x:c>
    </x:row>
    <x:row r="12">
      <x:c r="A12" s="33" t="str">
        <x:v>Capex</x:v>
      </x:c>
      <x:c r="B12" s="35" t="n">
        <x:f>'Assumptions'!B11/12</x:f>
        <x:v>166.66666666666666</x:v>
      </x:c>
      <x:c r="C12" s="35" t="n">
        <x:f>'Assumptions'!B11/12</x:f>
        <x:v>166.66666666666666</x:v>
      </x:c>
      <x:c r="D12" s="35" t="n">
        <x:f>'Assumptions'!B11/12</x:f>
        <x:v>166.66666666666666</x:v>
      </x:c>
      <x:c r="E12" s="35" t="n">
        <x:f>'Assumptions'!B11/12</x:f>
        <x:v>166.66666666666666</x:v>
      </x:c>
      <x:c r="F12" s="35" t="n">
        <x:f>'Assumptions'!B11/12</x:f>
        <x:v>166.66666666666666</x:v>
      </x:c>
      <x:c r="G12" s="35" t="n">
        <x:f>'Assumptions'!B11/12</x:f>
        <x:v>166.66666666666666</x:v>
      </x:c>
      <x:c r="H12" s="35" t="n">
        <x:f>'Assumptions'!B11/12</x:f>
        <x:v>166.66666666666666</x:v>
      </x:c>
      <x:c r="I12" s="35" t="n">
        <x:f>'Assumptions'!B11/12</x:f>
        <x:v>166.66666666666666</x:v>
      </x:c>
      <x:c r="J12" s="35" t="n">
        <x:f>'Assumptions'!B11/12</x:f>
        <x:v>166.66666666666666</x:v>
      </x:c>
      <x:c r="K12" s="35" t="n">
        <x:f>'Assumptions'!B11/12</x:f>
        <x:v>166.66666666666666</x:v>
      </x:c>
      <x:c r="L12" s="35" t="n">
        <x:f>'Assumptions'!B11/12</x:f>
        <x:v>166.66666666666666</x:v>
      </x:c>
      <x:c r="M12" s="35" t="n">
        <x:f>'Assumptions'!B11/12</x:f>
        <x:v>166.66666666666666</x:v>
      </x:c>
      <x:c r="N12" s="35" t="n">
        <x:f>'Assumptions'!C11/12</x:f>
        <x:v>250</x:v>
      </x:c>
      <x:c r="O12" s="35" t="n">
        <x:f>'Assumptions'!C11/12</x:f>
        <x:v>250</x:v>
      </x:c>
      <x:c r="P12" s="35" t="n">
        <x:f>'Assumptions'!C11/12</x:f>
        <x:v>250</x:v>
      </x:c>
      <x:c r="Q12" s="35" t="n">
        <x:f>'Assumptions'!C11/12</x:f>
        <x:v>250</x:v>
      </x:c>
      <x:c r="R12" s="35" t="n">
        <x:f>'Assumptions'!C11/12</x:f>
        <x:v>250</x:v>
      </x:c>
      <x:c r="S12" s="35" t="n">
        <x:f>'Assumptions'!C11/12</x:f>
        <x:v>250</x:v>
      </x:c>
      <x:c r="T12" s="35" t="n">
        <x:f>'Assumptions'!C11/12</x:f>
        <x:v>250</x:v>
      </x:c>
      <x:c r="U12" s="35" t="n">
        <x:f>'Assumptions'!C11/12</x:f>
        <x:v>250</x:v>
      </x:c>
      <x:c r="V12" s="35" t="n">
        <x:f>'Assumptions'!C11/12</x:f>
        <x:v>250</x:v>
      </x:c>
      <x:c r="W12" s="35" t="n">
        <x:f>'Assumptions'!C11/12</x:f>
        <x:v>250</x:v>
      </x:c>
      <x:c r="X12" s="35" t="n">
        <x:f>'Assumptions'!C11/12</x:f>
        <x:v>250</x:v>
      </x:c>
      <x:c r="Y12" s="35" t="n">
        <x:f>'Assumptions'!C11/12</x:f>
        <x:v>250</x:v>
      </x:c>
      <x:c r="Z12" s="35" t="n">
        <x:f>'Assumptions'!D11/12</x:f>
        <x:v>416.6666666666667</x:v>
      </x:c>
      <x:c r="AA12" s="35" t="n">
        <x:f>'Assumptions'!D11/12</x:f>
        <x:v>416.6666666666667</x:v>
      </x:c>
      <x:c r="AB12" s="35" t="n">
        <x:f>'Assumptions'!D11/12</x:f>
        <x:v>416.6666666666667</x:v>
      </x:c>
      <x:c r="AC12" s="35" t="n">
        <x:f>'Assumptions'!D11/12</x:f>
        <x:v>416.6666666666667</x:v>
      </x:c>
      <x:c r="AD12" s="35" t="n">
        <x:f>'Assumptions'!D11/12</x:f>
        <x:v>416.6666666666667</x:v>
      </x:c>
      <x:c r="AE12" s="35" t="n">
        <x:f>'Assumptions'!D11/12</x:f>
        <x:v>416.6666666666667</x:v>
      </x:c>
      <x:c r="AF12" s="35" t="n">
        <x:f>'Assumptions'!D11/12</x:f>
        <x:v>416.6666666666667</x:v>
      </x:c>
      <x:c r="AG12" s="35" t="n">
        <x:f>'Assumptions'!D11/12</x:f>
        <x:v>416.6666666666667</x:v>
      </x:c>
      <x:c r="AH12" s="35" t="n">
        <x:f>'Assumptions'!D11/12</x:f>
        <x:v>416.6666666666667</x:v>
      </x:c>
      <x:c r="AI12" s="35" t="n">
        <x:f>'Assumptions'!D11/12</x:f>
        <x:v>416.6666666666667</x:v>
      </x:c>
      <x:c r="AJ12" s="35" t="n">
        <x:f>'Assumptions'!D11/12</x:f>
        <x:v>416.6666666666667</x:v>
      </x:c>
      <x:c r="AK12" s="35" t="n">
        <x:f>'Assumptions'!D11/12</x:f>
        <x:v>416.6666666666667</x:v>
      </x:c>
    </x:row>
    <x:row r="13">
      <x:c r="A13" s="33" t="str">
        <x:v>Net cashflow</x:v>
      </x:c>
      <x:c r="B13" s="35" t="n">
        <x:f>B7-B8-B9-B10-B11-B12</x:f>
        <x:v>-4266.666666666667</x:v>
      </x:c>
      <x:c r="C13" s="35" t="n">
        <x:f>C7-C8-C9-C10-C11-C12</x:f>
        <x:v>-4266.666666666667</x:v>
      </x:c>
      <x:c r="D13" s="35" t="n">
        <x:f>D7-D8-D9-D10-D11-D12</x:f>
        <x:v>1183.3333333333333</x:v>
      </x:c>
      <x:c r="E13" s="35" t="n">
        <x:f>E7-E8-E9-E10-E11-E12</x:f>
        <x:v>233.33333333333334</x:v>
      </x:c>
      <x:c r="F13" s="35" t="n">
        <x:f>F7-F8-F9-F10-F11-F12</x:f>
        <x:v>-2491.6666666666665</x:v>
      </x:c>
      <x:c r="G13" s="35" t="n">
        <x:f>G7-G8-G9-G10-G11-G12</x:f>
        <x:v>708.3333333333334</x:v>
      </x:c>
      <x:c r="H13" s="35" t="n">
        <x:f>H7-H8-H9-H10-H11-H12</x:f>
        <x:v>9879.833333333334</x:v>
      </x:c>
      <x:c r="I13" s="35" t="n">
        <x:f>I7-I8-I9-I10-I11-I12</x:f>
        <x:v>5473.333333333333</x:v>
      </x:c>
      <x:c r="J13" s="35" t="n">
        <x:f>J7-J8-J9-J10-J11-J12</x:f>
        <x:v>3223.3333333333335</x:v>
      </x:c>
      <x:c r="K13" s="35" t="n">
        <x:f>K7-K8-K9-K10-K11-K12</x:f>
        <x:v>14162.333333333334</x:v>
      </x:c>
      <x:c r="L13" s="35" t="n">
        <x:f>L7-L8-L9-L10-L11-L12</x:f>
        <x:v>9122.833333333334</x:v>
      </x:c>
      <x:c r="M13" s="35" t="n">
        <x:f>M7-M8-M9-M10-M11-M12</x:f>
        <x:v>1508.3333333333333</x:v>
      </x:c>
      <x:c r="N13" s="35" t="n">
        <x:f>N7-N8-N9-N10-N11-N12</x:f>
        <x:v>3938</x:v>
      </x:c>
      <x:c r="O13" s="35" t="n">
        <x:f>O7-O8-O9-O10-O11-O12</x:f>
        <x:v>18772</x:v>
      </x:c>
      <x:c r="P13" s="35" t="n">
        <x:f>P7-P8-P9-P10-P11-P12</x:f>
        <x:v>11428</x:v>
      </x:c>
      <x:c r="Q13" s="35" t="n">
        <x:f>Q7-Q8-Q9-Q10-Q11-Q12</x:f>
        <x:v>16720</x:v>
      </x:c>
      <x:c r="R13" s="35" t="n">
        <x:f>R7-R8-R9-R10-R11-R12</x:f>
        <x:v>8432</x:v>
      </x:c>
      <x:c r="S13" s="35" t="n">
        <x:f>S7-S8-S9-S10-S11-S12</x:f>
        <x:v>26133</x:v>
      </x:c>
      <x:c r="T13" s="35" t="n">
        <x:f>T7-T8-T9-T10-T11-T12</x:f>
        <x:v>27720</x:v>
      </x:c>
      <x:c r="U13" s="35" t="n">
        <x:f>U7-U8-U9-U10-U11-U12</x:f>
        <x:v>16757</x:v>
      </x:c>
      <x:c r="V13" s="35" t="n">
        <x:f>V7-V8-V9-V10-V11-V12</x:f>
        <x:v>158</x:v>
      </x:c>
      <x:c r="W13" s="35" t="n">
        <x:f>W7-W8-W9-W10-W11-W12</x:f>
        <x:v>-6418</x:v>
      </x:c>
      <x:c r="X13" s="35" t="n">
        <x:f>X7-X8-X9-X10-X11-X12</x:f>
        <x:v>-1460</x:v>
      </x:c>
      <x:c r="Y13" s="35" t="n">
        <x:f>Y7-Y8-Y9-Y10-Y11-Y12</x:f>
        <x:v>-5240</x:v>
      </x:c>
      <x:c r="Z13" s="35" t="n">
        <x:f>Z7-Z8-Z9-Z10-Z11-Z12</x:f>
        <x:v>23779.333333333332</x:v>
      </x:c>
      <x:c r="AA13" s="35" t="n">
        <x:f>AA7-AA8-AA9-AA10-AA11-AA12</x:f>
        <x:v>17148.333333333332</x:v>
      </x:c>
      <x:c r="AB13" s="35" t="n">
        <x:f>AB7-AB8-AB9-AB10-AB11-AB12</x:f>
        <x:v>36076.333333333336</x:v>
      </x:c>
      <x:c r="AC13" s="35" t="n">
        <x:f>AC7-AC8-AC9-AC10-AC11-AC12</x:f>
        <x:v>16810.333333333332</x:v>
      </x:c>
      <x:c r="AD13" s="35" t="n">
        <x:f>AD7-AD8-AD9-AD10-AD11-AD12</x:f>
        <x:v>3786.3333333333335</x:v>
      </x:c>
      <x:c r="AE13" s="35" t="n">
        <x:f>AE7-AE8-AE9-AE10-AE11-AE12</x:f>
        <x:v>19485.333333333332</x:v>
      </x:c>
      <x:c r="AF13" s="35" t="n">
        <x:f>AF7-AF8-AF9-AF10-AF11-AF12</x:f>
        <x:v>21516.333333333332</x:v>
      </x:c>
      <x:c r="AG13" s="35" t="n">
        <x:f>AG7-AG8-AG9-AG10-AG11-AG12</x:f>
        <x:v>30910.333333333332</x:v>
      </x:c>
      <x:c r="AH13" s="35" t="n">
        <x:f>AH7-AH8-AH9-AH10-AH11-AH12</x:f>
        <x:v>13240.333333333334</x:v>
      </x:c>
      <x:c r="AI13" s="35" t="n">
        <x:f>AI7-AI8-AI9-AI10-AI11-AI12</x:f>
        <x:v>-8519.666666666666</x:v>
      </x:c>
      <x:c r="AJ13" s="35" t="n">
        <x:f>AJ7-AJ8-AJ9-AJ10-AJ11-AJ12</x:f>
        <x:v>-4016.6666666666665</x:v>
      </x:c>
      <x:c r="AK13" s="35" t="n">
        <x:f>AK7-AK8-AK9-AK10-AK11-AK12</x:f>
        <x:v>-4016.6666666666665</x:v>
      </x:c>
    </x:row>
    <x:row r="14">
      <x:c r="A14" s="33" t="str">
        <x:v>Opening cash</x:v>
      </x:c>
      <x:c r="B14" s="35" t="n">
        <x:f>'Assumptions'!B5</x:f>
        <x:v>0</x:v>
      </x:c>
      <x:c r="C14" s="35" t="n">
        <x:f>B15</x:f>
        <x:v>-4266.666666666667</x:v>
      </x:c>
      <x:c r="D14" s="35" t="n">
        <x:f>C15</x:f>
        <x:v>-8533.333333333334</x:v>
      </x:c>
      <x:c r="E14" s="35" t="n">
        <x:f>D15</x:f>
        <x:v>-7350.000000000001</x:v>
      </x:c>
      <x:c r="F14" s="35" t="n">
        <x:f>E15</x:f>
        <x:v>-7116.666666666668</x:v>
      </x:c>
      <x:c r="G14" s="35" t="n">
        <x:f>F15</x:f>
        <x:v>-9608.333333333334</x:v>
      </x:c>
      <x:c r="H14" s="35" t="n">
        <x:f>G15</x:f>
        <x:v>-8900</x:v>
      </x:c>
      <x:c r="I14" s="35" t="n">
        <x:f>H15</x:f>
        <x:v>979.8333333333339</x:v>
      </x:c>
      <x:c r="J14" s="35" t="n">
        <x:f>I15</x:f>
        <x:v>6453.166666666667</x:v>
      </x:c>
      <x:c r="K14" s="35" t="n">
        <x:f>J15</x:f>
        <x:v>9676.5</x:v>
      </x:c>
      <x:c r="L14" s="35" t="n">
        <x:f>K15</x:f>
        <x:v>23838.833333333336</x:v>
      </x:c>
      <x:c r="M14" s="35" t="n">
        <x:f>L15</x:f>
        <x:v>32961.66666666667</x:v>
      </x:c>
      <x:c r="N14" s="35" t="n">
        <x:f>M15</x:f>
        <x:v>34470.00000000001</x:v>
      </x:c>
      <x:c r="O14" s="35" t="n">
        <x:f>N15</x:f>
        <x:v>38408.00000000001</x:v>
      </x:c>
      <x:c r="P14" s="35" t="n">
        <x:f>O15</x:f>
        <x:v>57180.00000000001</x:v>
      </x:c>
      <x:c r="Q14" s="35" t="n">
        <x:f>P15</x:f>
        <x:v>68608</x:v>
      </x:c>
      <x:c r="R14" s="35" t="n">
        <x:f>Q15</x:f>
        <x:v>85328</x:v>
      </x:c>
      <x:c r="S14" s="35" t="n">
        <x:f>R15</x:f>
        <x:v>93760</x:v>
      </x:c>
      <x:c r="T14" s="35" t="n">
        <x:f>S15</x:f>
        <x:v>119893</x:v>
      </x:c>
      <x:c r="U14" s="35" t="n">
        <x:f>T15</x:f>
        <x:v>147613</x:v>
      </x:c>
      <x:c r="V14" s="35" t="n">
        <x:f>U15</x:f>
        <x:v>164370</x:v>
      </x:c>
      <x:c r="W14" s="35" t="n">
        <x:f>V15</x:f>
        <x:v>164528</x:v>
      </x:c>
      <x:c r="X14" s="35" t="n">
        <x:f>W15</x:f>
        <x:v>158110</x:v>
      </x:c>
      <x:c r="Y14" s="35" t="n">
        <x:f>X15</x:f>
        <x:v>156650</x:v>
      </x:c>
      <x:c r="Z14" s="35" t="n">
        <x:f>Y15</x:f>
        <x:v>151410</x:v>
      </x:c>
      <x:c r="AA14" s="35" t="n">
        <x:f>Z15</x:f>
        <x:v>175189.33333333334</x:v>
      </x:c>
      <x:c r="AB14" s="35" t="n">
        <x:f>AA15</x:f>
        <x:v>192337.6666666667</x:v>
      </x:c>
      <x:c r="AC14" s="35" t="n">
        <x:f>AB15</x:f>
        <x:v>228414.00000000003</x:v>
      </x:c>
      <x:c r="AD14" s="35" t="n">
        <x:f>AC15</x:f>
        <x:v>245224.33333333337</x:v>
      </x:c>
      <x:c r="AE14" s="35" t="n">
        <x:f>AD15</x:f>
        <x:v>249010.66666666672</x:v>
      </x:c>
      <x:c r="AF14" s="35" t="n">
        <x:f>AE15</x:f>
        <x:v>268496.00000000006</x:v>
      </x:c>
      <x:c r="AG14" s="35" t="n">
        <x:f>AF15</x:f>
        <x:v>290012.3333333334</x:v>
      </x:c>
      <x:c r="AH14" s="35" t="n">
        <x:f>AG15</x:f>
        <x:v>320922.6666666667</x:v>
      </x:c>
      <x:c r="AI14" s="35" t="n">
        <x:f>AH15</x:f>
        <x:v>334163</x:v>
      </x:c>
      <x:c r="AJ14" s="35" t="n">
        <x:f>AI15</x:f>
        <x:v>325643.3333333333</x:v>
      </x:c>
      <x:c r="AK14" s="35" t="n">
        <x:f>AJ15</x:f>
        <x:v>321626.6666666666</x:v>
      </x:c>
    </x:row>
    <x:row r="15">
      <x:c r="A15" s="33" t="str">
        <x:v>Closing cash</x:v>
      </x:c>
      <x:c r="B15" s="35" t="n">
        <x:f>B14+B13</x:f>
        <x:v>-4266.666666666667</x:v>
      </x:c>
      <x:c r="C15" s="35" t="n">
        <x:f>C14+C13</x:f>
        <x:v>-8533.333333333334</x:v>
      </x:c>
      <x:c r="D15" s="35" t="n">
        <x:f>D14+D13</x:f>
        <x:v>-7350.000000000001</x:v>
      </x:c>
      <x:c r="E15" s="35" t="n">
        <x:f>E14+E13</x:f>
        <x:v>-7116.666666666668</x:v>
      </x:c>
      <x:c r="F15" s="35" t="n">
        <x:f>F14+F13</x:f>
        <x:v>-9608.333333333334</x:v>
      </x:c>
      <x:c r="G15" s="35" t="n">
        <x:f>G14+G13</x:f>
        <x:v>-8900</x:v>
      </x:c>
      <x:c r="H15" s="35" t="n">
        <x:f>H14+H13</x:f>
        <x:v>979.8333333333339</x:v>
      </x:c>
      <x:c r="I15" s="35" t="n">
        <x:f>I14+I13</x:f>
        <x:v>6453.166666666667</x:v>
      </x:c>
      <x:c r="J15" s="35" t="n">
        <x:f>J14+J13</x:f>
        <x:v>9676.5</x:v>
      </x:c>
      <x:c r="K15" s="35" t="n">
        <x:f>K14+K13</x:f>
        <x:v>23838.833333333336</x:v>
      </x:c>
      <x:c r="L15" s="35" t="n">
        <x:f>L14+L13</x:f>
        <x:v>32961.66666666667</x:v>
      </x:c>
      <x:c r="M15" s="35" t="n">
        <x:f>M14+M13</x:f>
        <x:v>34470.00000000001</x:v>
      </x:c>
      <x:c r="N15" s="35" t="n">
        <x:f>N14+N13</x:f>
        <x:v>38408.00000000001</x:v>
      </x:c>
      <x:c r="O15" s="35" t="n">
        <x:f>O14+O13</x:f>
        <x:v>57180.00000000001</x:v>
      </x:c>
      <x:c r="P15" s="35" t="n">
        <x:f>P14+P13</x:f>
        <x:v>68608</x:v>
      </x:c>
      <x:c r="Q15" s="35" t="n">
        <x:f>Q14+Q13</x:f>
        <x:v>85328</x:v>
      </x:c>
      <x:c r="R15" s="35" t="n">
        <x:f>R14+R13</x:f>
        <x:v>93760</x:v>
      </x:c>
      <x:c r="S15" s="35" t="n">
        <x:f>S14+S13</x:f>
        <x:v>119893</x:v>
      </x:c>
      <x:c r="T15" s="35" t="n">
        <x:f>T14+T13</x:f>
        <x:v>147613</x:v>
      </x:c>
      <x:c r="U15" s="35" t="n">
        <x:f>U14+U13</x:f>
        <x:v>164370</x:v>
      </x:c>
      <x:c r="V15" s="35" t="n">
        <x:f>V14+V13</x:f>
        <x:v>164528</x:v>
      </x:c>
      <x:c r="W15" s="35" t="n">
        <x:f>W14+W13</x:f>
        <x:v>158110</x:v>
      </x:c>
      <x:c r="X15" s="35" t="n">
        <x:f>X14+X13</x:f>
        <x:v>156650</x:v>
      </x:c>
      <x:c r="Y15" s="35" t="n">
        <x:f>Y14+Y13</x:f>
        <x:v>151410</x:v>
      </x:c>
      <x:c r="Z15" s="35" t="n">
        <x:f>Z14+Z13</x:f>
        <x:v>175189.33333333334</x:v>
      </x:c>
      <x:c r="AA15" s="35" t="n">
        <x:f>AA14+AA13</x:f>
        <x:v>192337.6666666667</x:v>
      </x:c>
      <x:c r="AB15" s="35" t="n">
        <x:f>AB14+AB13</x:f>
        <x:v>228414.00000000003</x:v>
      </x:c>
      <x:c r="AC15" s="35" t="n">
        <x:f>AC14+AC13</x:f>
        <x:v>245224.33333333337</x:v>
      </x:c>
      <x:c r="AD15" s="35" t="n">
        <x:f>AD14+AD13</x:f>
        <x:v>249010.66666666672</x:v>
      </x:c>
      <x:c r="AE15" s="35" t="n">
        <x:f>AE14+AE13</x:f>
        <x:v>268496.00000000006</x:v>
      </x:c>
      <x:c r="AF15" s="35" t="n">
        <x:f>AF14+AF13</x:f>
        <x:v>290012.3333333334</x:v>
      </x:c>
      <x:c r="AG15" s="35" t="n">
        <x:f>AG14+AG13</x:f>
        <x:v>320922.6666666667</x:v>
      </x:c>
      <x:c r="AH15" s="35" t="n">
        <x:f>AH14+AH13</x:f>
        <x:v>334163</x:v>
      </x:c>
      <x:c r="AI15" s="35" t="n">
        <x:f>AI14+AI13</x:f>
        <x:v>325643.3333333333</x:v>
      </x:c>
      <x:c r="AJ15" s="35" t="n">
        <x:f>AJ14+AJ13</x:f>
        <x:v>321626.6666666666</x:v>
      </x:c>
      <x:c r="AK15" s="35" t="n">
        <x:f>AK14+AK13</x:f>
        <x:v>317609.99999999994</x:v>
      </x:c>
    </x:row>
    <x:row r="16">
      <x:c r="A16" s="33" t="str">
        <x:v>Minimum liquidity</x:v>
      </x:c>
      <x:c r="B16" s="35" t="n">
        <x:f>'Assumptions'!B13</x:f>
        <x:v>10000</x:v>
      </x:c>
      <x:c r="C16" s="35" t="n">
        <x:f>'Assumptions'!B13</x:f>
        <x:v>10000</x:v>
      </x:c>
      <x:c r="D16" s="35" t="n">
        <x:f>'Assumptions'!B13</x:f>
        <x:v>10000</x:v>
      </x:c>
      <x:c r="E16" s="35" t="n">
        <x:f>'Assumptions'!B13</x:f>
        <x:v>10000</x:v>
      </x:c>
      <x:c r="F16" s="35" t="n">
        <x:f>'Assumptions'!B13</x:f>
        <x:v>10000</x:v>
      </x:c>
      <x:c r="G16" s="35" t="n">
        <x:f>'Assumptions'!B13</x:f>
        <x:v>10000</x:v>
      </x:c>
      <x:c r="H16" s="35" t="n">
        <x:f>'Assumptions'!B13</x:f>
        <x:v>10000</x:v>
      </x:c>
      <x:c r="I16" s="35" t="n">
        <x:f>'Assumptions'!B13</x:f>
        <x:v>10000</x:v>
      </x:c>
      <x:c r="J16" s="35" t="n">
        <x:f>'Assumptions'!B13</x:f>
        <x:v>10000</x:v>
      </x:c>
      <x:c r="K16" s="35" t="n">
        <x:f>'Assumptions'!B13</x:f>
        <x:v>10000</x:v>
      </x:c>
      <x:c r="L16" s="35" t="n">
        <x:f>'Assumptions'!B13</x:f>
        <x:v>10000</x:v>
      </x:c>
      <x:c r="M16" s="35" t="n">
        <x:f>'Assumptions'!B13</x:f>
        <x:v>10000</x:v>
      </x:c>
      <x:c r="N16" s="35" t="n">
        <x:f>'Assumptions'!C13</x:f>
        <x:v>15000</x:v>
      </x:c>
      <x:c r="O16" s="35" t="n">
        <x:f>'Assumptions'!C13</x:f>
        <x:v>15000</x:v>
      </x:c>
      <x:c r="P16" s="35" t="n">
        <x:f>'Assumptions'!C13</x:f>
        <x:v>15000</x:v>
      </x:c>
      <x:c r="Q16" s="35" t="n">
        <x:f>'Assumptions'!C13</x:f>
        <x:v>15000</x:v>
      </x:c>
      <x:c r="R16" s="35" t="n">
        <x:f>'Assumptions'!C13</x:f>
        <x:v>15000</x:v>
      </x:c>
      <x:c r="S16" s="35" t="n">
        <x:f>'Assumptions'!C13</x:f>
        <x:v>15000</x:v>
      </x:c>
      <x:c r="T16" s="35" t="n">
        <x:f>'Assumptions'!C13</x:f>
        <x:v>15000</x:v>
      </x:c>
      <x:c r="U16" s="35" t="n">
        <x:f>'Assumptions'!C13</x:f>
        <x:v>15000</x:v>
      </x:c>
      <x:c r="V16" s="35" t="n">
        <x:f>'Assumptions'!C13</x:f>
        <x:v>15000</x:v>
      </x:c>
      <x:c r="W16" s="35" t="n">
        <x:f>'Assumptions'!C13</x:f>
        <x:v>15000</x:v>
      </x:c>
      <x:c r="X16" s="35" t="n">
        <x:f>'Assumptions'!C13</x:f>
        <x:v>15000</x:v>
      </x:c>
      <x:c r="Y16" s="35" t="n">
        <x:f>'Assumptions'!C13</x:f>
        <x:v>15000</x:v>
      </x:c>
      <x:c r="Z16" s="35" t="n">
        <x:f>'Assumptions'!D13</x:f>
        <x:v>25000</x:v>
      </x:c>
      <x:c r="AA16" s="35" t="n">
        <x:f>'Assumptions'!D13</x:f>
        <x:v>25000</x:v>
      </x:c>
      <x:c r="AB16" s="35" t="n">
        <x:f>'Assumptions'!D13</x:f>
        <x:v>25000</x:v>
      </x:c>
      <x:c r="AC16" s="35" t="n">
        <x:f>'Assumptions'!D13</x:f>
        <x:v>25000</x:v>
      </x:c>
      <x:c r="AD16" s="35" t="n">
        <x:f>'Assumptions'!D13</x:f>
        <x:v>25000</x:v>
      </x:c>
      <x:c r="AE16" s="35" t="n">
        <x:f>'Assumptions'!D13</x:f>
        <x:v>25000</x:v>
      </x:c>
      <x:c r="AF16" s="35" t="n">
        <x:f>'Assumptions'!D13</x:f>
        <x:v>25000</x:v>
      </x:c>
      <x:c r="AG16" s="35" t="n">
        <x:f>'Assumptions'!D13</x:f>
        <x:v>25000</x:v>
      </x:c>
      <x:c r="AH16" s="35" t="n">
        <x:f>'Assumptions'!D13</x:f>
        <x:v>25000</x:v>
      </x:c>
      <x:c r="AI16" s="35" t="n">
        <x:f>'Assumptions'!D13</x:f>
        <x:v>25000</x:v>
      </x:c>
      <x:c r="AJ16" s="35" t="n">
        <x:f>'Assumptions'!D13</x:f>
        <x:v>25000</x:v>
      </x:c>
      <x:c r="AK16" s="35" t="n">
        <x:f>'Assumptions'!D13</x:f>
        <x:v>25000</x:v>
      </x:c>
    </x:row>
    <x:row r="17">
      <x:c r="A17" s="33" t="str">
        <x:v>Liquidity buffer</x:v>
      </x:c>
      <x:c r="B17" s="35" t="n">
        <x:f>B15-B16</x:f>
        <x:v>-14266.666666666668</x:v>
      </x:c>
      <x:c r="C17" s="35" t="n">
        <x:f>C15-C16</x:f>
        <x:v>-18533.333333333336</x:v>
      </x:c>
      <x:c r="D17" s="35" t="n">
        <x:f>D15-D16</x:f>
        <x:v>-17350</x:v>
      </x:c>
      <x:c r="E17" s="35" t="n">
        <x:f>E15-E16</x:f>
        <x:v>-17116.666666666668</x:v>
      </x:c>
      <x:c r="F17" s="35" t="n">
        <x:f>F15-F16</x:f>
        <x:v>-19608.333333333336</x:v>
      </x:c>
      <x:c r="G17" s="35" t="n">
        <x:f>G15-G16</x:f>
        <x:v>-18900</x:v>
      </x:c>
      <x:c r="H17" s="35" t="n">
        <x:f>H15-H16</x:f>
        <x:v>-9020.166666666666</x:v>
      </x:c>
      <x:c r="I17" s="35" t="n">
        <x:f>I15-I16</x:f>
        <x:v>-3546.833333333333</x:v>
      </x:c>
      <x:c r="J17" s="35" t="n">
        <x:f>J15-J16</x:f>
        <x:v>-323.5</x:v>
      </x:c>
      <x:c r="K17" s="35" t="n">
        <x:f>K15-K16</x:f>
        <x:v>13838.833333333336</x:v>
      </x:c>
      <x:c r="L17" s="35" t="n">
        <x:f>L15-L16</x:f>
        <x:v>22961.66666666667</x:v>
      </x:c>
      <x:c r="M17" s="35" t="n">
        <x:f>M15-M16</x:f>
        <x:v>24470.000000000007</x:v>
      </x:c>
      <x:c r="N17" s="35" t="n">
        <x:f>N15-N16</x:f>
        <x:v>23408.000000000007</x:v>
      </x:c>
      <x:c r="O17" s="35" t="n">
        <x:f>O15-O16</x:f>
        <x:v>42180.00000000001</x:v>
      </x:c>
      <x:c r="P17" s="35" t="n">
        <x:f>P15-P16</x:f>
        <x:v>53608</x:v>
      </x:c>
      <x:c r="Q17" s="35" t="n">
        <x:f>Q15-Q16</x:f>
        <x:v>70328</x:v>
      </x:c>
      <x:c r="R17" s="35" t="n">
        <x:f>R15-R16</x:f>
        <x:v>78760</x:v>
      </x:c>
      <x:c r="S17" s="35" t="n">
        <x:f>S15-S16</x:f>
        <x:v>104893</x:v>
      </x:c>
      <x:c r="T17" s="35" t="n">
        <x:f>T15-T16</x:f>
        <x:v>132613</x:v>
      </x:c>
      <x:c r="U17" s="35" t="n">
        <x:f>U15-U16</x:f>
        <x:v>149370</x:v>
      </x:c>
      <x:c r="V17" s="35" t="n">
        <x:f>V15-V16</x:f>
        <x:v>149528</x:v>
      </x:c>
      <x:c r="W17" s="35" t="n">
        <x:f>W15-W16</x:f>
        <x:v>143110</x:v>
      </x:c>
      <x:c r="X17" s="35" t="n">
        <x:f>X15-X16</x:f>
        <x:v>141650</x:v>
      </x:c>
      <x:c r="Y17" s="35" t="n">
        <x:f>Y15-Y16</x:f>
        <x:v>136410</x:v>
      </x:c>
      <x:c r="Z17" s="35" t="n">
        <x:f>Z15-Z16</x:f>
        <x:v>150189.33333333334</x:v>
      </x:c>
      <x:c r="AA17" s="35" t="n">
        <x:f>AA15-AA16</x:f>
        <x:v>167337.6666666667</x:v>
      </x:c>
      <x:c r="AB17" s="35" t="n">
        <x:f>AB15-AB16</x:f>
        <x:v>203414.00000000003</x:v>
      </x:c>
      <x:c r="AC17" s="35" t="n">
        <x:f>AC15-AC16</x:f>
        <x:v>220224.33333333337</x:v>
      </x:c>
      <x:c r="AD17" s="35" t="n">
        <x:f>AD15-AD16</x:f>
        <x:v>224010.66666666672</x:v>
      </x:c>
      <x:c r="AE17" s="35" t="n">
        <x:f>AE15-AE16</x:f>
        <x:v>243496.00000000006</x:v>
      </x:c>
      <x:c r="AF17" s="35" t="n">
        <x:f>AF15-AF16</x:f>
        <x:v>265012.3333333334</x:v>
      </x:c>
      <x:c r="AG17" s="35" t="n">
        <x:f>AG15-AG16</x:f>
        <x:v>295922.6666666667</x:v>
      </x:c>
      <x:c r="AH17" s="35" t="n">
        <x:f>AH15-AH16</x:f>
        <x:v>309163</x:v>
      </x:c>
      <x:c r="AI17" s="35" t="n">
        <x:f>AI15-AI16</x:f>
        <x:v>300643.3333333333</x:v>
      </x:c>
      <x:c r="AJ17" s="35" t="n">
        <x:f>AJ15-AJ16</x:f>
        <x:v>296626.6666666666</x:v>
      </x:c>
      <x:c r="AK17" s="35" t="n">
        <x:f>AK15-AK16</x:f>
        <x:v>292609.99999999994</x:v>
      </x:c>
    </x:row>
    <x:row r="18">
      <x:c r="A18" s="33" t="str">
        <x:v>Cash status</x:v>
      </x:c>
      <x:c r="B18" s="33" t="str">
        <x:f>IF(B17&gt;=0,"OK","BELOW MIN")</x:f>
        <x:v>BELOW MIN</x:v>
      </x:c>
      <x:c r="C18" s="33" t="str">
        <x:f>IF(C17&gt;=0,"OK","BELOW MIN")</x:f>
        <x:v>BELOW MIN</x:v>
      </x:c>
      <x:c r="D18" s="33" t="str">
        <x:f>IF(D17&gt;=0,"OK","BELOW MIN")</x:f>
        <x:v>BELOW MIN</x:v>
      </x:c>
      <x:c r="E18" s="33" t="str">
        <x:f>IF(E17&gt;=0,"OK","BELOW MIN")</x:f>
        <x:v>BELOW MIN</x:v>
      </x:c>
      <x:c r="F18" s="33" t="str">
        <x:f>IF(F17&gt;=0,"OK","BELOW MIN")</x:f>
        <x:v>BELOW MIN</x:v>
      </x:c>
      <x:c r="G18" s="33" t="str">
        <x:f>IF(G17&gt;=0,"OK","BELOW MIN")</x:f>
        <x:v>BELOW MIN</x:v>
      </x:c>
      <x:c r="H18" s="33" t="str">
        <x:f>IF(H17&gt;=0,"OK","BELOW MIN")</x:f>
        <x:v>BELOW MIN</x:v>
      </x:c>
      <x:c r="I18" s="33" t="str">
        <x:f>IF(I17&gt;=0,"OK","BELOW MIN")</x:f>
        <x:v>BELOW MIN</x:v>
      </x:c>
      <x:c r="J18" s="33" t="str">
        <x:f>IF(J17&gt;=0,"OK","BELOW MIN")</x:f>
        <x:v>BELOW MIN</x:v>
      </x:c>
      <x:c r="K18" s="33" t="str">
        <x:f>IF(K17&gt;=0,"OK","BELOW MIN")</x:f>
        <x:v>OK</x:v>
      </x:c>
      <x:c r="L18" s="33" t="str">
        <x:f>IF(L17&gt;=0,"OK","BELOW MIN")</x:f>
        <x:v>OK</x:v>
      </x:c>
      <x:c r="M18" s="33" t="str">
        <x:f>IF(M17&gt;=0,"OK","BELOW MIN")</x:f>
        <x:v>OK</x:v>
      </x:c>
      <x:c r="N18" s="33" t="str">
        <x:f>IF(N17&gt;=0,"OK","BELOW MIN")</x:f>
        <x:v>OK</x:v>
      </x:c>
      <x:c r="O18" s="33" t="str">
        <x:f>IF(O17&gt;=0,"OK","BELOW MIN")</x:f>
        <x:v>OK</x:v>
      </x:c>
      <x:c r="P18" s="33" t="str">
        <x:f>IF(P17&gt;=0,"OK","BELOW MIN")</x:f>
        <x:v>OK</x:v>
      </x:c>
      <x:c r="Q18" s="33" t="str">
        <x:f>IF(Q17&gt;=0,"OK","BELOW MIN")</x:f>
        <x:v>OK</x:v>
      </x:c>
      <x:c r="R18" s="33" t="str">
        <x:f>IF(R17&gt;=0,"OK","BELOW MIN")</x:f>
        <x:v>OK</x:v>
      </x:c>
      <x:c r="S18" s="33" t="str">
        <x:f>IF(S17&gt;=0,"OK","BELOW MIN")</x:f>
        <x:v>OK</x:v>
      </x:c>
      <x:c r="T18" s="33" t="str">
        <x:f>IF(T17&gt;=0,"OK","BELOW MIN")</x:f>
        <x:v>OK</x:v>
      </x:c>
      <x:c r="U18" s="33" t="str">
        <x:f>IF(U17&gt;=0,"OK","BELOW MIN")</x:f>
        <x:v>OK</x:v>
      </x:c>
      <x:c r="V18" s="33" t="str">
        <x:f>IF(V17&gt;=0,"OK","BELOW MIN")</x:f>
        <x:v>OK</x:v>
      </x:c>
      <x:c r="W18" s="33" t="str">
        <x:f>IF(W17&gt;=0,"OK","BELOW MIN")</x:f>
        <x:v>OK</x:v>
      </x:c>
      <x:c r="X18" s="33" t="str">
        <x:f>IF(X17&gt;=0,"OK","BELOW MIN")</x:f>
        <x:v>OK</x:v>
      </x:c>
      <x:c r="Y18" s="33" t="str">
        <x:f>IF(Y17&gt;=0,"OK","BELOW MIN")</x:f>
        <x:v>OK</x:v>
      </x:c>
      <x:c r="Z18" s="33" t="str">
        <x:f>IF(Z17&gt;=0,"OK","BELOW MIN")</x:f>
        <x:v>OK</x:v>
      </x:c>
      <x:c r="AA18" s="33" t="str">
        <x:f>IF(AA17&gt;=0,"OK","BELOW MIN")</x:f>
        <x:v>OK</x:v>
      </x:c>
      <x:c r="AB18" s="33" t="str">
        <x:f>IF(AB17&gt;=0,"OK","BELOW MIN")</x:f>
        <x:v>OK</x:v>
      </x:c>
      <x:c r="AC18" s="33" t="str">
        <x:f>IF(AC17&gt;=0,"OK","BELOW MIN")</x:f>
        <x:v>OK</x:v>
      </x:c>
      <x:c r="AD18" s="33" t="str">
        <x:f>IF(AD17&gt;=0,"OK","BELOW MIN")</x:f>
        <x:v>OK</x:v>
      </x:c>
      <x:c r="AE18" s="33" t="str">
        <x:f>IF(AE17&gt;=0,"OK","BELOW MIN")</x:f>
        <x:v>OK</x:v>
      </x:c>
      <x:c r="AF18" s="33" t="str">
        <x:f>IF(AF17&gt;=0,"OK","BELOW MIN")</x:f>
        <x:v>OK</x:v>
      </x:c>
      <x:c r="AG18" s="33" t="str">
        <x:f>IF(AG17&gt;=0,"OK","BELOW MIN")</x:f>
        <x:v>OK</x:v>
      </x:c>
      <x:c r="AH18" s="33" t="str">
        <x:f>IF(AH17&gt;=0,"OK","BELOW MIN")</x:f>
        <x:v>OK</x:v>
      </x:c>
      <x:c r="AI18" s="33" t="str">
        <x:f>IF(AI17&gt;=0,"OK","BELOW MIN")</x:f>
        <x:v>OK</x:v>
      </x:c>
      <x:c r="AJ18" s="33" t="str">
        <x:f>IF(AJ17&gt;=0,"OK","BELOW MIN")</x:f>
        <x:v>OK</x:v>
      </x:c>
      <x:c r="AK18" s="33" t="str">
        <x:f>IF(AK17&gt;=0,"OK","BELOW MIN")</x:f>
        <x:v>OK</x:v>
      </x:c>
    </x:row>
  </x:sheetData>
  <x:mergeCells>
    <x:mergeCell ref="A1:AK1"/>
  </x:mergeCells>
  <x:conditionalFormatting sqref="B18:AK18">
    <x:cfRule type="containsText" dxfId="0" priority="1" operator="containsText" text="BELOW MIN"/>
    <x:cfRule type="containsText" dxfId="1" priority="2" operator="containsText" text="O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5" t="str">
        <x:v>AMAVIO | Annual P&amp;L (net service revenue)</x:v>
      </x:c>
      <x:c r="B1" s="25"/>
      <x:c r="C1" s="25"/>
      <x:c r="D1" s="25"/>
    </x:row>
    <x:row r="2">
      <x:c r="A2" s="27"/>
      <x:c r="B2" s="27"/>
      <x:c r="C2" s="27"/>
      <x:c r="D2" s="27"/>
    </x:row>
    <x:row r="3">
      <x:c r="A3" s="28" t="str">
        <x:v>Position</x:v>
      </x:c>
      <x:c r="B3" s="28" t="str">
        <x:v>Year 1</x:v>
      </x:c>
      <x:c r="C3" s="28" t="str">
        <x:v>Year 2</x:v>
      </x:c>
      <x:c r="D3" s="28" t="str">
        <x:v>Year 3</x:v>
      </x:c>
    </x:row>
    <x:row r="4">
      <x:c r="A4" s="33" t="str">
        <x:v>Net revenue</x:v>
      </x:c>
      <x:c r="B4" s="35" t="n">
        <x:f>SUMIF('Contract_Cash'!$B$4:$B$27,1,'Contract_Cash'!$C$4:$C$27)</x:f>
        <x:v>93500</x:v>
      </x:c>
      <x:c r="C4" s="35" t="n">
        <x:f>SUMIF('Contract_Cash'!$B$4:$B$27,2,'Contract_Cash'!$C$4:$C$27)</x:f>
        <x:v>269000</x:v>
      </x:c>
      <x:c r="D4" s="35" t="n">
        <x:f>SUMIF('Contract_Cash'!$B$4:$B$27,3,'Contract_Cash'!$C$4:$C$27)</x:f>
        <x:v>442000</x:v>
      </x:c>
    </x:row>
    <x:row r="5">
      <x:c r="A5" s="33" t="str">
        <x:v>Variable external costs</x:v>
      </x:c>
      <x:c r="B5" s="35" t="n">
        <x:f>B4*'Assumptions'!B7</x:f>
        <x:v>9350</x:v>
      </x:c>
      <x:c r="C5" s="35" t="n">
        <x:f>C4*'Assumptions'!C7</x:f>
        <x:v>32280</x:v>
      </x:c>
      <x:c r="D5" s="35" t="n">
        <x:f>D4*'Assumptions'!D7</x:f>
        <x:v>66300</x:v>
      </x:c>
    </x:row>
    <x:row r="6">
      <x:c r="A6" s="33" t="str">
        <x:v>Overhead</x:v>
      </x:c>
      <x:c r="B6" s="35" t="n">
        <x:f>'Assumptions'!B8*12</x:f>
        <x:v>19200</x:v>
      </x:c>
      <x:c r="C6" s="35" t="n">
        <x:f>'Assumptions'!C8*12</x:f>
        <x:v>26400</x:v>
      </x:c>
      <x:c r="D6" s="35" t="n">
        <x:f>'Assumptions'!D8*12</x:f>
        <x:v>38400</x:v>
      </x:c>
    </x:row>
    <x:row r="7">
      <x:c r="A7" s="33" t="str">
        <x:v>Founder compensation</x:v>
      </x:c>
      <x:c r="B7" s="35" t="n">
        <x:f>'Assumptions'!B9*12</x:f>
        <x:v>30000</x:v>
      </x:c>
      <x:c r="C7" s="35" t="n">
        <x:f>'Assumptions'!C9*12</x:f>
        <x:v>42000</x:v>
      </x:c>
      <x:c r="D7" s="35" t="n">
        <x:f>'Assumptions'!D9*12</x:f>
        <x:v>60000</x:v>
      </x:c>
    </x:row>
    <x:row r="8">
      <x:c r="A8" s="33" t="str">
        <x:v>Project coordination</x:v>
      </x:c>
      <x:c r="B8" s="35" t="n">
        <x:f>'Assumptions'!B10*12</x:f>
        <x:v>0</x:v>
      </x:c>
      <x:c r="C8" s="35" t="n">
        <x:f>'Assumptions'!C10*12</x:f>
        <x:v>48000</x:v>
      </x:c>
      <x:c r="D8" s="35" t="n">
        <x:f>'Assumptions'!D10*12</x:f>
        <x:v>108000</x:v>
      </x:c>
    </x:row>
    <x:row r="9">
      <x:c r="A9" s="33" t="str">
        <x:v>EBITDA</x:v>
      </x:c>
      <x:c r="B9" s="35" t="n">
        <x:f>B4-B5-B6-B7-B8</x:f>
        <x:v>34950</x:v>
      </x:c>
      <x:c r="C9" s="35" t="n">
        <x:f>C4-C5-C6-C7-C8</x:f>
        <x:v>120320</x:v>
      </x:c>
      <x:c r="D9" s="35" t="n">
        <x:f>D4-D5-D6-D7-D8</x:f>
        <x:v>169300</x:v>
      </x:c>
    </x:row>
    <x:row r="10">
      <x:c r="A10" s="33" t="str">
        <x:v>Depreciation</x:v>
      </x:c>
      <x:c r="B10" s="35" t="n">
        <x:f>'Assumptions'!B11</x:f>
        <x:v>2000</x:v>
      </x:c>
      <x:c r="C10" s="35" t="n">
        <x:f>'Assumptions'!C11</x:f>
        <x:v>3000</x:v>
      </x:c>
      <x:c r="D10" s="35" t="n">
        <x:f>'Assumptions'!D11</x:f>
        <x:v>5000</x:v>
      </x:c>
    </x:row>
    <x:row r="11">
      <x:c r="A11" s="33" t="str">
        <x:v>EBT</x:v>
      </x:c>
      <x:c r="B11" s="35" t="n">
        <x:f>B9-B10</x:f>
        <x:v>32950</x:v>
      </x:c>
      <x:c r="C11" s="35" t="n">
        <x:f>C9-C10</x:f>
        <x:v>117320</x:v>
      </x:c>
      <x:c r="D11" s="35" t="n">
        <x:f>D9-D10</x:f>
        <x:v>164300</x:v>
      </x:c>
    </x:row>
    <x:row r="12">
      <x:c r="A12" s="33" t="str">
        <x:v>Tax reserve</x:v>
      </x:c>
      <x:c r="B12" s="35" t="n">
        <x:f>MAX(0,B11*0.30)</x:f>
        <x:v>9885</x:v>
      </x:c>
      <x:c r="C12" s="35" t="n">
        <x:f>MAX(0,C11*0.30)</x:f>
        <x:v>35196</x:v>
      </x:c>
      <x:c r="D12" s="35" t="n">
        <x:f>MAX(0,D11*0.30)</x:f>
        <x:v>49290</x:v>
      </x:c>
    </x:row>
    <x:row r="13">
      <x:c r="A13" s="33" t="str">
        <x:v>Net income after reserve</x:v>
      </x:c>
      <x:c r="B13" s="35" t="n">
        <x:f>B11-B12</x:f>
        <x:v>23065</x:v>
      </x:c>
      <x:c r="C13" s="35" t="n">
        <x:f>C11-C12</x:f>
        <x:v>82124</x:v>
      </x:c>
      <x:c r="D13" s="35" t="n">
        <x:f>D11-D12</x:f>
        <x:v>115010</x:v>
      </x:c>
    </x:row>
    <x:row r="14">
      <x:c r="A14" s="33" t="str">
        <x:v>Note</x:v>
      </x:c>
      <x:c r="B14" s="33" t="str">
        <x:v>P&amp;L revenues are net contract values; cash is separately scheduled.</x:v>
      </x:c>
      <x:c r="C14" s="33" t="str"/>
      <x:c r="D14" s="33" t="str"/>
    </x:row>
    <x:row r="15">
      <x:c r="A15" s="33"/>
      <x:c r="B15" s="33"/>
      <x:c r="C15" s="33"/>
      <x:c r="D15" s="33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20" hidden="0" customWidth="1"/>
    <x:col min="5" max="5" width="32" hidden="0" customWidth="1"/>
    <x:col min="6" max="6" width="20" hidden="0" customWidth="1"/>
  </x:cols>
  <x:sheetData>
    <x:row r="1">
      <x:c r="A1" s="25" t="str">
        <x:v>AMAVIO | Corrected annual scenarios</x:v>
      </x:c>
      <x:c r="B1" s="25"/>
      <x:c r="C1" s="25"/>
      <x:c r="D1" s="25"/>
      <x:c r="E1" s="25"/>
      <x:c r="F1" s="25"/>
    </x:row>
    <x:row r="2">
      <x:c r="A2" s="27"/>
      <x:c r="B2" s="27"/>
      <x:c r="C2" s="27"/>
      <x:c r="D2" s="27"/>
      <x:c r="E2" s="27"/>
      <x:c r="F2" s="27"/>
    </x:row>
    <x:row r="3">
      <x:c r="A3" s="28" t="str">
        <x:v>Scenario</x:v>
      </x:c>
      <x:c r="B3" s="28" t="str">
        <x:v>Year</x:v>
      </x:c>
      <x:c r="C3" s="28" t="str">
        <x:v>Revenue</x:v>
      </x:c>
      <x:c r="D3" s="28" t="str">
        <x:v>Variable costs</x:v>
      </x:c>
      <x:c r="E3" s="28" t="str">
        <x:v>Fixed costs incl. founder/staff/depr.</x:v>
      </x:c>
      <x:c r="F3" s="28" t="str">
        <x:v>EBT</x:v>
      </x:c>
    </x:row>
    <x:row r="4">
      <x:c r="A4" s="33" t="str">
        <x:v>Downside</x:v>
      </x:c>
      <x:c r="B4" s="33" t="n">
        <x:v>1</x:v>
      </x:c>
      <x:c r="C4" s="35" t="n">
        <x:f>'Annual_P&amp;L'!B4*0.45</x:f>
        <x:v>42075</x:v>
      </x:c>
      <x:c r="D4" s="35" t="n">
        <x:f>C4*'Assumptions'!B7</x:f>
        <x:v>4207.5</x:v>
      </x:c>
      <x:c r="E4" s="35" t="n">
        <x:f>'Annual_P&amp;L'!B6+'Annual_P&amp;L'!B7+'Annual_P&amp;L'!B8+'Annual_P&amp;L'!B10</x:f>
        <x:v>51200</x:v>
      </x:c>
      <x:c r="F4" s="35" t="n">
        <x:f>C4-D4-E4</x:f>
        <x:v>-13332.5</x:v>
      </x:c>
    </x:row>
    <x:row r="5">
      <x:c r="A5" s="33" t="str">
        <x:v>Downside</x:v>
      </x:c>
      <x:c r="B5" s="33" t="n">
        <x:v>2</x:v>
      </x:c>
      <x:c r="C5" s="35" t="n">
        <x:f>'Annual_P&amp;L'!C4*0.45</x:f>
        <x:v>121050</x:v>
      </x:c>
      <x:c r="D5" s="35" t="n">
        <x:f>C5*'Assumptions'!C7</x:f>
        <x:v>14526</x:v>
      </x:c>
      <x:c r="E5" s="35" t="n">
        <x:f>'Annual_P&amp;L'!C6+'Annual_P&amp;L'!C7+'Annual_P&amp;L'!C8+'Annual_P&amp;L'!C10</x:f>
        <x:v>119400</x:v>
      </x:c>
      <x:c r="F5" s="35" t="n">
        <x:f>C5-D5-E5</x:f>
        <x:v>-12876</x:v>
      </x:c>
    </x:row>
    <x:row r="6">
      <x:c r="A6" s="33" t="str">
        <x:v>Downside</x:v>
      </x:c>
      <x:c r="B6" s="33" t="n">
        <x:v>3</x:v>
      </x:c>
      <x:c r="C6" s="35" t="n">
        <x:f>'Annual_P&amp;L'!D4*0.45</x:f>
        <x:v>198900</x:v>
      </x:c>
      <x:c r="D6" s="35" t="n">
        <x:f>C6*'Assumptions'!D7</x:f>
        <x:v>29835</x:v>
      </x:c>
      <x:c r="E6" s="35" t="n">
        <x:f>'Annual_P&amp;L'!D6+'Annual_P&amp;L'!D7+'Annual_P&amp;L'!D8+'Annual_P&amp;L'!D10</x:f>
        <x:v>211400</x:v>
      </x:c>
      <x:c r="F6" s="35" t="n">
        <x:f>C6-D6-E6</x:f>
        <x:v>-42335</x:v>
      </x:c>
    </x:row>
    <x:row r="7">
      <x:c r="A7" s="33" t="str">
        <x:v>Base</x:v>
      </x:c>
      <x:c r="B7" s="33" t="n">
        <x:v>1</x:v>
      </x:c>
      <x:c r="C7" s="35" t="n">
        <x:f>'Annual_P&amp;L'!B4*1</x:f>
        <x:v>93500</x:v>
      </x:c>
      <x:c r="D7" s="35" t="n">
        <x:f>C7*'Assumptions'!B7</x:f>
        <x:v>9350</x:v>
      </x:c>
      <x:c r="E7" s="35" t="n">
        <x:f>'Annual_P&amp;L'!B6+'Annual_P&amp;L'!B7+'Annual_P&amp;L'!B8+'Annual_P&amp;L'!B10</x:f>
        <x:v>51200</x:v>
      </x:c>
      <x:c r="F7" s="35" t="n">
        <x:f>C7-D7-E7</x:f>
        <x:v>32950</x:v>
      </x:c>
    </x:row>
    <x:row r="8">
      <x:c r="A8" s="33" t="str">
        <x:v>Base</x:v>
      </x:c>
      <x:c r="B8" s="33" t="n">
        <x:v>2</x:v>
      </x:c>
      <x:c r="C8" s="35" t="n">
        <x:f>'Annual_P&amp;L'!C4*1</x:f>
        <x:v>269000</x:v>
      </x:c>
      <x:c r="D8" s="35" t="n">
        <x:f>C8*'Assumptions'!C7</x:f>
        <x:v>32280</x:v>
      </x:c>
      <x:c r="E8" s="35" t="n">
        <x:f>'Annual_P&amp;L'!C6+'Annual_P&amp;L'!C7+'Annual_P&amp;L'!C8+'Annual_P&amp;L'!C10</x:f>
        <x:v>119400</x:v>
      </x:c>
      <x:c r="F8" s="35" t="n">
        <x:f>C8-D8-E8</x:f>
        <x:v>117320</x:v>
      </x:c>
    </x:row>
    <x:row r="9">
      <x:c r="A9" s="33" t="str">
        <x:v>Base</x:v>
      </x:c>
      <x:c r="B9" s="33" t="n">
        <x:v>3</x:v>
      </x:c>
      <x:c r="C9" s="35" t="n">
        <x:f>'Annual_P&amp;L'!D4*1</x:f>
        <x:v>442000</x:v>
      </x:c>
      <x:c r="D9" s="35" t="n">
        <x:f>C9*'Assumptions'!D7</x:f>
        <x:v>66300</x:v>
      </x:c>
      <x:c r="E9" s="35" t="n">
        <x:f>'Annual_P&amp;L'!D6+'Annual_P&amp;L'!D7+'Annual_P&amp;L'!D8+'Annual_P&amp;L'!D10</x:f>
        <x:v>211400</x:v>
      </x:c>
      <x:c r="F9" s="35" t="n">
        <x:f>C9-D9-E9</x:f>
        <x:v>164300</x:v>
      </x:c>
    </x:row>
    <x:row r="10">
      <x:c r="A10" s="33" t="str">
        <x:v>Growth</x:v>
      </x:c>
      <x:c r="B10" s="33" t="n">
        <x:v>1</x:v>
      </x:c>
      <x:c r="C10" s="35" t="n">
        <x:f>'Annual_P&amp;L'!B4*1.25</x:f>
        <x:v>116875</x:v>
      </x:c>
      <x:c r="D10" s="35" t="n">
        <x:f>C10*'Assumptions'!B7</x:f>
        <x:v>11687.5</x:v>
      </x:c>
      <x:c r="E10" s="35" t="n">
        <x:f>'Annual_P&amp;L'!B6+'Annual_P&amp;L'!B7+'Annual_P&amp;L'!B8+'Annual_P&amp;L'!B10</x:f>
        <x:v>51200</x:v>
      </x:c>
      <x:c r="F10" s="35" t="n">
        <x:f>C10-D10-E10</x:f>
        <x:v>53987.5</x:v>
      </x:c>
    </x:row>
    <x:row r="11">
      <x:c r="A11" s="33" t="str">
        <x:v>Growth</x:v>
      </x:c>
      <x:c r="B11" s="33" t="n">
        <x:v>2</x:v>
      </x:c>
      <x:c r="C11" s="35" t="n">
        <x:f>'Annual_P&amp;L'!C4*1.25</x:f>
        <x:v>336250</x:v>
      </x:c>
      <x:c r="D11" s="35" t="n">
        <x:f>C11*'Assumptions'!C7</x:f>
        <x:v>40350</x:v>
      </x:c>
      <x:c r="E11" s="35" t="n">
        <x:f>'Annual_P&amp;L'!C6+'Annual_P&amp;L'!C7+'Annual_P&amp;L'!C8+'Annual_P&amp;L'!C10</x:f>
        <x:v>119400</x:v>
      </x:c>
      <x:c r="F11" s="35" t="n">
        <x:f>C11-D11-E11</x:f>
        <x:v>176500</x:v>
      </x:c>
    </x:row>
    <x:row r="12">
      <x:c r="A12" s="33" t="str">
        <x:v>Growth</x:v>
      </x:c>
      <x:c r="B12" s="33" t="n">
        <x:v>3</x:v>
      </x:c>
      <x:c r="C12" s="35" t="n">
        <x:f>'Annual_P&amp;L'!D4*1.25</x:f>
        <x:v>552500</x:v>
      </x:c>
      <x:c r="D12" s="35" t="n">
        <x:f>C12*'Assumptions'!D7</x:f>
        <x:v>82875</x:v>
      </x:c>
      <x:c r="E12" s="35" t="n">
        <x:f>'Annual_P&amp;L'!D6+'Annual_P&amp;L'!D7+'Annual_P&amp;L'!D8+'Annual_P&amp;L'!D10</x:f>
        <x:v>211400</x:v>
      </x:c>
      <x:c r="F12" s="35" t="n">
        <x:f>C12-D12-E12</x:f>
        <x:v>258225</x:v>
      </x:c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34" hidden="0" customWidth="1"/>
  </x:cols>
  <x:sheetData>
    <x:row r="1">
      <x:c r="A1" s="25" t="str">
        <x:v>AMAVIO | P0 model checks</x:v>
      </x:c>
      <x:c r="B1" s="25"/>
      <x:c r="C1" s="25"/>
      <x:c r="D1" s="25"/>
      <x:c r="E1" s="25"/>
      <x:c r="F1" s="25"/>
    </x:row>
    <x:row r="2">
      <x:c r="A2" s="27"/>
      <x:c r="B2" s="27"/>
      <x:c r="C2" s="27"/>
      <x:c r="D2" s="27"/>
      <x:c r="E2" s="27"/>
      <x:c r="F2" s="27"/>
    </x:row>
    <x:row r="3">
      <x:c r="A3" s="28" t="str">
        <x:v>Check</x:v>
      </x:c>
      <x:c r="B3" s="28" t="str">
        <x:v>Actual</x:v>
      </x:c>
      <x:c r="C3" s="28" t="str">
        <x:v>Expected</x:v>
      </x:c>
      <x:c r="D3" s="28" t="str">
        <x:v>Difference</x:v>
      </x:c>
      <x:c r="E3" s="28" t="str">
        <x:v>Status</x:v>
      </x:c>
      <x:c r="F3" s="28" t="str">
        <x:v>Note</x:v>
      </x:c>
    </x:row>
    <x:row r="4">
      <x:c r="A4" s="33" t="str">
        <x:v>Y1 revenue</x:v>
      </x:c>
      <x:c r="B4" s="35" t="n">
        <x:f>'Annual_P&amp;L'!B4</x:f>
        <x:v>93500</x:v>
      </x:c>
      <x:c r="C4" s="35" t="n">
        <x:v>93500</x:v>
      </x:c>
      <x:c r="D4" s="35" t="n">
        <x:f>B4-C4</x:f>
        <x:v>0</x:v>
      </x:c>
      <x:c r="E4" s="33" t="str">
        <x:f>IF(ABS(D4)&lt;0.01,"OK","FAIL")</x:f>
        <x:v>OK</x:v>
      </x:c>
      <x:c r="F4" s="33" t="str">
        <x:v>Contract values</x:v>
      </x:c>
    </x:row>
    <x:row r="5">
      <x:c r="A5" s="33" t="str">
        <x:v>Y2 revenue</x:v>
      </x:c>
      <x:c r="B5" s="35" t="n">
        <x:f>'Annual_P&amp;L'!C4</x:f>
        <x:v>269000</x:v>
      </x:c>
      <x:c r="C5" s="35" t="n">
        <x:v>269000</x:v>
      </x:c>
      <x:c r="D5" s="35" t="n">
        <x:f>B5-C5</x:f>
        <x:v>0</x:v>
      </x:c>
      <x:c r="E5" s="33" t="str">
        <x:f>IF(ABS(D5)&lt;0.01,"OK","FAIL")</x:f>
        <x:v>OK</x:v>
      </x:c>
      <x:c r="F5" s="33" t="str">
        <x:v>Contract values</x:v>
      </x:c>
    </x:row>
    <x:row r="6">
      <x:c r="A6" s="33" t="str">
        <x:v>Y3 revenue</x:v>
      </x:c>
      <x:c r="B6" s="35" t="n">
        <x:f>'Annual_P&amp;L'!D4</x:f>
        <x:v>442000</x:v>
      </x:c>
      <x:c r="C6" s="35" t="n">
        <x:v>442000</x:v>
      </x:c>
      <x:c r="D6" s="35" t="n">
        <x:f>B6-C6</x:f>
        <x:v>0</x:v>
      </x:c>
      <x:c r="E6" s="33" t="str">
        <x:f>IF(ABS(D6)&lt;0.01,"OK","FAIL")</x:f>
        <x:v>OK</x:v>
      </x:c>
      <x:c r="F6" s="33" t="str">
        <x:v>Contract values</x:v>
      </x:c>
    </x:row>
    <x:row r="7">
      <x:c r="A7" s="33" t="str">
        <x:v>Y1 cash collections</x:v>
      </x:c>
      <x:c r="B7" s="35" t="n">
        <x:f>SUM('Monthly_Cash'!B4:M4)</x:f>
        <x:v>93500</x:v>
      </x:c>
      <x:c r="C7" s="35" t="n">
        <x:v>93500</x:v>
      </x:c>
      <x:c r="D7" s="35" t="n">
        <x:f>B7-C7</x:f>
        <x:v>0</x:v>
      </x:c>
      <x:c r="E7" s="33" t="str">
        <x:f>IF(ABS(D7)&lt;0.01,"OK","FAIL")</x:f>
        <x:v>OK</x:v>
      </x:c>
      <x:c r="F7" s="33" t="str">
        <x:v>Instalments total</x:v>
      </x:c>
    </x:row>
    <x:row r="8">
      <x:c r="A8" s="33" t="str">
        <x:v>Y2 cash collections</x:v>
      </x:c>
      <x:c r="B8" s="35" t="n">
        <x:f>SUM('Monthly_Cash'!N4:Y4)</x:f>
        <x:v>269000</x:v>
      </x:c>
      <x:c r="C8" s="35" t="n">
        <x:v>269000</x:v>
      </x:c>
      <x:c r="D8" s="35" t="n">
        <x:f>B8-C8</x:f>
        <x:v>0</x:v>
      </x:c>
      <x:c r="E8" s="33" t="str">
        <x:f>IF(ABS(D8)&lt;0.01,"OK","FAIL")</x:f>
        <x:v>OK</x:v>
      </x:c>
      <x:c r="F8" s="33" t="str">
        <x:v>Instalments total</x:v>
      </x:c>
    </x:row>
    <x:row r="9">
      <x:c r="A9" s="33" t="str">
        <x:v>Y3 cash collections</x:v>
      </x:c>
      <x:c r="B9" s="35" t="n">
        <x:f>SUM('Monthly_Cash'!Z4:AK4)</x:f>
        <x:v>442000</x:v>
      </x:c>
      <x:c r="C9" s="35" t="n">
        <x:v>442000</x:v>
      </x:c>
      <x:c r="D9" s="35" t="n">
        <x:f>B9-C9</x:f>
        <x:v>0</x:v>
      </x:c>
      <x:c r="E9" s="33" t="str">
        <x:f>IF(ABS(D9)&lt;0.01,"OK","FAIL")</x:f>
        <x:v>OK</x:v>
      </x:c>
      <x:c r="F9" s="33" t="str">
        <x:v>Instalments total</x:v>
      </x:c>
    </x:row>
    <x:row r="10">
      <x:c r="A10" s="33" t="str">
        <x:v>Start funding planned</x:v>
      </x:c>
      <x:c r="B10" s="35" t="n">
        <x:f>'Assumptions'!B4</x:f>
        <x:v>25000</x:v>
      </x:c>
      <x:c r="C10" s="35" t="n">
        <x:v>25000</x:v>
      </x:c>
      <x:c r="D10" s="35" t="n">
        <x:f>B10-C10</x:f>
        <x:v>0</x:v>
      </x:c>
      <x:c r="E10" s="33" t="str">
        <x:f>IF(ABS(D10)&lt;0.01,"OK","FAIL")</x:f>
        <x:v>OK</x:v>
      </x:c>
      <x:c r="F10" s="33" t="str">
        <x:v>Single total; no double count</x:v>
      </x:c>
    </x:row>
    <x:row r="11">
      <x:c r="A11" s="33" t="str">
        <x:v>Start funding received</x:v>
      </x:c>
      <x:c r="B11" s="35" t="n">
        <x:f>'Assumptions'!B5</x:f>
        <x:v>0</x:v>
      </x:c>
      <x:c r="C11" s="35" t="n">
        <x:v>0</x:v>
      </x:c>
      <x:c r="D11" s="35" t="n">
        <x:f>B11-C11</x:f>
        <x:v>0</x:v>
      </x:c>
      <x:c r="E11" s="33" t="str">
        <x:f>IF(B11&gt;=0,"INPUT","FAIL")</x:f>
        <x:v>INPUT</x:v>
      </x:c>
      <x:c r="F11" s="33" t="str">
        <x:v>Update before live use</x:v>
      </x:c>
    </x:row>
    <x:row r="12">
      <x:c r="A12" s="33" t="str">
        <x:v>Downside factor</x:v>
      </x:c>
      <x:c r="B12" s="38" t="n">
        <x:f>'Assumptions'!B14</x:f>
        <x:v>0.45</x:v>
      </x:c>
      <x:c r="C12" s="38" t="n">
        <x:v>0.45</x:v>
      </x:c>
      <x:c r="D12" s="38" t="n">
        <x:f>B12-C12</x:f>
        <x:v>0</x:v>
      </x:c>
      <x:c r="E12" s="33" t="str">
        <x:f>IF(ABS(D12)&lt;0.0001,"OK","FAIL")</x:f>
        <x:v>OK</x:v>
      </x:c>
      <x:c r="F12" s="33" t="str">
        <x:v>Corrected</x:v>
      </x:c>
    </x:row>
    <x:row r="13">
      <x:c r="A13" s="33" t="str">
        <x:v>Model release</x:v>
      </x:c>
      <x:c r="B13" s="33" t="str">
        <x:v>CONDITIONAL</x:v>
      </x:c>
      <x:c r="C13" s="33" t="str">
        <x:v>CONDITIONAL</x:v>
      </x:c>
      <x:c r="D13" s="33" t="n">
        <x:f>IF(B13=C13,0,1)</x:f>
        <x:v>0</x:v>
      </x:c>
      <x:c r="E13" s="33" t="str">
        <x:f>IF(D13=0,"CONDITIONAL","FAIL")</x:f>
        <x:v>CONDITIONAL</x:v>
      </x:c>
      <x:c r="F13" s="33" t="str">
        <x:v>G0–G5 evidence remains external</x:v>
      </x:c>
    </x:row>
  </x:sheetData>
  <x:mergeCells>
    <x:mergeCell ref="A1:F1"/>
  </x:mergeCells>
  <x:conditionalFormatting sqref="E4:E13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