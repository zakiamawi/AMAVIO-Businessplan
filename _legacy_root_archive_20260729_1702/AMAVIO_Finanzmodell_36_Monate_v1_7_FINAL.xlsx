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ntract_Cash" sheetId="3" state="visible" r:id="rId3"/>
    <sheet xmlns:r="http://schemas.openxmlformats.org/officeDocument/2006/relationships" name="Monthly_Cash" sheetId="4" state="visible" r:id="rId4"/>
    <sheet xmlns:r="http://schemas.openxmlformats.org/officeDocument/2006/relationships" name="Annual_P&amp;L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hecks" sheetId="7" state="visible" r:id="rId7"/>
    <sheet xmlns:r="http://schemas.openxmlformats.org/officeDocument/2006/relationships" name="Schedule_Inputs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Dashboard" sheetId="10" state="visible" r:id="rId10"/>
  </sheets>
  <definedNames/>
</workbook>
</file>

<file path=xl/styles.xml><?xml version="1.0" encoding="utf-8"?>
<styleSheet xmlns="http://schemas.openxmlformats.org/spreadsheetml/2006/main">
  <numFmts count="2">
    <numFmt numFmtId="164" formatCode="€#,##0;[Red](€#,##0);-"/>
    <numFmt numFmtId="165" formatCode="0.0%;[Red](0.0%);-"/>
  </numFmts>
  <fonts count="16">
    <font>
      <name val="Carlito"/>
      <sz val="11"/>
    </font>
    <font>
      <name val="Carlito"/>
      <b val="1"/>
      <color rgb="FFFFFFFF"/>
      <sz val="16"/>
    </font>
    <font>
      <name val="Carlito"/>
      <i val="1"/>
      <color rgb="FF52606D"/>
      <sz val="11"/>
    </font>
    <font>
      <name val="Carlito"/>
      <b val="1"/>
      <color rgb="FF102A43"/>
      <sz val="11"/>
    </font>
    <font>
      <name val="Carlito"/>
      <color rgb="FF0000FF"/>
      <sz val="11"/>
    </font>
    <font>
      <name val="Arial"/>
      <b val="1"/>
      <color rgb="FFFFFFFF"/>
      <sz val="16"/>
    </font>
    <font>
      <name val="Arial"/>
      <i val="1"/>
      <color rgb="FF52606D"/>
      <sz val="11"/>
    </font>
    <font>
      <name val="Arial"/>
      <sz val="11"/>
    </font>
    <font>
      <name val="Arial"/>
      <b val="1"/>
      <color rgb="FF102A43"/>
      <sz val="11"/>
    </font>
    <font>
      <name val="Carlito"/>
      <b val="1"/>
      <color rgb="FF0000FF"/>
      <sz val="11"/>
    </font>
    <font>
      <name val="Arial"/>
      <color rgb="FF0000FF"/>
      <sz val="11"/>
    </font>
    <font>
      <name val="Arial"/>
      <b val="1"/>
      <color rgb="FF0000FF"/>
      <sz val="11"/>
    </font>
    <font>
      <name val="Carlito"/>
      <i val="1"/>
      <color rgb="FF66788A"/>
      <sz val="11"/>
    </font>
    <font>
      <name val="Arial"/>
      <i val="1"/>
      <color rgb="FF66788A"/>
      <sz val="11"/>
    </font>
    <font>
      <name val="Carlito"/>
      <b val="1"/>
      <color rgb="FF102A43"/>
      <sz val="12"/>
    </font>
    <font>
      <name val="Arial"/>
      <b val="1"/>
      <color rgb="FF102A43"/>
      <sz val="12"/>
    </font>
  </fonts>
  <fills count="9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8EEF5"/>
      </patternFill>
    </fill>
    <fill>
      <patternFill patternType="solid">
        <fgColor rgb="FFF3F6F9"/>
      </patternFill>
    </fill>
    <fill>
      <patternFill patternType="solid">
        <fgColor rgb="FF102A43"/>
      </patternFill>
    </fill>
    <fill>
      <patternFill patternType="solid">
        <fgColor rgb="FFE8EEF5"/>
      </patternFill>
    </fill>
    <fill>
      <patternFill patternType="solid">
        <fgColor rgb="FFFFF4E5"/>
      </patternFill>
    </fill>
    <fill>
      <patternFill patternType="solid">
        <fgColor rgb="FFEEF7EE"/>
      </patternFill>
    </fill>
  </fills>
  <borders count="20">
    <border/>
    <border>
      <left style="thin">
        <color rgb="FFB8BCC4"/>
      </left>
      <right style="thin">
        <color rgb="FFB8BCC4"/>
      </right>
      <top style="thin">
        <color rgb="FFB8BCC4"/>
      </top>
      <bottom style="thin">
        <color rgb="FFB8BCC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double">
        <color rgb="FF102A43"/>
      </bottom>
    </border>
    <border>
      <left style="thin">
        <color rgb="FFD4DCE4"/>
      </left>
      <right style="thin">
        <color rgb="FFD4DCE4"/>
      </right>
      <top style="thin">
        <color rgb="FFD4DCE4"/>
      </top>
      <bottom style="thin">
        <color rgb="FFD4DCE4"/>
      </bottom>
    </border>
    <border>
      <right style="thin">
        <color rgb="FFD4DCE4"/>
      </right>
      <bottom style="thin">
        <color rgb="FFD4DCE4"/>
      </bottom>
    </border>
    <border>
      <left style="thin">
        <color rgb="FFD4DCE4"/>
      </left>
      <right style="thin">
        <color rgb="FFD4DCE4"/>
      </right>
      <bottom style="thin">
        <color rgb="FFD4DCE4"/>
      </bottom>
    </border>
    <border>
      <left style="thin">
        <color rgb="FFD4DCE4"/>
      </left>
      <bottom style="thin">
        <color rgb="FFD4DCE4"/>
      </bottom>
    </border>
    <border>
      <right style="thin">
        <color rgb="FFD4DCE4"/>
      </right>
      <top style="thin">
        <color rgb="FFD4DCE4"/>
      </top>
      <bottom style="thin">
        <color rgb="FFD4DCE4"/>
      </bottom>
    </border>
    <border>
      <left style="thin">
        <color rgb="FFD4DCE4"/>
      </left>
      <top style="thin">
        <color rgb="FFD4DCE4"/>
      </top>
      <bottom style="thin">
        <color rgb="FFD4DCE4"/>
      </bottom>
    </border>
    <border>
      <left style="thin">
        <color rgb="FFD9D9D9"/>
      </left>
      <right style="thin">
        <color rgb="FFD9D9D9"/>
      </right>
      <top style="medium">
        <color rgb="FF102A43"/>
      </top>
      <bottom style="thin">
        <color rgb="FFD9D9D9"/>
      </bottom>
    </border>
    <border>
      <left style="thin">
        <color rgb="FFD9D9D9"/>
      </left>
      <right style="thin">
        <color rgb="FFD4DCE4"/>
      </right>
      <top style="thin">
        <color rgb="FFD9D9D9"/>
      </top>
      <bottom style="thin">
        <color rgb="FFD4DCE4"/>
      </bottom>
    </border>
    <border>
      <left style="thin">
        <color rgb="FFD4DCE4"/>
      </left>
      <right style="thin">
        <color rgb="FFD4DCE4"/>
      </right>
      <top style="thin">
        <color rgb="FFD9D9D9"/>
      </top>
      <bottom style="thin">
        <color rgb="FFD4DCE4"/>
      </bottom>
    </border>
    <border>
      <left style="thin">
        <color rgb="FFD4DCE4"/>
      </left>
      <right style="thin">
        <color rgb="FFD9D9D9"/>
      </right>
      <top style="thin">
        <color rgb="FFD9D9D9"/>
      </top>
      <bottom style="thin">
        <color rgb="FFD4DCE4"/>
      </bottom>
    </border>
    <border>
      <left style="thin">
        <color rgb="FFD9D9D9"/>
      </left>
      <right style="thin">
        <color rgb="FFD4DCE4"/>
      </right>
      <top style="thin">
        <color rgb="FFD4DCE4"/>
      </top>
      <bottom style="thin">
        <color rgb="FFD4DCE4"/>
      </bottom>
    </border>
    <border>
      <left style="thin">
        <color rgb="FFD4DCE4"/>
      </left>
      <right style="thin">
        <color rgb="FFD9D9D9"/>
      </right>
      <top style="thin">
        <color rgb="FFD4DCE4"/>
      </top>
      <bottom style="thin">
        <color rgb="FFD4DCE4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5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164" fontId="4" fillId="0" borderId="2" applyAlignment="1" pivotButton="0" quotePrefix="0" xfId="0">
      <alignment wrapText="1"/>
    </xf>
    <xf numFmtId="165" fontId="4" fillId="0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3" fillId="3" borderId="3" pivotButton="0" quotePrefix="0" xfId="0"/>
    <xf numFmtId="0" fontId="3" fillId="3" borderId="2" pivotButton="0" quotePrefix="0" xfId="0"/>
    <xf numFmtId="164" fontId="0" fillId="0" borderId="2" pivotButton="0" quotePrefix="0" xfId="0"/>
    <xf numFmtId="164" fontId="3" fillId="3" borderId="2" pivotButton="0" quotePrefix="0" xfId="0"/>
    <xf numFmtId="165" fontId="0" fillId="0" borderId="2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164" fontId="3" fillId="3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3" fillId="4" borderId="4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9" fillId="4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165" fontId="4" fillId="0" borderId="6" applyAlignment="1" pivotButton="0" quotePrefix="0" xfId="0">
      <alignment vertical="center"/>
    </xf>
    <xf numFmtId="165" fontId="9" fillId="4" borderId="4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164" fontId="10" fillId="0" borderId="2" applyAlignment="1" pivotButton="0" quotePrefix="0" xfId="0">
      <alignment vertical="center" wrapText="1"/>
    </xf>
    <xf numFmtId="165" fontId="1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8" fillId="0" borderId="5" applyAlignment="1" pivotButton="0" quotePrefix="0" xfId="0">
      <alignment vertical="center"/>
    </xf>
    <xf numFmtId="165" fontId="10" fillId="0" borderId="6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8" fillId="4" borderId="4" applyAlignment="1" pivotButton="0" quotePrefix="0" xfId="0">
      <alignment vertical="center"/>
    </xf>
    <xf numFmtId="165" fontId="11" fillId="4" borderId="4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165" fontId="10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7" applyAlignment="1" pivotButton="0" quotePrefix="0" xfId="0">
      <alignment vertical="center" wrapText="1"/>
    </xf>
    <xf numFmtId="0" fontId="8" fillId="4" borderId="4" applyAlignment="1" pivotButton="0" quotePrefix="0" xfId="0">
      <alignment vertical="center" wrapText="1"/>
    </xf>
    <xf numFmtId="0" fontId="7" fillId="0" borderId="9" applyAlignment="1" pivotButton="0" quotePrefix="0" xfId="0">
      <alignment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3" fillId="6" borderId="4" pivotButton="0" quotePrefix="0" xfId="0"/>
    <xf numFmtId="0" fontId="3" fillId="6" borderId="4" applyAlignment="1" pivotButton="0" quotePrefix="0" xfId="0">
      <alignment wrapText="1"/>
    </xf>
    <xf numFmtId="0" fontId="3" fillId="6" borderId="4" applyAlignment="1" pivotButton="0" quotePrefix="0" xfId="0">
      <alignment horizontal="center" wrapText="1"/>
    </xf>
    <xf numFmtId="0" fontId="3" fillId="6" borderId="4" applyAlignment="1" pivotButton="0" quotePrefix="0" xfId="0">
      <alignment horizontal="center" vertical="center" wrapText="1"/>
    </xf>
    <xf numFmtId="1" fontId="4" fillId="0" borderId="6" applyAlignment="1" pivotButton="0" quotePrefix="0" xfId="0">
      <alignment vertical="center"/>
    </xf>
    <xf numFmtId="1" fontId="4" fillId="0" borderId="4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13" fillId="0" borderId="0" applyAlignment="1" pivotButton="0" quotePrefix="0" xfId="0">
      <alignment wrapText="1"/>
    </xf>
    <xf numFmtId="0" fontId="8" fillId="6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/>
    </xf>
    <xf numFmtId="1" fontId="10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1" fontId="10" fillId="0" borderId="4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164" fontId="10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164" fontId="8" fillId="3" borderId="2" applyAlignment="1" pivotButton="0" quotePrefix="0" xfId="0">
      <alignment vertical="center"/>
    </xf>
    <xf numFmtId="0" fontId="1" fillId="5" borderId="0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5" borderId="0" applyAlignment="1" pivotButton="0" quotePrefix="0" xfId="0">
      <alignment horizontal="left" vertical="center"/>
    </xf>
    <xf numFmtId="0" fontId="7" fillId="0" borderId="0" pivotButton="0" quotePrefix="0" xfId="0"/>
    <xf numFmtId="164" fontId="7" fillId="0" borderId="0" pivotButton="0" quotePrefix="0" xfId="0"/>
    <xf numFmtId="0" fontId="8" fillId="0" borderId="2" applyAlignment="1" pivotButton="0" quotePrefix="0" xfId="0">
      <alignment vertical="center"/>
    </xf>
    <xf numFmtId="0" fontId="8" fillId="0" borderId="0" pivotButton="0" quotePrefix="0" xfId="0"/>
    <xf numFmtId="0" fontId="8" fillId="0" borderId="10" applyAlignment="1" pivotButton="0" quotePrefix="0" xfId="0">
      <alignment vertical="center"/>
    </xf>
    <xf numFmtId="164" fontId="7" fillId="0" borderId="10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164" fontId="7" fillId="4" borderId="2" applyAlignment="1" pivotButton="0" quotePrefix="0" xfId="0">
      <alignment vertical="center"/>
    </xf>
    <xf numFmtId="0" fontId="8" fillId="4" borderId="0" pivotButton="0" quotePrefix="0" xfId="0"/>
    <xf numFmtId="164" fontId="7" fillId="4" borderId="0" pivotButton="0" quotePrefix="0" xfId="0"/>
    <xf numFmtId="0" fontId="8" fillId="6" borderId="0" pivotButton="0" quotePrefix="0" xfId="0"/>
    <xf numFmtId="164" fontId="7" fillId="6" borderId="0" pivotButton="0" quotePrefix="0" xfId="0"/>
    <xf numFmtId="0" fontId="8" fillId="0" borderId="4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4" borderId="4" applyAlignment="1" pivotButton="0" quotePrefix="0" xfId="0">
      <alignment vertical="center"/>
    </xf>
    <xf numFmtId="0" fontId="8" fillId="4" borderId="4" pivotButton="0" quotePrefix="0" xfId="0"/>
    <xf numFmtId="164" fontId="7" fillId="4" borderId="4" pivotButton="0" quotePrefix="0" xfId="0"/>
    <xf numFmtId="0" fontId="8" fillId="0" borderId="4" pivotButton="0" quotePrefix="0" xfId="0"/>
    <xf numFmtId="164" fontId="7" fillId="0" borderId="4" pivotButton="0" quotePrefix="0" xfId="0"/>
    <xf numFmtId="0" fontId="8" fillId="6" borderId="4" pivotButton="0" quotePrefix="0" xfId="0"/>
    <xf numFmtId="164" fontId="7" fillId="6" borderId="4" pivotButton="0" quotePrefix="0" xfId="0"/>
    <xf numFmtId="0" fontId="7" fillId="0" borderId="4" pivotButton="0" quotePrefix="0" xfId="0"/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0" fontId="0" fillId="0" borderId="15" pivotButton="0" quotePrefix="0" xfId="0"/>
    <xf numFmtId="0" fontId="0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165" fontId="0" fillId="0" borderId="12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0" fontId="0" fillId="7" borderId="11" applyAlignment="1" pivotButton="0" quotePrefix="0" xfId="0">
      <alignment vertical="center"/>
    </xf>
    <xf numFmtId="0" fontId="0" fillId="7" borderId="12" applyAlignment="1" pivotButton="0" quotePrefix="0" xfId="0">
      <alignment vertical="center"/>
    </xf>
    <xf numFmtId="165" fontId="0" fillId="7" borderId="12" applyAlignment="1" pivotButton="0" quotePrefix="0" xfId="0">
      <alignment vertical="center"/>
    </xf>
    <xf numFmtId="164" fontId="0" fillId="7" borderId="12" applyAlignment="1" pivotButton="0" quotePrefix="0" xfId="0">
      <alignment vertical="center"/>
    </xf>
    <xf numFmtId="164" fontId="0" fillId="7" borderId="13" applyAlignment="1" pivotButton="0" quotePrefix="0" xfId="0">
      <alignment vertical="center"/>
    </xf>
    <xf numFmtId="0" fontId="0" fillId="7" borderId="14" applyAlignment="1" pivotButton="0" quotePrefix="0" xfId="0">
      <alignment vertical="center"/>
    </xf>
    <xf numFmtId="0" fontId="0" fillId="7" borderId="4" applyAlignment="1" pivotButton="0" quotePrefix="0" xfId="0">
      <alignment vertical="center"/>
    </xf>
    <xf numFmtId="165" fontId="0" fillId="7" borderId="4" applyAlignment="1" pivotButton="0" quotePrefix="0" xfId="0">
      <alignment vertical="center"/>
    </xf>
    <xf numFmtId="164" fontId="0" fillId="7" borderId="4" applyAlignment="1" pivotButton="0" quotePrefix="0" xfId="0">
      <alignment vertical="center"/>
    </xf>
    <xf numFmtId="164" fontId="0" fillId="7" borderId="15" applyAlignment="1" pivotButton="0" quotePrefix="0" xfId="0">
      <alignment vertical="center"/>
    </xf>
    <xf numFmtId="0" fontId="0" fillId="4" borderId="14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165" fontId="0" fillId="4" borderId="4" applyAlignment="1" pivotButton="0" quotePrefix="0" xfId="0">
      <alignment vertical="center"/>
    </xf>
    <xf numFmtId="164" fontId="0" fillId="4" borderId="4" applyAlignment="1" pivotButton="0" quotePrefix="0" xfId="0">
      <alignment vertical="center"/>
    </xf>
    <xf numFmtId="164" fontId="0" fillId="4" borderId="15" applyAlignment="1" pivotButton="0" quotePrefix="0" xfId="0">
      <alignment vertical="center"/>
    </xf>
    <xf numFmtId="0" fontId="0" fillId="8" borderId="14" applyAlignment="1" pivotButton="0" quotePrefix="0" xfId="0">
      <alignment vertical="center"/>
    </xf>
    <xf numFmtId="0" fontId="0" fillId="8" borderId="4" applyAlignment="1" pivotButton="0" quotePrefix="0" xfId="0">
      <alignment vertical="center"/>
    </xf>
    <xf numFmtId="165" fontId="0" fillId="8" borderId="4" applyAlignment="1" pivotButton="0" quotePrefix="0" xfId="0">
      <alignment vertical="center"/>
    </xf>
    <xf numFmtId="164" fontId="0" fillId="8" borderId="4" applyAlignment="1" pivotButton="0" quotePrefix="0" xfId="0">
      <alignment vertical="center"/>
    </xf>
    <xf numFmtId="164" fontId="0" fillId="8" borderId="15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7" fillId="7" borderId="11" applyAlignment="1" pivotButton="0" quotePrefix="0" xfId="0">
      <alignment vertical="center"/>
    </xf>
    <xf numFmtId="0" fontId="7" fillId="7" borderId="12" applyAlignment="1" pivotButton="0" quotePrefix="0" xfId="0">
      <alignment vertical="center"/>
    </xf>
    <xf numFmtId="165" fontId="7" fillId="7" borderId="12" applyAlignment="1" pivotButton="0" quotePrefix="0" xfId="0">
      <alignment vertical="center"/>
    </xf>
    <xf numFmtId="164" fontId="7" fillId="7" borderId="12" applyAlignment="1" pivotButton="0" quotePrefix="0" xfId="0">
      <alignment vertical="center"/>
    </xf>
    <xf numFmtId="164" fontId="7" fillId="7" borderId="13" applyAlignment="1" pivotButton="0" quotePrefix="0" xfId="0">
      <alignment vertical="center"/>
    </xf>
    <xf numFmtId="0" fontId="7" fillId="7" borderId="14" applyAlignment="1" pivotButton="0" quotePrefix="0" xfId="0">
      <alignment vertical="center"/>
    </xf>
    <xf numFmtId="0" fontId="7" fillId="7" borderId="4" applyAlignment="1" pivotButton="0" quotePrefix="0" xfId="0">
      <alignment vertical="center"/>
    </xf>
    <xf numFmtId="165" fontId="7" fillId="7" borderId="4" applyAlignment="1" pivotButton="0" quotePrefix="0" xfId="0">
      <alignment vertical="center"/>
    </xf>
    <xf numFmtId="164" fontId="7" fillId="7" borderId="4" applyAlignment="1" pivotButton="0" quotePrefix="0" xfId="0">
      <alignment vertical="center"/>
    </xf>
    <xf numFmtId="164" fontId="7" fillId="7" borderId="15" applyAlignment="1" pivotButton="0" quotePrefix="0" xfId="0">
      <alignment vertical="center"/>
    </xf>
    <xf numFmtId="0" fontId="7" fillId="4" borderId="14" applyAlignment="1" pivotButton="0" quotePrefix="0" xfId="0">
      <alignment vertical="center"/>
    </xf>
    <xf numFmtId="0" fontId="7" fillId="4" borderId="4" applyAlignment="1" pivotButton="0" quotePrefix="0" xfId="0">
      <alignment vertical="center"/>
    </xf>
    <xf numFmtId="165" fontId="7" fillId="4" borderId="4" applyAlignment="1" pivotButton="0" quotePrefix="0" xfId="0">
      <alignment vertical="center"/>
    </xf>
    <xf numFmtId="164" fontId="7" fillId="4" borderId="15" applyAlignment="1" pivotButton="0" quotePrefix="0" xfId="0">
      <alignment vertical="center"/>
    </xf>
    <xf numFmtId="0" fontId="7" fillId="8" borderId="14" applyAlignment="1" pivotButton="0" quotePrefix="0" xfId="0">
      <alignment vertical="center"/>
    </xf>
    <xf numFmtId="0" fontId="7" fillId="8" borderId="4" applyAlignment="1" pivotButton="0" quotePrefix="0" xfId="0">
      <alignment vertical="center"/>
    </xf>
    <xf numFmtId="165" fontId="7" fillId="8" borderId="4" applyAlignment="1" pivotButton="0" quotePrefix="0" xfId="0">
      <alignment vertical="center"/>
    </xf>
    <xf numFmtId="164" fontId="7" fillId="8" borderId="4" applyAlignment="1" pivotButton="0" quotePrefix="0" xfId="0">
      <alignment vertical="center"/>
    </xf>
    <xf numFmtId="164" fontId="7" fillId="8" borderId="15" applyAlignment="1" pivotButton="0" quotePrefix="0" xfId="0">
      <alignment vertical="center"/>
    </xf>
    <xf numFmtId="0" fontId="0" fillId="0" borderId="14" pivotButton="0" quotePrefix="0" xfId="0"/>
    <xf numFmtId="0" fontId="0" fillId="6" borderId="14" applyAlignment="1" pivotButton="0" quotePrefix="0" xfId="0">
      <alignment vertical="center"/>
    </xf>
    <xf numFmtId="0" fontId="0" fillId="6" borderId="4" applyAlignment="1" pivotButton="0" quotePrefix="0" xfId="0">
      <alignment vertical="center"/>
    </xf>
    <xf numFmtId="0" fontId="0" fillId="6" borderId="15" applyAlignment="1" pivotButton="0" quotePrefix="0" xfId="0">
      <alignment vertical="center"/>
    </xf>
    <xf numFmtId="0" fontId="3" fillId="6" borderId="14" applyAlignment="1" pivotButton="0" quotePrefix="0" xfId="0">
      <alignment vertical="center"/>
    </xf>
    <xf numFmtId="0" fontId="3" fillId="6" borderId="4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164" fontId="7" fillId="0" borderId="12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7" fillId="0" borderId="14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0" fontId="8" fillId="6" borderId="14" applyAlignment="1" pivotButton="0" quotePrefix="0" xfId="0">
      <alignment vertical="center"/>
    </xf>
    <xf numFmtId="0" fontId="8" fillId="6" borderId="4" applyAlignment="1" pivotButton="0" quotePrefix="0" xfId="0">
      <alignment vertical="center"/>
    </xf>
    <xf numFmtId="0" fontId="8" fillId="6" borderId="15" applyAlignment="1" pivotButton="0" quotePrefix="0" xfId="0">
      <alignment vertical="center"/>
    </xf>
    <xf numFmtId="0" fontId="7" fillId="0" borderId="13" applyAlignment="1" pivotButton="0" quotePrefix="0" xfId="0">
      <alignment vertical="center" wrapText="1"/>
    </xf>
    <xf numFmtId="0" fontId="7" fillId="0" borderId="15" applyAlignment="1" pivotButton="0" quotePrefix="0" xfId="0">
      <alignment vertical="center" wrapText="1"/>
    </xf>
    <xf numFmtId="0" fontId="8" fillId="6" borderId="1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0" fontId="14" fillId="0" borderId="6" applyAlignment="1" pivotButton="0" quotePrefix="0" xfId="0">
      <alignment vertical="center"/>
    </xf>
    <xf numFmtId="164" fontId="14" fillId="0" borderId="4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15" fillId="0" borderId="6" applyAlignment="1" pivotButton="0" quotePrefix="0" xfId="0">
      <alignment vertical="center"/>
    </xf>
    <xf numFmtId="164" fontId="15" fillId="0" borderId="4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4" fontId="7" fillId="0" borderId="7" applyAlignment="1" pivotButton="0" quotePrefix="0" xfId="0">
      <alignment vertical="center"/>
    </xf>
    <xf numFmtId="164" fontId="7" fillId="0" borderId="9" applyAlignment="1" pivotButton="0" quotePrefix="0" xfId="0">
      <alignment vertical="center"/>
    </xf>
    <xf numFmtId="164" fontId="10" fillId="0" borderId="2" applyAlignment="1" pivotButton="0" quotePrefix="0" xfId="0">
      <alignment vertical="center" wrapText="1"/>
    </xf>
    <xf numFmtId="165" fontId="10" fillId="0" borderId="2" applyAlignment="1" pivotButton="0" quotePrefix="0" xfId="0">
      <alignment vertical="center" wrapText="1"/>
    </xf>
    <xf numFmtId="165" fontId="10" fillId="0" borderId="6" applyAlignment="1" pivotButton="0" quotePrefix="0" xfId="0">
      <alignment vertical="center"/>
    </xf>
    <xf numFmtId="165" fontId="11" fillId="4" borderId="4" applyAlignment="1" pivotButton="0" quotePrefix="0" xfId="0">
      <alignment vertical="center"/>
    </xf>
    <xf numFmtId="165" fontId="10" fillId="0" borderId="4" applyAlignment="1" pivotButton="0" quotePrefix="0" xfId="0">
      <alignment vertical="center"/>
    </xf>
    <xf numFmtId="164" fontId="10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4" fontId="8" fillId="3" borderId="2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4" borderId="4" applyAlignment="1" pivotButton="0" quotePrefix="0" xfId="0">
      <alignment vertical="center"/>
    </xf>
    <xf numFmtId="164" fontId="7" fillId="4" borderId="4" pivotButton="0" quotePrefix="0" xfId="0"/>
    <xf numFmtId="164" fontId="7" fillId="0" borderId="4" pivotButton="0" quotePrefix="0" xfId="0"/>
    <xf numFmtId="164" fontId="7" fillId="6" borderId="4" pivotButton="0" quotePrefix="0" xfId="0"/>
    <xf numFmtId="0" fontId="0" fillId="0" borderId="18" pivotButton="0" quotePrefix="0" xfId="0"/>
    <xf numFmtId="0" fontId="0" fillId="0" borderId="19" pivotButton="0" quotePrefix="0" xfId="0"/>
    <xf numFmtId="165" fontId="7" fillId="7" borderId="12" applyAlignment="1" pivotButton="0" quotePrefix="0" xfId="0">
      <alignment vertical="center"/>
    </xf>
    <xf numFmtId="164" fontId="7" fillId="7" borderId="12" applyAlignment="1" pivotButton="0" quotePrefix="0" xfId="0">
      <alignment vertical="center"/>
    </xf>
    <xf numFmtId="164" fontId="7" fillId="7" borderId="13" applyAlignment="1" pivotButton="0" quotePrefix="0" xfId="0">
      <alignment vertical="center"/>
    </xf>
    <xf numFmtId="165" fontId="7" fillId="7" borderId="4" applyAlignment="1" pivotButton="0" quotePrefix="0" xfId="0">
      <alignment vertical="center"/>
    </xf>
    <xf numFmtId="164" fontId="7" fillId="7" borderId="4" applyAlignment="1" pivotButton="0" quotePrefix="0" xfId="0">
      <alignment vertical="center"/>
    </xf>
    <xf numFmtId="164" fontId="7" fillId="7" borderId="15" applyAlignment="1" pivotButton="0" quotePrefix="0" xfId="0">
      <alignment vertical="center"/>
    </xf>
    <xf numFmtId="165" fontId="7" fillId="4" borderId="4" applyAlignment="1" pivotButton="0" quotePrefix="0" xfId="0">
      <alignment vertical="center"/>
    </xf>
    <xf numFmtId="164" fontId="7" fillId="4" borderId="15" applyAlignment="1" pivotButton="0" quotePrefix="0" xfId="0">
      <alignment vertical="center"/>
    </xf>
    <xf numFmtId="165" fontId="7" fillId="8" borderId="4" applyAlignment="1" pivotButton="0" quotePrefix="0" xfId="0">
      <alignment vertical="center"/>
    </xf>
    <xf numFmtId="164" fontId="7" fillId="8" borderId="4" applyAlignment="1" pivotButton="0" quotePrefix="0" xfId="0">
      <alignment vertical="center"/>
    </xf>
    <xf numFmtId="164" fontId="7" fillId="8" borderId="15" applyAlignment="1" pivotButton="0" quotePrefix="0" xfId="0">
      <alignment vertical="center"/>
    </xf>
    <xf numFmtId="164" fontId="7" fillId="0" borderId="12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" fontId="10" fillId="0" borderId="6" applyAlignment="1" pivotButton="0" quotePrefix="0" xfId="0">
      <alignment vertical="center"/>
    </xf>
    <xf numFmtId="1" fontId="10" fillId="0" borderId="4" applyAlignment="1" pivotButton="0" quotePrefix="0" xfId="0">
      <alignment vertical="center"/>
    </xf>
    <xf numFmtId="164" fontId="15" fillId="0" borderId="4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4" fontId="7" fillId="0" borderId="7" applyAlignment="1" pivotButton="0" quotePrefix="0" xfId="0">
      <alignment vertical="center"/>
    </xf>
    <xf numFmtId="164" fontId="7" fillId="0" borderId="9" applyAlignment="1" pivotButton="0" quotePrefix="0" xfId="0">
      <alignment vertical="center"/>
    </xf>
  </cellXfs>
  <cellStyles count="1">
    <cellStyle name="Normal" xfId="0"/>
  </cellStyles>
  <dxfs count="10">
    <dxf>
      <font>
        <b val="1"/>
        <color rgb="FF9B1C1C"/>
      </font>
      <fill>
        <patternFill>
          <bgColor rgb="FFFDECEC"/>
        </patternFill>
      </fill>
    </dxf>
    <dxf>
      <font>
        <b val="1"/>
        <color rgb="FF008000"/>
      </font>
      <fill>
        <patternFill>
          <bgColor rgb="FFE6F4EA"/>
        </patternFill>
      </fill>
    </dxf>
    <dxf>
      <font>
        <b val="1"/>
        <color rgb="FF008000"/>
      </font>
      <fill>
        <patternFill>
          <bgColor rgb="FFE6F4EA"/>
        </patternFill>
      </fill>
    </dxf>
    <dxf>
      <font>
        <b val="1"/>
        <color rgb="FF9B1C1C"/>
      </font>
      <fill>
        <patternFill>
          <bgColor rgb="FFFDECEC"/>
        </patternFill>
      </fill>
    </dxf>
    <dxf>
      <font>
        <color rgb="FF008000"/>
      </font>
      <fill>
        <patternFill>
          <bgColor rgb="FFE2F0D9"/>
        </patternFill>
      </fill>
    </dxf>
    <dxf>
      <font>
        <color rgb="FFB91C1C"/>
      </font>
      <fill>
        <patternFill>
          <bgColor rgb="FFFCE8E6"/>
        </patternFill>
      </fill>
    </dxf>
    <dxf>
      <font>
        <color rgb="FF008000"/>
      </font>
      <fill>
        <patternFill>
          <bgColor rgb="FFE2F0D9"/>
        </patternFill>
      </fill>
    </dxf>
    <dxf>
      <font>
        <b val="1"/>
        <color rgb="FF008000"/>
      </font>
      <fill>
        <patternFill>
          <bgColor rgb="FFE2F0D9"/>
        </patternFill>
      </fill>
    </dxf>
    <dxf>
      <font>
        <b val="1"/>
        <color rgb="FFB91C1C"/>
      </font>
      <fill>
        <patternFill>
          <bgColor rgb="FFFCE8E6"/>
        </patternFill>
      </fill>
    </dxf>
    <dxf>
      <font>
        <b val="1"/>
        <color rgb="FF9A6700"/>
      </font>
      <fill>
        <patternFill>
          <bgColor rgb="FFFFF4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Umsatz, EBITDA und Jahresüberschuss (EUR)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strRef>
              <f>'Dashboard'!$A$14:$A$16</f>
              <strCache>
                <ptCount val="0"/>
              </strCache>
            </strRef>
          </cat>
          <val>
            <numRef>
              <f>'Dashboard'!$B$14:$B$16</f>
              <numCache>
                <formatCode>€#,##0;[Red](€#,##0);-</formatCode>
                <ptCount val="0"/>
              </numCache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prstDash val="solid"/>
            </a:ln>
          </spPr>
          <cat>
            <strRef>
              <f>'Dashboard'!$A$14:$A$16</f>
              <strCache>
                <ptCount val="0"/>
              </strCache>
            </strRef>
          </cat>
          <val>
            <numRef>
              <f>'Dashboard'!$C$14:$C$16</f>
              <numCache>
                <formatCode>€#,##0;[Red](€#,##0);-</formatCode>
                <ptCount val="0"/>
              </numCache>
            </numRef>
          </val>
        </ser>
        <ser>
          <idx val="2"/>
          <order val="2"/>
          <tx>
            <v>Net income</v>
          </tx>
          <spPr>
            <a:ln xmlns:a="http://schemas.openxmlformats.org/drawingml/2006/main">
              <a:prstDash val="solid"/>
            </a:ln>
          </spPr>
          <cat>
            <strRef>
              <f>'Dashboard'!$A$14:$A$16</f>
              <strCache>
                <ptCount val="0"/>
              </strCache>
            </strRef>
          </cat>
          <val>
            <numRef>
              <f>'Dashboard'!$D$14:$D$16</f>
              <numCache>
                <formatCode>€#,##0;[Red](€#,##0);-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€#,##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Verfügbare Liquidität: Plan vs. Live (EUR)</a:t>
            </a:r>
          </a:p>
        </rich>
      </tx>
    </title>
    <plotArea>
      <lineChart>
        <grouping val="standard"/>
        <varyColors val="0"/>
        <ser>
          <idx val="0"/>
          <order val="0"/>
          <tx>
            <v>Plan available cash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'Dashboard'!$A$20:$A$55</f>
              <strCache>
                <ptCount val="0"/>
              </strCache>
            </strRef>
          </cat>
          <val>
            <numRef>
              <f>'Dashboard'!$B$20:$B$55</f>
              <numCache>
                <formatCode>€#,##0;[Red](€#,##0);-</formatCode>
                <ptCount val="0"/>
              </numCache>
            </numRef>
          </val>
        </ser>
        <ser>
          <idx val="1"/>
          <order val="1"/>
          <tx>
            <v>Live available cash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'Dashboard'!$A$20:$A$55</f>
              <strCache>
                <ptCount val="0"/>
              </strCache>
            </strRef>
          </cat>
          <val>
            <numRef>
              <f>'Dashboard'!$C$20:$C$55</f>
              <numCache>
                <formatCode>€#,##0;[Red](€#,##0);-</formatCode>
                <ptCount val="0"/>
              </numCache>
            </numRef>
          </val>
        </ser>
        <ser>
          <idx val="2"/>
          <order val="2"/>
          <tx>
            <v>Minimum liquidity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'Dashboard'!$A$20:$A$55</f>
              <strCache>
                <ptCount val="0"/>
              </strCache>
            </strRef>
          </cat>
          <val>
            <numRef>
              <f>'Dashboard'!$D$20:$D$55</f>
              <numCache>
                <formatCode>€#,##0;[Red](€#,##0);-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  <a:r>
              <a:t/>
            </a:r>
          </a:p>
        </txPr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€#,##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5</col>
      <colOff>0</colOff>
      <row>3</row>
      <rowOff>0</rowOff>
    </from>
    <to>
      <col>14</col>
      <colOff>0</colOff>
      <row>16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0</colOff>
      <row>18</row>
      <rowOff>0</rowOff>
    </from>
    <to>
      <col>14</col>
      <colOff>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39" t="inlineStr">
        <is>
          <t>AMAVIO | Finanzmodell 36 Monate v1.7 FINAL</t>
        </is>
      </c>
    </row>
    <row r="2">
      <c r="A2" s="40" t="inlineStr">
        <is>
          <t>Finale Baseline: dynamische Zahlungspläne, Plan-/Live-Liquidität, Steuerreserven, Szenarien und Modellchecks</t>
        </is>
      </c>
    </row>
    <row r="3">
      <c r="A3" s="41" t="n"/>
      <c r="B3" s="41" t="inlineStr">
        <is>
          <t>Kernfassung 1.7 · AMAVIO Living · Preis-, Cash- und Quellen-Synchronisierung · 28. Juli 2026</t>
        </is>
      </c>
      <c r="C3" s="41" t="n"/>
      <c r="D3" s="41" t="n"/>
      <c r="E3" s="41" t="n"/>
      <c r="F3" s="41" t="n"/>
      <c r="G3" s="41" t="n"/>
      <c r="H3" s="41" t="n"/>
    </row>
    <row r="4" ht="28" customHeight="1">
      <c r="A4" s="42" t="inlineStr">
        <is>
          <t>Status</t>
        </is>
      </c>
      <c r="B4" s="42">
        <f>'Checks'!E18</f>
        <v/>
      </c>
      <c r="C4" s="41" t="str"/>
      <c r="D4" s="41" t="str"/>
      <c r="E4" s="41" t="n"/>
      <c r="F4" s="41" t="n"/>
      <c r="G4" s="41" t="n"/>
      <c r="H4" s="41" t="n"/>
    </row>
    <row r="5" ht="28" customHeight="1">
      <c r="A5" s="43" t="inlineStr">
        <is>
          <t>Model purpose</t>
        </is>
      </c>
      <c r="B5" s="43" t="inlineStr">
        <is>
          <t>36-Monats-Planung für ein kapitalarmes B2B-Projekt- und Servicemodell</t>
        </is>
      </c>
      <c r="C5" s="41" t="str"/>
      <c r="D5" s="41" t="str"/>
      <c r="E5" s="41" t="n"/>
      <c r="F5" s="41" t="n"/>
      <c r="G5" s="41" t="n"/>
      <c r="H5" s="41" t="n"/>
    </row>
    <row r="6" ht="28" customHeight="1">
      <c r="A6" s="43" t="inlineStr">
        <is>
          <t>Capital convention</t>
        </is>
      </c>
      <c r="B6" s="43" t="inlineStr">
        <is>
          <t>25.000 € geplante Startfinanzierung: 500 € Stammkapital + 24.500 € gesondert dokumentierte Zuführung/Darlehen</t>
        </is>
      </c>
      <c r="C6" s="41" t="str"/>
      <c r="D6" s="41" t="str"/>
      <c r="E6" s="41" t="n"/>
      <c r="F6" s="41" t="n"/>
      <c r="G6" s="41" t="n"/>
      <c r="H6" s="41" t="n"/>
    </row>
    <row r="7" ht="28" customHeight="1">
      <c r="A7" s="43" t="inlineStr">
        <is>
          <t>Cash convention</t>
        </is>
      </c>
      <c r="B7" s="43" t="inlineStr">
        <is>
          <t>Plan- und Live-Sicht getrennt; verfügbare Liquidität nach Umsatzsteuer- und Ertragsteuerreserve</t>
        </is>
      </c>
      <c r="C7" s="41" t="str"/>
      <c r="D7" s="41" t="str"/>
      <c r="E7" s="41" t="n"/>
      <c r="F7" s="41" t="n"/>
      <c r="G7" s="41" t="n"/>
      <c r="H7" s="41" t="n"/>
    </row>
    <row r="8" ht="28" customHeight="1">
      <c r="A8" s="43" t="inlineStr">
        <is>
          <t>Limit</t>
        </is>
      </c>
      <c r="B8" s="43" t="inlineStr">
        <is>
          <t>No object operation, tenant deposits, customer funds, receivables financing or input-VAT recovery modelled.</t>
        </is>
      </c>
      <c r="C8" s="41" t="str"/>
      <c r="D8" s="41" t="str"/>
      <c r="E8" s="41" t="n"/>
      <c r="F8" s="41" t="n"/>
      <c r="G8" s="41" t="n"/>
      <c r="H8" s="41" t="n"/>
    </row>
    <row r="9" ht="28" customHeight="1">
      <c r="A9" s="43" t="inlineStr">
        <is>
          <t>Gate</t>
        </is>
      </c>
      <c r="B9" s="43" t="inlineStr">
        <is>
          <t>Live-Freigabe erst nach Eintrag des dokumentiert eingegangenen Finanzierungsbetrags</t>
        </is>
      </c>
      <c r="C9" s="41" t="str"/>
      <c r="D9" s="41" t="str"/>
      <c r="E9" s="41" t="n"/>
      <c r="F9" s="41" t="n"/>
      <c r="G9" s="41" t="n"/>
      <c r="H9" s="41" t="n"/>
    </row>
    <row r="10" ht="28" customHeight="1">
      <c r="A10" s="43" t="inlineStr">
        <is>
          <t>Source</t>
        </is>
      </c>
      <c r="B10" s="43" t="inlineStr">
        <is>
          <t>Zahlungsprofile: Blueprint 40/40/20; Launch 30/30/30/10; Office Setup 50/30/20; laufende Leistungen im Voraus</t>
        </is>
      </c>
      <c r="C10" s="41" t="str"/>
      <c r="D10" s="41" t="str"/>
      <c r="E10" s="41" t="n"/>
      <c r="F10" s="41" t="n"/>
      <c r="G10" s="41" t="n"/>
      <c r="H10" s="41" t="n"/>
    </row>
    <row r="11" ht="28" customHeight="1">
      <c r="A11" s="43" t="inlineStr">
        <is>
          <t>Owner</t>
        </is>
      </c>
      <c r="B11" s="43" t="inlineStr">
        <is>
          <t>Zaki Amawi / finance review required before use for commitments</t>
        </is>
      </c>
      <c r="C11" s="41" t="str"/>
      <c r="D11" s="41" t="str"/>
      <c r="E11" s="41" t="n"/>
      <c r="F11" s="41" t="n"/>
      <c r="G11" s="41" t="n"/>
      <c r="H11" s="41" t="n"/>
    </row>
    <row r="12" ht="28" customHeight="1">
      <c r="A12" s="43" t="inlineStr">
        <is>
          <t>Version date</t>
        </is>
      </c>
      <c r="B12" s="43" t="inlineStr">
        <is>
          <t>28. Juli 2026</t>
        </is>
      </c>
      <c r="C12" s="41" t="str"/>
      <c r="D12" s="41" t="str"/>
      <c r="E12" s="41" t="n"/>
      <c r="F12" s="41" t="n"/>
      <c r="G12" s="41" t="n"/>
      <c r="H12" s="41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8" customWidth="1" min="5" max="5"/>
    <col width="48" customWidth="1" min="6" max="6"/>
  </cols>
  <sheetData>
    <row r="1">
      <c r="A1" s="39" t="inlineStr">
        <is>
          <t>AMAVIO | Inputs – edit blue cells only</t>
        </is>
      </c>
    </row>
    <row r="2">
      <c r="A2" s="41" t="n"/>
      <c r="B2" s="41" t="n"/>
      <c r="C2" s="41" t="n"/>
      <c r="D2" s="41" t="n"/>
      <c r="E2" s="41" t="n"/>
      <c r="F2" s="41" t="n"/>
    </row>
    <row r="3">
      <c r="A3" s="42" t="inlineStr">
        <is>
          <t>Parameter</t>
        </is>
      </c>
      <c r="B3" s="42" t="inlineStr">
        <is>
          <t>Year 1</t>
        </is>
      </c>
      <c r="C3" s="42" t="inlineStr">
        <is>
          <t>Year 2</t>
        </is>
      </c>
      <c r="D3" s="42" t="inlineStr">
        <is>
          <t>Year 3</t>
        </is>
      </c>
      <c r="E3" s="42" t="inlineStr">
        <is>
          <t>Unit</t>
        </is>
      </c>
      <c r="F3" s="42" t="inlineStr">
        <is>
          <t>Note</t>
        </is>
      </c>
    </row>
    <row r="4">
      <c r="A4" s="43" t="inlineStr">
        <is>
          <t>Planned total start funding</t>
        </is>
      </c>
      <c r="B4" s="225" t="n">
        <v>25000</v>
      </c>
      <c r="C4" s="225" t="n">
        <v>0</v>
      </c>
      <c r="D4" s="225" t="n">
        <v>0</v>
      </c>
      <c r="E4" s="43" t="inlineStr">
        <is>
          <t>EUR</t>
        </is>
      </c>
      <c r="F4" s="43" t="inlineStr">
        <is>
          <t>€500 share capital + €24,500 documented contribution/loan; do not double count</t>
        </is>
      </c>
    </row>
    <row r="5">
      <c r="A5" s="43" t="inlineStr">
        <is>
          <t>Documented received start funding</t>
        </is>
      </c>
      <c r="B5" s="225" t="n">
        <v>0</v>
      </c>
      <c r="C5" s="225" t="n">
        <v>0</v>
      </c>
      <c r="D5" s="225" t="n">
        <v>0</v>
      </c>
      <c r="E5" s="43" t="inlineStr">
        <is>
          <t>EUR</t>
        </is>
      </c>
      <c r="F5" s="43" t="inlineStr">
        <is>
          <t>Set to actual received amount before live use</t>
        </is>
      </c>
    </row>
    <row r="6">
      <c r="A6" s="43" t="inlineStr">
        <is>
          <t>VAT rate</t>
        </is>
      </c>
      <c r="B6" s="226" t="n">
        <v>0.19</v>
      </c>
      <c r="C6" s="226" t="n">
        <v>0.19</v>
      </c>
      <c r="D6" s="226" t="n">
        <v>0.19</v>
      </c>
      <c r="E6" s="43" t="inlineStr">
        <is>
          <t>%</t>
        </is>
      </c>
      <c r="F6" s="43" t="inlineStr">
        <is>
          <t>VAT timing only; input VAT excluded</t>
        </is>
      </c>
    </row>
    <row r="7">
      <c r="A7" s="43" t="inlineStr">
        <is>
          <t>Variable external cost rate</t>
        </is>
      </c>
      <c r="B7" s="226" t="n">
        <v>0.1</v>
      </c>
      <c r="C7" s="226" t="n">
        <v>0.12</v>
      </c>
      <c r="D7" s="226" t="n">
        <v>0.15</v>
      </c>
      <c r="E7" s="43" t="inlineStr">
        <is>
          <t>% revenue</t>
        </is>
      </c>
      <c r="F7" s="43" t="inlineStr">
        <is>
          <t>Non-recharged service external costs</t>
        </is>
      </c>
    </row>
    <row r="8">
      <c r="A8" s="43" t="inlineStr">
        <is>
          <t>Monthly overhead</t>
        </is>
      </c>
      <c r="B8" s="225" t="n">
        <v>1600</v>
      </c>
      <c r="C8" s="225" t="n">
        <v>2200</v>
      </c>
      <c r="D8" s="225" t="n">
        <v>3200</v>
      </c>
      <c r="E8" s="43" t="inlineStr">
        <is>
          <t>EUR/month</t>
        </is>
      </c>
      <c r="F8" s="43" t="inlineStr">
        <is>
          <t>Software, insurance, marketing, advisers</t>
        </is>
      </c>
    </row>
    <row r="9">
      <c r="A9" s="43" t="inlineStr">
        <is>
          <t>Founder gross compensation</t>
        </is>
      </c>
      <c r="B9" s="225" t="n">
        <v>2500</v>
      </c>
      <c r="C9" s="225" t="n">
        <v>3500</v>
      </c>
      <c r="D9" s="225" t="n">
        <v>5000</v>
      </c>
      <c r="E9" s="43" t="inlineStr">
        <is>
          <t>EUR/month</t>
        </is>
      </c>
      <c r="F9" s="43" t="inlineStr">
        <is>
          <t>Only after GF agreement + resolution + cash gate. HINWEIS: Gründungszuschuss BA prüfen (ggf. +€1.200-2.000/Monat persönlich für 6 Monate).</t>
        </is>
      </c>
    </row>
    <row r="10">
      <c r="A10" s="43" t="inlineStr">
        <is>
          <t>Project coordination staff</t>
        </is>
      </c>
      <c r="B10" s="225" t="n">
        <v>0</v>
      </c>
      <c r="C10" s="225" t="n">
        <v>4000</v>
      </c>
      <c r="D10" s="225" t="n">
        <v>9000</v>
      </c>
      <c r="E10" s="43" t="inlineStr">
        <is>
          <t>EUR/month</t>
        </is>
      </c>
      <c r="F10" s="43" t="inlineStr">
        <is>
          <t>Only after personnel gate</t>
        </is>
      </c>
    </row>
    <row r="11">
      <c r="A11" s="43" t="inlineStr">
        <is>
          <t>Depreciation</t>
        </is>
      </c>
      <c r="B11" s="225" t="n">
        <v>2000</v>
      </c>
      <c r="C11" s="225" t="n">
        <v>3000</v>
      </c>
      <c r="D11" s="225" t="n">
        <v>5000</v>
      </c>
      <c r="E11" s="43" t="inlineStr">
        <is>
          <t>EUR/year</t>
        </is>
      </c>
      <c r="F11" s="43" t="inlineStr">
        <is>
          <t>P&amp;L only</t>
        </is>
      </c>
    </row>
    <row r="12">
      <c r="A12" s="43" t="inlineStr">
        <is>
          <t>Capex</t>
        </is>
      </c>
      <c r="B12" s="225" t="n">
        <v>2000</v>
      </c>
      <c r="C12" s="225" t="n">
        <v>8000</v>
      </c>
      <c r="D12" s="225" t="n">
        <v>15000</v>
      </c>
      <c r="E12" s="43" t="inlineStr">
        <is>
          <t>EUR/year</t>
        </is>
      </c>
      <c r="F12" s="43" t="inlineStr">
        <is>
          <t>Cash use</t>
        </is>
      </c>
    </row>
    <row r="13">
      <c r="A13" s="43" t="inlineStr">
        <is>
          <t>Minimum liquidity</t>
        </is>
      </c>
      <c r="B13" s="225" t="n">
        <v>10000</v>
      </c>
      <c r="C13" s="225" t="n">
        <v>15000</v>
      </c>
      <c r="D13" s="225" t="n">
        <v>25000</v>
      </c>
      <c r="E13" s="43" t="inlineStr">
        <is>
          <t>EUR</t>
        </is>
      </c>
      <c r="F13" s="43" t="inlineStr">
        <is>
          <t>Management threshold</t>
        </is>
      </c>
    </row>
    <row r="14">
      <c r="A14" s="43" t="inlineStr">
        <is>
          <t>Downside revenue factor</t>
        </is>
      </c>
      <c r="B14" s="226" t="n">
        <v>0.45</v>
      </c>
      <c r="C14" s="226" t="n">
        <v>0.45</v>
      </c>
      <c r="D14" s="226" t="n">
        <v>0.45</v>
      </c>
      <c r="E14" s="43" t="inlineStr">
        <is>
          <t>% of Base</t>
        </is>
      </c>
      <c r="F14" s="43" t="inlineStr">
        <is>
          <t>Corrected to 45%</t>
        </is>
      </c>
    </row>
    <row r="15">
      <c r="A15" s="43" t="inlineStr">
        <is>
          <t>Growth revenue factor</t>
        </is>
      </c>
      <c r="B15" s="226" t="n">
        <v>1.25</v>
      </c>
      <c r="C15" s="226" t="n">
        <v>1.25</v>
      </c>
      <c r="D15" s="226" t="n">
        <v>1.25</v>
      </c>
      <c r="E15" s="43" t="inlineStr">
        <is>
          <t>% of Base</t>
        </is>
      </c>
      <c r="F15" s="43" t="inlineStr">
        <is>
          <t>Planning sensitivity</t>
        </is>
      </c>
    </row>
    <row r="16">
      <c r="A16" s="43" t="inlineStr">
        <is>
          <t>Start-year billable founder days</t>
        </is>
      </c>
      <c r="B16" s="70" t="n">
        <v>102</v>
      </c>
      <c r="C16" s="70" t="n">
        <v>130</v>
      </c>
      <c r="D16" s="70" t="n">
        <v>140</v>
      </c>
      <c r="E16" s="43" t="inlineStr">
        <is>
          <t>days</t>
        </is>
      </c>
      <c r="F16" s="43" t="inlineStr">
        <is>
          <t>Year 1 launch capacity; years 2–3 mature target capacity</t>
        </is>
      </c>
    </row>
    <row r="17">
      <c r="A17" s="43" t="inlineStr">
        <is>
          <t>Standard day rate</t>
        </is>
      </c>
      <c r="B17" s="225" t="n">
        <v>900</v>
      </c>
      <c r="C17" s="225" t="n">
        <v>900</v>
      </c>
      <c r="D17" s="225" t="n">
        <v>900</v>
      </c>
      <c r="E17" s="43" t="inlineStr">
        <is>
          <t>EUR/day</t>
        </is>
      </c>
      <c r="F17" s="43" t="inlineStr">
        <is>
          <t>Interne Kalibrierung gemäß Businessplan; client-facing Preise bleiben paketbasiert</t>
        </is>
      </c>
    </row>
    <row r="18">
      <c r="A18" s="43" t="inlineStr">
        <is>
          <t>P0 finance status</t>
        </is>
      </c>
      <c r="B18" s="70" t="inlineStr">
        <is>
          <t>CONDITIONAL</t>
        </is>
      </c>
      <c r="C18" s="70" t="inlineStr">
        <is>
          <t>CONDITIONAL</t>
        </is>
      </c>
      <c r="D18" s="70" t="inlineStr">
        <is>
          <t>CONDITIONAL</t>
        </is>
      </c>
      <c r="E18" s="43" t="inlineStr">
        <is>
          <t>status</t>
        </is>
      </c>
      <c r="F18" s="43" t="inlineStr">
        <is>
          <t>Requires documented funding + legal/data/brand gates before commitments. Gate §34c GewO: Maklertätigkeit vor erstem Launch rechtlich klären.</t>
        </is>
      </c>
    </row>
    <row r="19">
      <c r="A19" s="71" t="inlineStr">
        <is>
          <t>Tax reserve rate</t>
        </is>
      </c>
      <c r="B19" s="227" t="n">
        <v>0.3</v>
      </c>
      <c r="C19" s="227" t="n">
        <v>0.3</v>
      </c>
      <c r="D19" s="227" t="n">
        <v>0.3</v>
      </c>
      <c r="E19" s="73" t="inlineStr">
        <is>
          <t>% of positive EBT</t>
        </is>
      </c>
      <c r="F19" s="81" t="inlineStr">
        <is>
          <t>Vorsichtige Planreserve; keine Steuerberechnung</t>
        </is>
      </c>
    </row>
    <row r="20">
      <c r="A20" s="75" t="inlineStr">
        <is>
          <t>Payment profile</t>
        </is>
      </c>
      <c r="B20" s="228" t="n"/>
      <c r="C20" s="228" t="n"/>
      <c r="D20" s="228" t="n"/>
      <c r="E20" s="75" t="n"/>
      <c r="F20" s="82" t="inlineStr">
        <is>
          <t>Editierbare Ratenprofile für Vertrags-Cashflow</t>
        </is>
      </c>
    </row>
    <row r="21">
      <c r="A21" s="77" t="inlineStr">
        <is>
          <t>Blueprint instalments</t>
        </is>
      </c>
      <c r="B21" s="229" t="n">
        <v>0.4</v>
      </c>
      <c r="C21" s="229" t="n">
        <v>0.4</v>
      </c>
      <c r="D21" s="229" t="n">
        <v>0.2</v>
      </c>
      <c r="E21" s="79" t="inlineStr">
        <is>
          <t>%</t>
        </is>
      </c>
      <c r="F21" s="83" t="inlineStr">
        <is>
          <t>Auftrag / Optionsfreigabe / Übergabe</t>
        </is>
      </c>
    </row>
    <row r="22">
      <c r="A22" s="77" t="inlineStr">
        <is>
          <t>Launch instalments</t>
        </is>
      </c>
      <c r="B22" s="229" t="n">
        <v>0.3</v>
      </c>
      <c r="C22" s="229" t="n">
        <v>0.3</v>
      </c>
      <c r="D22" s="229" t="n">
        <v>0.3</v>
      </c>
      <c r="E22" s="79" t="inlineStr">
        <is>
          <t>%</t>
        </is>
      </c>
      <c r="F22" s="83" t="inlineStr">
        <is>
          <t>Auftrag / Entscheidung / Bezugsfertigkeit</t>
        </is>
      </c>
    </row>
    <row r="23">
      <c r="A23" s="77" t="inlineStr">
        <is>
          <t>Launch final instalment</t>
        </is>
      </c>
      <c r="B23" s="229" t="n">
        <v>0.1</v>
      </c>
      <c r="C23" s="229" t="n">
        <v>0</v>
      </c>
      <c r="D23" s="229" t="n">
        <v>0</v>
      </c>
      <c r="E23" s="79" t="inlineStr">
        <is>
          <t>%</t>
        </is>
      </c>
      <c r="F23" s="83" t="inlineStr">
        <is>
          <t>Stabilisierung</t>
        </is>
      </c>
    </row>
    <row r="24">
      <c r="A24" s="77" t="inlineStr">
        <is>
          <t>Office Setup instalments</t>
        </is>
      </c>
      <c r="B24" s="229" t="n">
        <v>0.5</v>
      </c>
      <c r="C24" s="229" t="n">
        <v>0.3</v>
      </c>
      <c r="D24" s="229" t="n">
        <v>0.2</v>
      </c>
      <c r="E24" s="79" t="inlineStr">
        <is>
          <t>%</t>
        </is>
      </c>
      <c r="F24" s="83" t="inlineStr">
        <is>
          <t>Auftrag / Systemfreigabe / Go-live</t>
        </is>
      </c>
    </row>
    <row r="25">
      <c r="A25" s="77" t="inlineStr">
        <is>
          <t>Model baseline</t>
        </is>
      </c>
      <c r="B25" s="79" t="inlineStr">
        <is>
          <t>93,500 / 269,000 / 442,000</t>
        </is>
      </c>
      <c r="C25" s="79" t="n"/>
      <c r="D25" s="79" t="n"/>
      <c r="E25" s="79" t="inlineStr">
        <is>
          <t>EUR</t>
        </is>
      </c>
      <c r="F25" s="83" t="inlineStr">
        <is>
          <t>Planumsatz Jahre 1–3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20" customWidth="1" min="4" max="4"/>
    <col width="12" customWidth="1" min="5" max="5"/>
  </cols>
  <sheetData>
    <row r="1">
      <c r="A1" s="39" t="inlineStr">
        <is>
          <t>AMAVIO | Contract value and planned cash collection schedule</t>
        </is>
      </c>
      <c r="AM1" s="41" t="n"/>
      <c r="AN1" s="41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</row>
    <row r="3">
      <c r="A3" s="42" t="inlineStr">
        <is>
          <t>Contract / package</t>
        </is>
      </c>
      <c r="B3" s="42" t="inlineStr">
        <is>
          <t>Year</t>
        </is>
      </c>
      <c r="C3" s="42" t="inlineStr">
        <is>
          <t>Net contract value</t>
        </is>
      </c>
      <c r="D3" s="42" t="inlineStr">
        <is>
          <t>Payment logic</t>
        </is>
      </c>
      <c r="E3" s="42" t="inlineStr">
        <is>
          <t>M1</t>
        </is>
      </c>
      <c r="F3" s="42" t="inlineStr">
        <is>
          <t>M2</t>
        </is>
      </c>
      <c r="G3" s="42" t="inlineStr">
        <is>
          <t>M3</t>
        </is>
      </c>
      <c r="H3" s="42" t="inlineStr">
        <is>
          <t>M4</t>
        </is>
      </c>
      <c r="I3" s="42" t="inlineStr">
        <is>
          <t>M5</t>
        </is>
      </c>
      <c r="J3" s="42" t="inlineStr">
        <is>
          <t>M6</t>
        </is>
      </c>
      <c r="K3" s="42" t="inlineStr">
        <is>
          <t>M7</t>
        </is>
      </c>
      <c r="L3" s="42" t="inlineStr">
        <is>
          <t>M8</t>
        </is>
      </c>
      <c r="M3" s="42" t="inlineStr">
        <is>
          <t>M9</t>
        </is>
      </c>
      <c r="N3" s="42" t="inlineStr">
        <is>
          <t>M10</t>
        </is>
      </c>
      <c r="O3" s="42" t="inlineStr">
        <is>
          <t>M11</t>
        </is>
      </c>
      <c r="P3" s="42" t="inlineStr">
        <is>
          <t>M12</t>
        </is>
      </c>
      <c r="Q3" s="42" t="inlineStr">
        <is>
          <t>M13</t>
        </is>
      </c>
      <c r="R3" s="42" t="inlineStr">
        <is>
          <t>M14</t>
        </is>
      </c>
      <c r="S3" s="42" t="inlineStr">
        <is>
          <t>M15</t>
        </is>
      </c>
      <c r="T3" s="42" t="inlineStr">
        <is>
          <t>M16</t>
        </is>
      </c>
      <c r="U3" s="42" t="inlineStr">
        <is>
          <t>M17</t>
        </is>
      </c>
      <c r="V3" s="42" t="inlineStr">
        <is>
          <t>M18</t>
        </is>
      </c>
      <c r="W3" s="42" t="inlineStr">
        <is>
          <t>M19</t>
        </is>
      </c>
      <c r="X3" s="42" t="inlineStr">
        <is>
          <t>M20</t>
        </is>
      </c>
      <c r="Y3" s="42" t="inlineStr">
        <is>
          <t>M21</t>
        </is>
      </c>
      <c r="Z3" s="42" t="inlineStr">
        <is>
          <t>M22</t>
        </is>
      </c>
      <c r="AA3" s="42" t="inlineStr">
        <is>
          <t>M23</t>
        </is>
      </c>
      <c r="AB3" s="42" t="inlineStr">
        <is>
          <t>M24</t>
        </is>
      </c>
      <c r="AC3" s="42" t="inlineStr">
        <is>
          <t>M25</t>
        </is>
      </c>
      <c r="AD3" s="42" t="inlineStr">
        <is>
          <t>M26</t>
        </is>
      </c>
      <c r="AE3" s="42" t="inlineStr">
        <is>
          <t>M27</t>
        </is>
      </c>
      <c r="AF3" s="42" t="inlineStr">
        <is>
          <t>M28</t>
        </is>
      </c>
      <c r="AG3" s="42" t="inlineStr">
        <is>
          <t>M29</t>
        </is>
      </c>
      <c r="AH3" s="42" t="inlineStr">
        <is>
          <t>M30</t>
        </is>
      </c>
      <c r="AI3" s="42" t="inlineStr">
        <is>
          <t>M31</t>
        </is>
      </c>
      <c r="AJ3" s="42" t="inlineStr">
        <is>
          <t>M32</t>
        </is>
      </c>
      <c r="AK3" s="42" t="inlineStr">
        <is>
          <t>M33</t>
        </is>
      </c>
      <c r="AL3" s="42" t="inlineStr">
        <is>
          <t>M34</t>
        </is>
      </c>
      <c r="AM3" s="42" t="inlineStr">
        <is>
          <t>M35</t>
        </is>
      </c>
      <c r="AN3" s="42" t="inlineStr">
        <is>
          <t>M36</t>
        </is>
      </c>
    </row>
    <row r="4">
      <c r="A4" s="106" t="inlineStr">
        <is>
          <t>Blueprint 01</t>
        </is>
      </c>
      <c r="B4" s="106" t="n">
        <v>1</v>
      </c>
      <c r="C4" s="230" t="n">
        <v>12500</v>
      </c>
      <c r="D4" s="231" t="inlineStr">
        <is>
          <t>40 / 40 / 20</t>
        </is>
      </c>
      <c r="E4" s="231">
        <f>IF('Schedule_Inputs'!$C$4="Blueprint",$C4*IF(1-'Schedule_Inputs'!$B$4=0,'Assumptions'!$B$21,IF(1-'Schedule_Inputs'!$B$4=1,'Assumptions'!$C$21,IF(1-'Schedule_Inputs'!$B$4=2,'Assumptions'!$D$21,0))),IF('Schedule_Inputs'!$C$4="Launch",$C4*IF(1-'Schedule_Inputs'!$B$4=0,'Assumptions'!$B$22,IF(1-'Schedule_Inputs'!$B$4=1,'Assumptions'!$C$22,IF(1-'Schedule_Inputs'!$B$4=2,'Assumptions'!$D$22,IF(1-'Schedule_Inputs'!$B$4=3,'Assumptions'!$B$23,0)))),IF('Schedule_Inputs'!$C$4="Office Setup",$C4*IF(1-'Schedule_Inputs'!$B$4=0,'Assumptions'!$B$24,IF(1-'Schedule_Inputs'!$B$4=1,'Assumptions'!$C$24,IF(1-'Schedule_Inputs'!$B$4=2,'Assumptions'!$D$24,0))),IF(OR('Schedule_Inputs'!$C$4="Monthly",'Schedule_Inputs'!$C$4="Periodic"),IF(AND(1&gt;='Schedule_Inputs'!$B$4,MOD(1-'Schedule_Inputs'!$B$4,'Schedule_Inputs'!$E$4)=0,(1-'Schedule_Inputs'!$B$4)/'Schedule_Inputs'!$E$4&lt;'Schedule_Inputs'!$D$4),$C4/'Schedule_Inputs'!$D$4,0),0))))</f>
        <v/>
      </c>
      <c r="F4" s="231">
        <f>IF('Schedule_Inputs'!$C$4="Blueprint",$C4*IF(2-'Schedule_Inputs'!$B$4=0,'Assumptions'!$B$21,IF(2-'Schedule_Inputs'!$B$4=1,'Assumptions'!$C$21,IF(2-'Schedule_Inputs'!$B$4=2,'Assumptions'!$D$21,0))),IF('Schedule_Inputs'!$C$4="Launch",$C4*IF(2-'Schedule_Inputs'!$B$4=0,'Assumptions'!$B$22,IF(2-'Schedule_Inputs'!$B$4=1,'Assumptions'!$C$22,IF(2-'Schedule_Inputs'!$B$4=2,'Assumptions'!$D$22,IF(2-'Schedule_Inputs'!$B$4=3,'Assumptions'!$B$23,0)))),IF('Schedule_Inputs'!$C$4="Office Setup",$C4*IF(2-'Schedule_Inputs'!$B$4=0,'Assumptions'!$B$24,IF(2-'Schedule_Inputs'!$B$4=1,'Assumptions'!$C$24,IF(2-'Schedule_Inputs'!$B$4=2,'Assumptions'!$D$24,0))),IF(OR('Schedule_Inputs'!$C$4="Monthly",'Schedule_Inputs'!$C$4="Periodic"),IF(AND(2&gt;='Schedule_Inputs'!$B$4,MOD(2-'Schedule_Inputs'!$B$4,'Schedule_Inputs'!$E$4)=0,(2-'Schedule_Inputs'!$B$4)/'Schedule_Inputs'!$E$4&lt;'Schedule_Inputs'!$D$4),$C4/'Schedule_Inputs'!$D$4,0),0))))</f>
        <v/>
      </c>
      <c r="G4" s="231">
        <f>IF('Schedule_Inputs'!$C$4="Blueprint",$C4*IF(3-'Schedule_Inputs'!$B$4=0,'Assumptions'!$B$21,IF(3-'Schedule_Inputs'!$B$4=1,'Assumptions'!$C$21,IF(3-'Schedule_Inputs'!$B$4=2,'Assumptions'!$D$21,0))),IF('Schedule_Inputs'!$C$4="Launch",$C4*IF(3-'Schedule_Inputs'!$B$4=0,'Assumptions'!$B$22,IF(3-'Schedule_Inputs'!$B$4=1,'Assumptions'!$C$22,IF(3-'Schedule_Inputs'!$B$4=2,'Assumptions'!$D$22,IF(3-'Schedule_Inputs'!$B$4=3,'Assumptions'!$B$23,0)))),IF('Schedule_Inputs'!$C$4="Office Setup",$C4*IF(3-'Schedule_Inputs'!$B$4=0,'Assumptions'!$B$24,IF(3-'Schedule_Inputs'!$B$4=1,'Assumptions'!$C$24,IF(3-'Schedule_Inputs'!$B$4=2,'Assumptions'!$D$24,0))),IF(OR('Schedule_Inputs'!$C$4="Monthly",'Schedule_Inputs'!$C$4="Periodic"),IF(AND(3&gt;='Schedule_Inputs'!$B$4,MOD(3-'Schedule_Inputs'!$B$4,'Schedule_Inputs'!$E$4)=0,(3-'Schedule_Inputs'!$B$4)/'Schedule_Inputs'!$E$4&lt;'Schedule_Inputs'!$D$4),$C4/'Schedule_Inputs'!$D$4,0),0))))</f>
        <v/>
      </c>
      <c r="H4" s="231">
        <f>IF('Schedule_Inputs'!$C$4="Blueprint",$C4*IF(4-'Schedule_Inputs'!$B$4=0,'Assumptions'!$B$21,IF(4-'Schedule_Inputs'!$B$4=1,'Assumptions'!$C$21,IF(4-'Schedule_Inputs'!$B$4=2,'Assumptions'!$D$21,0))),IF('Schedule_Inputs'!$C$4="Launch",$C4*IF(4-'Schedule_Inputs'!$B$4=0,'Assumptions'!$B$22,IF(4-'Schedule_Inputs'!$B$4=1,'Assumptions'!$C$22,IF(4-'Schedule_Inputs'!$B$4=2,'Assumptions'!$D$22,IF(4-'Schedule_Inputs'!$B$4=3,'Assumptions'!$B$23,0)))),IF('Schedule_Inputs'!$C$4="Office Setup",$C4*IF(4-'Schedule_Inputs'!$B$4=0,'Assumptions'!$B$24,IF(4-'Schedule_Inputs'!$B$4=1,'Assumptions'!$C$24,IF(4-'Schedule_Inputs'!$B$4=2,'Assumptions'!$D$24,0))),IF(OR('Schedule_Inputs'!$C$4="Monthly",'Schedule_Inputs'!$C$4="Periodic"),IF(AND(4&gt;='Schedule_Inputs'!$B$4,MOD(4-'Schedule_Inputs'!$B$4,'Schedule_Inputs'!$E$4)=0,(4-'Schedule_Inputs'!$B$4)/'Schedule_Inputs'!$E$4&lt;'Schedule_Inputs'!$D$4),$C4/'Schedule_Inputs'!$D$4,0),0))))</f>
        <v/>
      </c>
      <c r="I4" s="231">
        <f>IF('Schedule_Inputs'!$C$4="Blueprint",$C4*IF(5-'Schedule_Inputs'!$B$4=0,'Assumptions'!$B$21,IF(5-'Schedule_Inputs'!$B$4=1,'Assumptions'!$C$21,IF(5-'Schedule_Inputs'!$B$4=2,'Assumptions'!$D$21,0))),IF('Schedule_Inputs'!$C$4="Launch",$C4*IF(5-'Schedule_Inputs'!$B$4=0,'Assumptions'!$B$22,IF(5-'Schedule_Inputs'!$B$4=1,'Assumptions'!$C$22,IF(5-'Schedule_Inputs'!$B$4=2,'Assumptions'!$D$22,IF(5-'Schedule_Inputs'!$B$4=3,'Assumptions'!$B$23,0)))),IF('Schedule_Inputs'!$C$4="Office Setup",$C4*IF(5-'Schedule_Inputs'!$B$4=0,'Assumptions'!$B$24,IF(5-'Schedule_Inputs'!$B$4=1,'Assumptions'!$C$24,IF(5-'Schedule_Inputs'!$B$4=2,'Assumptions'!$D$24,0))),IF(OR('Schedule_Inputs'!$C$4="Monthly",'Schedule_Inputs'!$C$4="Periodic"),IF(AND(5&gt;='Schedule_Inputs'!$B$4,MOD(5-'Schedule_Inputs'!$B$4,'Schedule_Inputs'!$E$4)=0,(5-'Schedule_Inputs'!$B$4)/'Schedule_Inputs'!$E$4&lt;'Schedule_Inputs'!$D$4),$C4/'Schedule_Inputs'!$D$4,0),0))))</f>
        <v/>
      </c>
      <c r="J4" s="231">
        <f>IF('Schedule_Inputs'!$C$4="Blueprint",$C4*IF(6-'Schedule_Inputs'!$B$4=0,'Assumptions'!$B$21,IF(6-'Schedule_Inputs'!$B$4=1,'Assumptions'!$C$21,IF(6-'Schedule_Inputs'!$B$4=2,'Assumptions'!$D$21,0))),IF('Schedule_Inputs'!$C$4="Launch",$C4*IF(6-'Schedule_Inputs'!$B$4=0,'Assumptions'!$B$22,IF(6-'Schedule_Inputs'!$B$4=1,'Assumptions'!$C$22,IF(6-'Schedule_Inputs'!$B$4=2,'Assumptions'!$D$22,IF(6-'Schedule_Inputs'!$B$4=3,'Assumptions'!$B$23,0)))),IF('Schedule_Inputs'!$C$4="Office Setup",$C4*IF(6-'Schedule_Inputs'!$B$4=0,'Assumptions'!$B$24,IF(6-'Schedule_Inputs'!$B$4=1,'Assumptions'!$C$24,IF(6-'Schedule_Inputs'!$B$4=2,'Assumptions'!$D$24,0))),IF(OR('Schedule_Inputs'!$C$4="Monthly",'Schedule_Inputs'!$C$4="Periodic"),IF(AND(6&gt;='Schedule_Inputs'!$B$4,MOD(6-'Schedule_Inputs'!$B$4,'Schedule_Inputs'!$E$4)=0,(6-'Schedule_Inputs'!$B$4)/'Schedule_Inputs'!$E$4&lt;'Schedule_Inputs'!$D$4),$C4/'Schedule_Inputs'!$D$4,0),0))))</f>
        <v/>
      </c>
      <c r="K4" s="231">
        <f>IF('Schedule_Inputs'!$C$4="Blueprint",$C4*IF(7-'Schedule_Inputs'!$B$4=0,'Assumptions'!$B$21,IF(7-'Schedule_Inputs'!$B$4=1,'Assumptions'!$C$21,IF(7-'Schedule_Inputs'!$B$4=2,'Assumptions'!$D$21,0))),IF('Schedule_Inputs'!$C$4="Launch",$C4*IF(7-'Schedule_Inputs'!$B$4=0,'Assumptions'!$B$22,IF(7-'Schedule_Inputs'!$B$4=1,'Assumptions'!$C$22,IF(7-'Schedule_Inputs'!$B$4=2,'Assumptions'!$D$22,IF(7-'Schedule_Inputs'!$B$4=3,'Assumptions'!$B$23,0)))),IF('Schedule_Inputs'!$C$4="Office Setup",$C4*IF(7-'Schedule_Inputs'!$B$4=0,'Assumptions'!$B$24,IF(7-'Schedule_Inputs'!$B$4=1,'Assumptions'!$C$24,IF(7-'Schedule_Inputs'!$B$4=2,'Assumptions'!$D$24,0))),IF(OR('Schedule_Inputs'!$C$4="Monthly",'Schedule_Inputs'!$C$4="Periodic"),IF(AND(7&gt;='Schedule_Inputs'!$B$4,MOD(7-'Schedule_Inputs'!$B$4,'Schedule_Inputs'!$E$4)=0,(7-'Schedule_Inputs'!$B$4)/'Schedule_Inputs'!$E$4&lt;'Schedule_Inputs'!$D$4),$C4/'Schedule_Inputs'!$D$4,0),0))))</f>
        <v/>
      </c>
      <c r="L4" s="231">
        <f>IF('Schedule_Inputs'!$C$4="Blueprint",$C4*IF(8-'Schedule_Inputs'!$B$4=0,'Assumptions'!$B$21,IF(8-'Schedule_Inputs'!$B$4=1,'Assumptions'!$C$21,IF(8-'Schedule_Inputs'!$B$4=2,'Assumptions'!$D$21,0))),IF('Schedule_Inputs'!$C$4="Launch",$C4*IF(8-'Schedule_Inputs'!$B$4=0,'Assumptions'!$B$22,IF(8-'Schedule_Inputs'!$B$4=1,'Assumptions'!$C$22,IF(8-'Schedule_Inputs'!$B$4=2,'Assumptions'!$D$22,IF(8-'Schedule_Inputs'!$B$4=3,'Assumptions'!$B$23,0)))),IF('Schedule_Inputs'!$C$4="Office Setup",$C4*IF(8-'Schedule_Inputs'!$B$4=0,'Assumptions'!$B$24,IF(8-'Schedule_Inputs'!$B$4=1,'Assumptions'!$C$24,IF(8-'Schedule_Inputs'!$B$4=2,'Assumptions'!$D$24,0))),IF(OR('Schedule_Inputs'!$C$4="Monthly",'Schedule_Inputs'!$C$4="Periodic"),IF(AND(8&gt;='Schedule_Inputs'!$B$4,MOD(8-'Schedule_Inputs'!$B$4,'Schedule_Inputs'!$E$4)=0,(8-'Schedule_Inputs'!$B$4)/'Schedule_Inputs'!$E$4&lt;'Schedule_Inputs'!$D$4),$C4/'Schedule_Inputs'!$D$4,0),0))))</f>
        <v/>
      </c>
      <c r="M4" s="231">
        <f>IF('Schedule_Inputs'!$C$4="Blueprint",$C4*IF(9-'Schedule_Inputs'!$B$4=0,'Assumptions'!$B$21,IF(9-'Schedule_Inputs'!$B$4=1,'Assumptions'!$C$21,IF(9-'Schedule_Inputs'!$B$4=2,'Assumptions'!$D$21,0))),IF('Schedule_Inputs'!$C$4="Launch",$C4*IF(9-'Schedule_Inputs'!$B$4=0,'Assumptions'!$B$22,IF(9-'Schedule_Inputs'!$B$4=1,'Assumptions'!$C$22,IF(9-'Schedule_Inputs'!$B$4=2,'Assumptions'!$D$22,IF(9-'Schedule_Inputs'!$B$4=3,'Assumptions'!$B$23,0)))),IF('Schedule_Inputs'!$C$4="Office Setup",$C4*IF(9-'Schedule_Inputs'!$B$4=0,'Assumptions'!$B$24,IF(9-'Schedule_Inputs'!$B$4=1,'Assumptions'!$C$24,IF(9-'Schedule_Inputs'!$B$4=2,'Assumptions'!$D$24,0))),IF(OR('Schedule_Inputs'!$C$4="Monthly",'Schedule_Inputs'!$C$4="Periodic"),IF(AND(9&gt;='Schedule_Inputs'!$B$4,MOD(9-'Schedule_Inputs'!$B$4,'Schedule_Inputs'!$E$4)=0,(9-'Schedule_Inputs'!$B$4)/'Schedule_Inputs'!$E$4&lt;'Schedule_Inputs'!$D$4),$C4/'Schedule_Inputs'!$D$4,0),0))))</f>
        <v/>
      </c>
      <c r="N4" s="231">
        <f>IF('Schedule_Inputs'!$C$4="Blueprint",$C4*IF(10-'Schedule_Inputs'!$B$4=0,'Assumptions'!$B$21,IF(10-'Schedule_Inputs'!$B$4=1,'Assumptions'!$C$21,IF(10-'Schedule_Inputs'!$B$4=2,'Assumptions'!$D$21,0))),IF('Schedule_Inputs'!$C$4="Launch",$C4*IF(10-'Schedule_Inputs'!$B$4=0,'Assumptions'!$B$22,IF(10-'Schedule_Inputs'!$B$4=1,'Assumptions'!$C$22,IF(10-'Schedule_Inputs'!$B$4=2,'Assumptions'!$D$22,IF(10-'Schedule_Inputs'!$B$4=3,'Assumptions'!$B$23,0)))),IF('Schedule_Inputs'!$C$4="Office Setup",$C4*IF(10-'Schedule_Inputs'!$B$4=0,'Assumptions'!$B$24,IF(10-'Schedule_Inputs'!$B$4=1,'Assumptions'!$C$24,IF(10-'Schedule_Inputs'!$B$4=2,'Assumptions'!$D$24,0))),IF(OR('Schedule_Inputs'!$C$4="Monthly",'Schedule_Inputs'!$C$4="Periodic"),IF(AND(10&gt;='Schedule_Inputs'!$B$4,MOD(10-'Schedule_Inputs'!$B$4,'Schedule_Inputs'!$E$4)=0,(10-'Schedule_Inputs'!$B$4)/'Schedule_Inputs'!$E$4&lt;'Schedule_Inputs'!$D$4),$C4/'Schedule_Inputs'!$D$4,0),0))))</f>
        <v/>
      </c>
      <c r="O4" s="231">
        <f>IF('Schedule_Inputs'!$C$4="Blueprint",$C4*IF(11-'Schedule_Inputs'!$B$4=0,'Assumptions'!$B$21,IF(11-'Schedule_Inputs'!$B$4=1,'Assumptions'!$C$21,IF(11-'Schedule_Inputs'!$B$4=2,'Assumptions'!$D$21,0))),IF('Schedule_Inputs'!$C$4="Launch",$C4*IF(11-'Schedule_Inputs'!$B$4=0,'Assumptions'!$B$22,IF(11-'Schedule_Inputs'!$B$4=1,'Assumptions'!$C$22,IF(11-'Schedule_Inputs'!$B$4=2,'Assumptions'!$D$22,IF(11-'Schedule_Inputs'!$B$4=3,'Assumptions'!$B$23,0)))),IF('Schedule_Inputs'!$C$4="Office Setup",$C4*IF(11-'Schedule_Inputs'!$B$4=0,'Assumptions'!$B$24,IF(11-'Schedule_Inputs'!$B$4=1,'Assumptions'!$C$24,IF(11-'Schedule_Inputs'!$B$4=2,'Assumptions'!$D$24,0))),IF(OR('Schedule_Inputs'!$C$4="Monthly",'Schedule_Inputs'!$C$4="Periodic"),IF(AND(11&gt;='Schedule_Inputs'!$B$4,MOD(11-'Schedule_Inputs'!$B$4,'Schedule_Inputs'!$E$4)=0,(11-'Schedule_Inputs'!$B$4)/'Schedule_Inputs'!$E$4&lt;'Schedule_Inputs'!$D$4),$C4/'Schedule_Inputs'!$D$4,0),0))))</f>
        <v/>
      </c>
      <c r="P4" s="231">
        <f>IF('Schedule_Inputs'!$C$4="Blueprint",$C4*IF(12-'Schedule_Inputs'!$B$4=0,'Assumptions'!$B$21,IF(12-'Schedule_Inputs'!$B$4=1,'Assumptions'!$C$21,IF(12-'Schedule_Inputs'!$B$4=2,'Assumptions'!$D$21,0))),IF('Schedule_Inputs'!$C$4="Launch",$C4*IF(12-'Schedule_Inputs'!$B$4=0,'Assumptions'!$B$22,IF(12-'Schedule_Inputs'!$B$4=1,'Assumptions'!$C$22,IF(12-'Schedule_Inputs'!$B$4=2,'Assumptions'!$D$22,IF(12-'Schedule_Inputs'!$B$4=3,'Assumptions'!$B$23,0)))),IF('Schedule_Inputs'!$C$4="Office Setup",$C4*IF(12-'Schedule_Inputs'!$B$4=0,'Assumptions'!$B$24,IF(12-'Schedule_Inputs'!$B$4=1,'Assumptions'!$C$24,IF(12-'Schedule_Inputs'!$B$4=2,'Assumptions'!$D$24,0))),IF(OR('Schedule_Inputs'!$C$4="Monthly",'Schedule_Inputs'!$C$4="Periodic"),IF(AND(12&gt;='Schedule_Inputs'!$B$4,MOD(12-'Schedule_Inputs'!$B$4,'Schedule_Inputs'!$E$4)=0,(12-'Schedule_Inputs'!$B$4)/'Schedule_Inputs'!$E$4&lt;'Schedule_Inputs'!$D$4),$C4/'Schedule_Inputs'!$D$4,0),0))))</f>
        <v/>
      </c>
      <c r="Q4" s="231">
        <f>IF('Schedule_Inputs'!$C$4="Blueprint",$C4*IF(13-'Schedule_Inputs'!$B$4=0,'Assumptions'!$B$21,IF(13-'Schedule_Inputs'!$B$4=1,'Assumptions'!$C$21,IF(13-'Schedule_Inputs'!$B$4=2,'Assumptions'!$D$21,0))),IF('Schedule_Inputs'!$C$4="Launch",$C4*IF(13-'Schedule_Inputs'!$B$4=0,'Assumptions'!$B$22,IF(13-'Schedule_Inputs'!$B$4=1,'Assumptions'!$C$22,IF(13-'Schedule_Inputs'!$B$4=2,'Assumptions'!$D$22,IF(13-'Schedule_Inputs'!$B$4=3,'Assumptions'!$B$23,0)))),IF('Schedule_Inputs'!$C$4="Office Setup",$C4*IF(13-'Schedule_Inputs'!$B$4=0,'Assumptions'!$B$24,IF(13-'Schedule_Inputs'!$B$4=1,'Assumptions'!$C$24,IF(13-'Schedule_Inputs'!$B$4=2,'Assumptions'!$D$24,0))),IF(OR('Schedule_Inputs'!$C$4="Monthly",'Schedule_Inputs'!$C$4="Periodic"),IF(AND(13&gt;='Schedule_Inputs'!$B$4,MOD(13-'Schedule_Inputs'!$B$4,'Schedule_Inputs'!$E$4)=0,(13-'Schedule_Inputs'!$B$4)/'Schedule_Inputs'!$E$4&lt;'Schedule_Inputs'!$D$4),$C4/'Schedule_Inputs'!$D$4,0),0))))</f>
        <v/>
      </c>
      <c r="R4" s="231">
        <f>IF('Schedule_Inputs'!$C$4="Blueprint",$C4*IF(14-'Schedule_Inputs'!$B$4=0,'Assumptions'!$B$21,IF(14-'Schedule_Inputs'!$B$4=1,'Assumptions'!$C$21,IF(14-'Schedule_Inputs'!$B$4=2,'Assumptions'!$D$21,0))),IF('Schedule_Inputs'!$C$4="Launch",$C4*IF(14-'Schedule_Inputs'!$B$4=0,'Assumptions'!$B$22,IF(14-'Schedule_Inputs'!$B$4=1,'Assumptions'!$C$22,IF(14-'Schedule_Inputs'!$B$4=2,'Assumptions'!$D$22,IF(14-'Schedule_Inputs'!$B$4=3,'Assumptions'!$B$23,0)))),IF('Schedule_Inputs'!$C$4="Office Setup",$C4*IF(14-'Schedule_Inputs'!$B$4=0,'Assumptions'!$B$24,IF(14-'Schedule_Inputs'!$B$4=1,'Assumptions'!$C$24,IF(14-'Schedule_Inputs'!$B$4=2,'Assumptions'!$D$24,0))),IF(OR('Schedule_Inputs'!$C$4="Monthly",'Schedule_Inputs'!$C$4="Periodic"),IF(AND(14&gt;='Schedule_Inputs'!$B$4,MOD(14-'Schedule_Inputs'!$B$4,'Schedule_Inputs'!$E$4)=0,(14-'Schedule_Inputs'!$B$4)/'Schedule_Inputs'!$E$4&lt;'Schedule_Inputs'!$D$4),$C4/'Schedule_Inputs'!$D$4,0),0))))</f>
        <v/>
      </c>
      <c r="S4" s="231">
        <f>IF('Schedule_Inputs'!$C$4="Blueprint",$C4*IF(15-'Schedule_Inputs'!$B$4=0,'Assumptions'!$B$21,IF(15-'Schedule_Inputs'!$B$4=1,'Assumptions'!$C$21,IF(15-'Schedule_Inputs'!$B$4=2,'Assumptions'!$D$21,0))),IF('Schedule_Inputs'!$C$4="Launch",$C4*IF(15-'Schedule_Inputs'!$B$4=0,'Assumptions'!$B$22,IF(15-'Schedule_Inputs'!$B$4=1,'Assumptions'!$C$22,IF(15-'Schedule_Inputs'!$B$4=2,'Assumptions'!$D$22,IF(15-'Schedule_Inputs'!$B$4=3,'Assumptions'!$B$23,0)))),IF('Schedule_Inputs'!$C$4="Office Setup",$C4*IF(15-'Schedule_Inputs'!$B$4=0,'Assumptions'!$B$24,IF(15-'Schedule_Inputs'!$B$4=1,'Assumptions'!$C$24,IF(15-'Schedule_Inputs'!$B$4=2,'Assumptions'!$D$24,0))),IF(OR('Schedule_Inputs'!$C$4="Monthly",'Schedule_Inputs'!$C$4="Periodic"),IF(AND(15&gt;='Schedule_Inputs'!$B$4,MOD(15-'Schedule_Inputs'!$B$4,'Schedule_Inputs'!$E$4)=0,(15-'Schedule_Inputs'!$B$4)/'Schedule_Inputs'!$E$4&lt;'Schedule_Inputs'!$D$4),$C4/'Schedule_Inputs'!$D$4,0),0))))</f>
        <v/>
      </c>
      <c r="T4" s="231">
        <f>IF('Schedule_Inputs'!$C$4="Blueprint",$C4*IF(16-'Schedule_Inputs'!$B$4=0,'Assumptions'!$B$21,IF(16-'Schedule_Inputs'!$B$4=1,'Assumptions'!$C$21,IF(16-'Schedule_Inputs'!$B$4=2,'Assumptions'!$D$21,0))),IF('Schedule_Inputs'!$C$4="Launch",$C4*IF(16-'Schedule_Inputs'!$B$4=0,'Assumptions'!$B$22,IF(16-'Schedule_Inputs'!$B$4=1,'Assumptions'!$C$22,IF(16-'Schedule_Inputs'!$B$4=2,'Assumptions'!$D$22,IF(16-'Schedule_Inputs'!$B$4=3,'Assumptions'!$B$23,0)))),IF('Schedule_Inputs'!$C$4="Office Setup",$C4*IF(16-'Schedule_Inputs'!$B$4=0,'Assumptions'!$B$24,IF(16-'Schedule_Inputs'!$B$4=1,'Assumptions'!$C$24,IF(16-'Schedule_Inputs'!$B$4=2,'Assumptions'!$D$24,0))),IF(OR('Schedule_Inputs'!$C$4="Monthly",'Schedule_Inputs'!$C$4="Periodic"),IF(AND(16&gt;='Schedule_Inputs'!$B$4,MOD(16-'Schedule_Inputs'!$B$4,'Schedule_Inputs'!$E$4)=0,(16-'Schedule_Inputs'!$B$4)/'Schedule_Inputs'!$E$4&lt;'Schedule_Inputs'!$D$4),$C4/'Schedule_Inputs'!$D$4,0),0))))</f>
        <v/>
      </c>
      <c r="U4" s="231">
        <f>IF('Schedule_Inputs'!$C$4="Blueprint",$C4*IF(17-'Schedule_Inputs'!$B$4=0,'Assumptions'!$B$21,IF(17-'Schedule_Inputs'!$B$4=1,'Assumptions'!$C$21,IF(17-'Schedule_Inputs'!$B$4=2,'Assumptions'!$D$21,0))),IF('Schedule_Inputs'!$C$4="Launch",$C4*IF(17-'Schedule_Inputs'!$B$4=0,'Assumptions'!$B$22,IF(17-'Schedule_Inputs'!$B$4=1,'Assumptions'!$C$22,IF(17-'Schedule_Inputs'!$B$4=2,'Assumptions'!$D$22,IF(17-'Schedule_Inputs'!$B$4=3,'Assumptions'!$B$23,0)))),IF('Schedule_Inputs'!$C$4="Office Setup",$C4*IF(17-'Schedule_Inputs'!$B$4=0,'Assumptions'!$B$24,IF(17-'Schedule_Inputs'!$B$4=1,'Assumptions'!$C$24,IF(17-'Schedule_Inputs'!$B$4=2,'Assumptions'!$D$24,0))),IF(OR('Schedule_Inputs'!$C$4="Monthly",'Schedule_Inputs'!$C$4="Periodic"),IF(AND(17&gt;='Schedule_Inputs'!$B$4,MOD(17-'Schedule_Inputs'!$B$4,'Schedule_Inputs'!$E$4)=0,(17-'Schedule_Inputs'!$B$4)/'Schedule_Inputs'!$E$4&lt;'Schedule_Inputs'!$D$4),$C4/'Schedule_Inputs'!$D$4,0),0))))</f>
        <v/>
      </c>
      <c r="V4" s="231">
        <f>IF('Schedule_Inputs'!$C$4="Blueprint",$C4*IF(18-'Schedule_Inputs'!$B$4=0,'Assumptions'!$B$21,IF(18-'Schedule_Inputs'!$B$4=1,'Assumptions'!$C$21,IF(18-'Schedule_Inputs'!$B$4=2,'Assumptions'!$D$21,0))),IF('Schedule_Inputs'!$C$4="Launch",$C4*IF(18-'Schedule_Inputs'!$B$4=0,'Assumptions'!$B$22,IF(18-'Schedule_Inputs'!$B$4=1,'Assumptions'!$C$22,IF(18-'Schedule_Inputs'!$B$4=2,'Assumptions'!$D$22,IF(18-'Schedule_Inputs'!$B$4=3,'Assumptions'!$B$23,0)))),IF('Schedule_Inputs'!$C$4="Office Setup",$C4*IF(18-'Schedule_Inputs'!$B$4=0,'Assumptions'!$B$24,IF(18-'Schedule_Inputs'!$B$4=1,'Assumptions'!$C$24,IF(18-'Schedule_Inputs'!$B$4=2,'Assumptions'!$D$24,0))),IF(OR('Schedule_Inputs'!$C$4="Monthly",'Schedule_Inputs'!$C$4="Periodic"),IF(AND(18&gt;='Schedule_Inputs'!$B$4,MOD(18-'Schedule_Inputs'!$B$4,'Schedule_Inputs'!$E$4)=0,(18-'Schedule_Inputs'!$B$4)/'Schedule_Inputs'!$E$4&lt;'Schedule_Inputs'!$D$4),$C4/'Schedule_Inputs'!$D$4,0),0))))</f>
        <v/>
      </c>
      <c r="W4" s="231">
        <f>IF('Schedule_Inputs'!$C$4="Blueprint",$C4*IF(19-'Schedule_Inputs'!$B$4=0,'Assumptions'!$B$21,IF(19-'Schedule_Inputs'!$B$4=1,'Assumptions'!$C$21,IF(19-'Schedule_Inputs'!$B$4=2,'Assumptions'!$D$21,0))),IF('Schedule_Inputs'!$C$4="Launch",$C4*IF(19-'Schedule_Inputs'!$B$4=0,'Assumptions'!$B$22,IF(19-'Schedule_Inputs'!$B$4=1,'Assumptions'!$C$22,IF(19-'Schedule_Inputs'!$B$4=2,'Assumptions'!$D$22,IF(19-'Schedule_Inputs'!$B$4=3,'Assumptions'!$B$23,0)))),IF('Schedule_Inputs'!$C$4="Office Setup",$C4*IF(19-'Schedule_Inputs'!$B$4=0,'Assumptions'!$B$24,IF(19-'Schedule_Inputs'!$B$4=1,'Assumptions'!$C$24,IF(19-'Schedule_Inputs'!$B$4=2,'Assumptions'!$D$24,0))),IF(OR('Schedule_Inputs'!$C$4="Monthly",'Schedule_Inputs'!$C$4="Periodic"),IF(AND(19&gt;='Schedule_Inputs'!$B$4,MOD(19-'Schedule_Inputs'!$B$4,'Schedule_Inputs'!$E$4)=0,(19-'Schedule_Inputs'!$B$4)/'Schedule_Inputs'!$E$4&lt;'Schedule_Inputs'!$D$4),$C4/'Schedule_Inputs'!$D$4,0),0))))</f>
        <v/>
      </c>
      <c r="X4" s="231">
        <f>IF('Schedule_Inputs'!$C$4="Blueprint",$C4*IF(20-'Schedule_Inputs'!$B$4=0,'Assumptions'!$B$21,IF(20-'Schedule_Inputs'!$B$4=1,'Assumptions'!$C$21,IF(20-'Schedule_Inputs'!$B$4=2,'Assumptions'!$D$21,0))),IF('Schedule_Inputs'!$C$4="Launch",$C4*IF(20-'Schedule_Inputs'!$B$4=0,'Assumptions'!$B$22,IF(20-'Schedule_Inputs'!$B$4=1,'Assumptions'!$C$22,IF(20-'Schedule_Inputs'!$B$4=2,'Assumptions'!$D$22,IF(20-'Schedule_Inputs'!$B$4=3,'Assumptions'!$B$23,0)))),IF('Schedule_Inputs'!$C$4="Office Setup",$C4*IF(20-'Schedule_Inputs'!$B$4=0,'Assumptions'!$B$24,IF(20-'Schedule_Inputs'!$B$4=1,'Assumptions'!$C$24,IF(20-'Schedule_Inputs'!$B$4=2,'Assumptions'!$D$24,0))),IF(OR('Schedule_Inputs'!$C$4="Monthly",'Schedule_Inputs'!$C$4="Periodic"),IF(AND(20&gt;='Schedule_Inputs'!$B$4,MOD(20-'Schedule_Inputs'!$B$4,'Schedule_Inputs'!$E$4)=0,(20-'Schedule_Inputs'!$B$4)/'Schedule_Inputs'!$E$4&lt;'Schedule_Inputs'!$D$4),$C4/'Schedule_Inputs'!$D$4,0),0))))</f>
        <v/>
      </c>
      <c r="Y4" s="231">
        <f>IF('Schedule_Inputs'!$C$4="Blueprint",$C4*IF(21-'Schedule_Inputs'!$B$4=0,'Assumptions'!$B$21,IF(21-'Schedule_Inputs'!$B$4=1,'Assumptions'!$C$21,IF(21-'Schedule_Inputs'!$B$4=2,'Assumptions'!$D$21,0))),IF('Schedule_Inputs'!$C$4="Launch",$C4*IF(21-'Schedule_Inputs'!$B$4=0,'Assumptions'!$B$22,IF(21-'Schedule_Inputs'!$B$4=1,'Assumptions'!$C$22,IF(21-'Schedule_Inputs'!$B$4=2,'Assumptions'!$D$22,IF(21-'Schedule_Inputs'!$B$4=3,'Assumptions'!$B$23,0)))),IF('Schedule_Inputs'!$C$4="Office Setup",$C4*IF(21-'Schedule_Inputs'!$B$4=0,'Assumptions'!$B$24,IF(21-'Schedule_Inputs'!$B$4=1,'Assumptions'!$C$24,IF(21-'Schedule_Inputs'!$B$4=2,'Assumptions'!$D$24,0))),IF(OR('Schedule_Inputs'!$C$4="Monthly",'Schedule_Inputs'!$C$4="Periodic"),IF(AND(21&gt;='Schedule_Inputs'!$B$4,MOD(21-'Schedule_Inputs'!$B$4,'Schedule_Inputs'!$E$4)=0,(21-'Schedule_Inputs'!$B$4)/'Schedule_Inputs'!$E$4&lt;'Schedule_Inputs'!$D$4),$C4/'Schedule_Inputs'!$D$4,0),0))))</f>
        <v/>
      </c>
      <c r="Z4" s="231">
        <f>IF('Schedule_Inputs'!$C$4="Blueprint",$C4*IF(22-'Schedule_Inputs'!$B$4=0,'Assumptions'!$B$21,IF(22-'Schedule_Inputs'!$B$4=1,'Assumptions'!$C$21,IF(22-'Schedule_Inputs'!$B$4=2,'Assumptions'!$D$21,0))),IF('Schedule_Inputs'!$C$4="Launch",$C4*IF(22-'Schedule_Inputs'!$B$4=0,'Assumptions'!$B$22,IF(22-'Schedule_Inputs'!$B$4=1,'Assumptions'!$C$22,IF(22-'Schedule_Inputs'!$B$4=2,'Assumptions'!$D$22,IF(22-'Schedule_Inputs'!$B$4=3,'Assumptions'!$B$23,0)))),IF('Schedule_Inputs'!$C$4="Office Setup",$C4*IF(22-'Schedule_Inputs'!$B$4=0,'Assumptions'!$B$24,IF(22-'Schedule_Inputs'!$B$4=1,'Assumptions'!$C$24,IF(22-'Schedule_Inputs'!$B$4=2,'Assumptions'!$D$24,0))),IF(OR('Schedule_Inputs'!$C$4="Monthly",'Schedule_Inputs'!$C$4="Periodic"),IF(AND(22&gt;='Schedule_Inputs'!$B$4,MOD(22-'Schedule_Inputs'!$B$4,'Schedule_Inputs'!$E$4)=0,(22-'Schedule_Inputs'!$B$4)/'Schedule_Inputs'!$E$4&lt;'Schedule_Inputs'!$D$4),$C4/'Schedule_Inputs'!$D$4,0),0))))</f>
        <v/>
      </c>
      <c r="AA4" s="231">
        <f>IF('Schedule_Inputs'!$C$4="Blueprint",$C4*IF(23-'Schedule_Inputs'!$B$4=0,'Assumptions'!$B$21,IF(23-'Schedule_Inputs'!$B$4=1,'Assumptions'!$C$21,IF(23-'Schedule_Inputs'!$B$4=2,'Assumptions'!$D$21,0))),IF('Schedule_Inputs'!$C$4="Launch",$C4*IF(23-'Schedule_Inputs'!$B$4=0,'Assumptions'!$B$22,IF(23-'Schedule_Inputs'!$B$4=1,'Assumptions'!$C$22,IF(23-'Schedule_Inputs'!$B$4=2,'Assumptions'!$D$22,IF(23-'Schedule_Inputs'!$B$4=3,'Assumptions'!$B$23,0)))),IF('Schedule_Inputs'!$C$4="Office Setup",$C4*IF(23-'Schedule_Inputs'!$B$4=0,'Assumptions'!$B$24,IF(23-'Schedule_Inputs'!$B$4=1,'Assumptions'!$C$24,IF(23-'Schedule_Inputs'!$B$4=2,'Assumptions'!$D$24,0))),IF(OR('Schedule_Inputs'!$C$4="Monthly",'Schedule_Inputs'!$C$4="Periodic"),IF(AND(23&gt;='Schedule_Inputs'!$B$4,MOD(23-'Schedule_Inputs'!$B$4,'Schedule_Inputs'!$E$4)=0,(23-'Schedule_Inputs'!$B$4)/'Schedule_Inputs'!$E$4&lt;'Schedule_Inputs'!$D$4),$C4/'Schedule_Inputs'!$D$4,0),0))))</f>
        <v/>
      </c>
      <c r="AB4" s="231">
        <f>IF('Schedule_Inputs'!$C$4="Blueprint",$C4*IF(24-'Schedule_Inputs'!$B$4=0,'Assumptions'!$B$21,IF(24-'Schedule_Inputs'!$B$4=1,'Assumptions'!$C$21,IF(24-'Schedule_Inputs'!$B$4=2,'Assumptions'!$D$21,0))),IF('Schedule_Inputs'!$C$4="Launch",$C4*IF(24-'Schedule_Inputs'!$B$4=0,'Assumptions'!$B$22,IF(24-'Schedule_Inputs'!$B$4=1,'Assumptions'!$C$22,IF(24-'Schedule_Inputs'!$B$4=2,'Assumptions'!$D$22,IF(24-'Schedule_Inputs'!$B$4=3,'Assumptions'!$B$23,0)))),IF('Schedule_Inputs'!$C$4="Office Setup",$C4*IF(24-'Schedule_Inputs'!$B$4=0,'Assumptions'!$B$24,IF(24-'Schedule_Inputs'!$B$4=1,'Assumptions'!$C$24,IF(24-'Schedule_Inputs'!$B$4=2,'Assumptions'!$D$24,0))),IF(OR('Schedule_Inputs'!$C$4="Monthly",'Schedule_Inputs'!$C$4="Periodic"),IF(AND(24&gt;='Schedule_Inputs'!$B$4,MOD(24-'Schedule_Inputs'!$B$4,'Schedule_Inputs'!$E$4)=0,(24-'Schedule_Inputs'!$B$4)/'Schedule_Inputs'!$E$4&lt;'Schedule_Inputs'!$D$4),$C4/'Schedule_Inputs'!$D$4,0),0))))</f>
        <v/>
      </c>
      <c r="AC4" s="231">
        <f>IF('Schedule_Inputs'!$C$4="Blueprint",$C4*IF(25-'Schedule_Inputs'!$B$4=0,'Assumptions'!$B$21,IF(25-'Schedule_Inputs'!$B$4=1,'Assumptions'!$C$21,IF(25-'Schedule_Inputs'!$B$4=2,'Assumptions'!$D$21,0))),IF('Schedule_Inputs'!$C$4="Launch",$C4*IF(25-'Schedule_Inputs'!$B$4=0,'Assumptions'!$B$22,IF(25-'Schedule_Inputs'!$B$4=1,'Assumptions'!$C$22,IF(25-'Schedule_Inputs'!$B$4=2,'Assumptions'!$D$22,IF(25-'Schedule_Inputs'!$B$4=3,'Assumptions'!$B$23,0)))),IF('Schedule_Inputs'!$C$4="Office Setup",$C4*IF(25-'Schedule_Inputs'!$B$4=0,'Assumptions'!$B$24,IF(25-'Schedule_Inputs'!$B$4=1,'Assumptions'!$C$24,IF(25-'Schedule_Inputs'!$B$4=2,'Assumptions'!$D$24,0))),IF(OR('Schedule_Inputs'!$C$4="Monthly",'Schedule_Inputs'!$C$4="Periodic"),IF(AND(25&gt;='Schedule_Inputs'!$B$4,MOD(25-'Schedule_Inputs'!$B$4,'Schedule_Inputs'!$E$4)=0,(25-'Schedule_Inputs'!$B$4)/'Schedule_Inputs'!$E$4&lt;'Schedule_Inputs'!$D$4),$C4/'Schedule_Inputs'!$D$4,0),0))))</f>
        <v/>
      </c>
      <c r="AD4" s="231">
        <f>IF('Schedule_Inputs'!$C$4="Blueprint",$C4*IF(26-'Schedule_Inputs'!$B$4=0,'Assumptions'!$B$21,IF(26-'Schedule_Inputs'!$B$4=1,'Assumptions'!$C$21,IF(26-'Schedule_Inputs'!$B$4=2,'Assumptions'!$D$21,0))),IF('Schedule_Inputs'!$C$4="Launch",$C4*IF(26-'Schedule_Inputs'!$B$4=0,'Assumptions'!$B$22,IF(26-'Schedule_Inputs'!$B$4=1,'Assumptions'!$C$22,IF(26-'Schedule_Inputs'!$B$4=2,'Assumptions'!$D$22,IF(26-'Schedule_Inputs'!$B$4=3,'Assumptions'!$B$23,0)))),IF('Schedule_Inputs'!$C$4="Office Setup",$C4*IF(26-'Schedule_Inputs'!$B$4=0,'Assumptions'!$B$24,IF(26-'Schedule_Inputs'!$B$4=1,'Assumptions'!$C$24,IF(26-'Schedule_Inputs'!$B$4=2,'Assumptions'!$D$24,0))),IF(OR('Schedule_Inputs'!$C$4="Monthly",'Schedule_Inputs'!$C$4="Periodic"),IF(AND(26&gt;='Schedule_Inputs'!$B$4,MOD(26-'Schedule_Inputs'!$B$4,'Schedule_Inputs'!$E$4)=0,(26-'Schedule_Inputs'!$B$4)/'Schedule_Inputs'!$E$4&lt;'Schedule_Inputs'!$D$4),$C4/'Schedule_Inputs'!$D$4,0),0))))</f>
        <v/>
      </c>
      <c r="AE4" s="231">
        <f>IF('Schedule_Inputs'!$C$4="Blueprint",$C4*IF(27-'Schedule_Inputs'!$B$4=0,'Assumptions'!$B$21,IF(27-'Schedule_Inputs'!$B$4=1,'Assumptions'!$C$21,IF(27-'Schedule_Inputs'!$B$4=2,'Assumptions'!$D$21,0))),IF('Schedule_Inputs'!$C$4="Launch",$C4*IF(27-'Schedule_Inputs'!$B$4=0,'Assumptions'!$B$22,IF(27-'Schedule_Inputs'!$B$4=1,'Assumptions'!$C$22,IF(27-'Schedule_Inputs'!$B$4=2,'Assumptions'!$D$22,IF(27-'Schedule_Inputs'!$B$4=3,'Assumptions'!$B$23,0)))),IF('Schedule_Inputs'!$C$4="Office Setup",$C4*IF(27-'Schedule_Inputs'!$B$4=0,'Assumptions'!$B$24,IF(27-'Schedule_Inputs'!$B$4=1,'Assumptions'!$C$24,IF(27-'Schedule_Inputs'!$B$4=2,'Assumptions'!$D$24,0))),IF(OR('Schedule_Inputs'!$C$4="Monthly",'Schedule_Inputs'!$C$4="Periodic"),IF(AND(27&gt;='Schedule_Inputs'!$B$4,MOD(27-'Schedule_Inputs'!$B$4,'Schedule_Inputs'!$E$4)=0,(27-'Schedule_Inputs'!$B$4)/'Schedule_Inputs'!$E$4&lt;'Schedule_Inputs'!$D$4),$C4/'Schedule_Inputs'!$D$4,0),0))))</f>
        <v/>
      </c>
      <c r="AF4" s="231">
        <f>IF('Schedule_Inputs'!$C$4="Blueprint",$C4*IF(28-'Schedule_Inputs'!$B$4=0,'Assumptions'!$B$21,IF(28-'Schedule_Inputs'!$B$4=1,'Assumptions'!$C$21,IF(28-'Schedule_Inputs'!$B$4=2,'Assumptions'!$D$21,0))),IF('Schedule_Inputs'!$C$4="Launch",$C4*IF(28-'Schedule_Inputs'!$B$4=0,'Assumptions'!$B$22,IF(28-'Schedule_Inputs'!$B$4=1,'Assumptions'!$C$22,IF(28-'Schedule_Inputs'!$B$4=2,'Assumptions'!$D$22,IF(28-'Schedule_Inputs'!$B$4=3,'Assumptions'!$B$23,0)))),IF('Schedule_Inputs'!$C$4="Office Setup",$C4*IF(28-'Schedule_Inputs'!$B$4=0,'Assumptions'!$B$24,IF(28-'Schedule_Inputs'!$B$4=1,'Assumptions'!$C$24,IF(28-'Schedule_Inputs'!$B$4=2,'Assumptions'!$D$24,0))),IF(OR('Schedule_Inputs'!$C$4="Monthly",'Schedule_Inputs'!$C$4="Periodic"),IF(AND(28&gt;='Schedule_Inputs'!$B$4,MOD(28-'Schedule_Inputs'!$B$4,'Schedule_Inputs'!$E$4)=0,(28-'Schedule_Inputs'!$B$4)/'Schedule_Inputs'!$E$4&lt;'Schedule_Inputs'!$D$4),$C4/'Schedule_Inputs'!$D$4,0),0))))</f>
        <v/>
      </c>
      <c r="AG4" s="231">
        <f>IF('Schedule_Inputs'!$C$4="Blueprint",$C4*IF(29-'Schedule_Inputs'!$B$4=0,'Assumptions'!$B$21,IF(29-'Schedule_Inputs'!$B$4=1,'Assumptions'!$C$21,IF(29-'Schedule_Inputs'!$B$4=2,'Assumptions'!$D$21,0))),IF('Schedule_Inputs'!$C$4="Launch",$C4*IF(29-'Schedule_Inputs'!$B$4=0,'Assumptions'!$B$22,IF(29-'Schedule_Inputs'!$B$4=1,'Assumptions'!$C$22,IF(29-'Schedule_Inputs'!$B$4=2,'Assumptions'!$D$22,IF(29-'Schedule_Inputs'!$B$4=3,'Assumptions'!$B$23,0)))),IF('Schedule_Inputs'!$C$4="Office Setup",$C4*IF(29-'Schedule_Inputs'!$B$4=0,'Assumptions'!$B$24,IF(29-'Schedule_Inputs'!$B$4=1,'Assumptions'!$C$24,IF(29-'Schedule_Inputs'!$B$4=2,'Assumptions'!$D$24,0))),IF(OR('Schedule_Inputs'!$C$4="Monthly",'Schedule_Inputs'!$C$4="Periodic"),IF(AND(29&gt;='Schedule_Inputs'!$B$4,MOD(29-'Schedule_Inputs'!$B$4,'Schedule_Inputs'!$E$4)=0,(29-'Schedule_Inputs'!$B$4)/'Schedule_Inputs'!$E$4&lt;'Schedule_Inputs'!$D$4),$C4/'Schedule_Inputs'!$D$4,0),0))))</f>
        <v/>
      </c>
      <c r="AH4" s="231">
        <f>IF('Schedule_Inputs'!$C$4="Blueprint",$C4*IF(30-'Schedule_Inputs'!$B$4=0,'Assumptions'!$B$21,IF(30-'Schedule_Inputs'!$B$4=1,'Assumptions'!$C$21,IF(30-'Schedule_Inputs'!$B$4=2,'Assumptions'!$D$21,0))),IF('Schedule_Inputs'!$C$4="Launch",$C4*IF(30-'Schedule_Inputs'!$B$4=0,'Assumptions'!$B$22,IF(30-'Schedule_Inputs'!$B$4=1,'Assumptions'!$C$22,IF(30-'Schedule_Inputs'!$B$4=2,'Assumptions'!$D$22,IF(30-'Schedule_Inputs'!$B$4=3,'Assumptions'!$B$23,0)))),IF('Schedule_Inputs'!$C$4="Office Setup",$C4*IF(30-'Schedule_Inputs'!$B$4=0,'Assumptions'!$B$24,IF(30-'Schedule_Inputs'!$B$4=1,'Assumptions'!$C$24,IF(30-'Schedule_Inputs'!$B$4=2,'Assumptions'!$D$24,0))),IF(OR('Schedule_Inputs'!$C$4="Monthly",'Schedule_Inputs'!$C$4="Periodic"),IF(AND(30&gt;='Schedule_Inputs'!$B$4,MOD(30-'Schedule_Inputs'!$B$4,'Schedule_Inputs'!$E$4)=0,(30-'Schedule_Inputs'!$B$4)/'Schedule_Inputs'!$E$4&lt;'Schedule_Inputs'!$D$4),$C4/'Schedule_Inputs'!$D$4,0),0))))</f>
        <v/>
      </c>
      <c r="AI4" s="231">
        <f>IF('Schedule_Inputs'!$C$4="Blueprint",$C4*IF(31-'Schedule_Inputs'!$B$4=0,'Assumptions'!$B$21,IF(31-'Schedule_Inputs'!$B$4=1,'Assumptions'!$C$21,IF(31-'Schedule_Inputs'!$B$4=2,'Assumptions'!$D$21,0))),IF('Schedule_Inputs'!$C$4="Launch",$C4*IF(31-'Schedule_Inputs'!$B$4=0,'Assumptions'!$B$22,IF(31-'Schedule_Inputs'!$B$4=1,'Assumptions'!$C$22,IF(31-'Schedule_Inputs'!$B$4=2,'Assumptions'!$D$22,IF(31-'Schedule_Inputs'!$B$4=3,'Assumptions'!$B$23,0)))),IF('Schedule_Inputs'!$C$4="Office Setup",$C4*IF(31-'Schedule_Inputs'!$B$4=0,'Assumptions'!$B$24,IF(31-'Schedule_Inputs'!$B$4=1,'Assumptions'!$C$24,IF(31-'Schedule_Inputs'!$B$4=2,'Assumptions'!$D$24,0))),IF(OR('Schedule_Inputs'!$C$4="Monthly",'Schedule_Inputs'!$C$4="Periodic"),IF(AND(31&gt;='Schedule_Inputs'!$B$4,MOD(31-'Schedule_Inputs'!$B$4,'Schedule_Inputs'!$E$4)=0,(31-'Schedule_Inputs'!$B$4)/'Schedule_Inputs'!$E$4&lt;'Schedule_Inputs'!$D$4),$C4/'Schedule_Inputs'!$D$4,0),0))))</f>
        <v/>
      </c>
      <c r="AJ4" s="231">
        <f>IF('Schedule_Inputs'!$C$4="Blueprint",$C4*IF(32-'Schedule_Inputs'!$B$4=0,'Assumptions'!$B$21,IF(32-'Schedule_Inputs'!$B$4=1,'Assumptions'!$C$21,IF(32-'Schedule_Inputs'!$B$4=2,'Assumptions'!$D$21,0))),IF('Schedule_Inputs'!$C$4="Launch",$C4*IF(32-'Schedule_Inputs'!$B$4=0,'Assumptions'!$B$22,IF(32-'Schedule_Inputs'!$B$4=1,'Assumptions'!$C$22,IF(32-'Schedule_Inputs'!$B$4=2,'Assumptions'!$D$22,IF(32-'Schedule_Inputs'!$B$4=3,'Assumptions'!$B$23,0)))),IF('Schedule_Inputs'!$C$4="Office Setup",$C4*IF(32-'Schedule_Inputs'!$B$4=0,'Assumptions'!$B$24,IF(32-'Schedule_Inputs'!$B$4=1,'Assumptions'!$C$24,IF(32-'Schedule_Inputs'!$B$4=2,'Assumptions'!$D$24,0))),IF(OR('Schedule_Inputs'!$C$4="Monthly",'Schedule_Inputs'!$C$4="Periodic"),IF(AND(32&gt;='Schedule_Inputs'!$B$4,MOD(32-'Schedule_Inputs'!$B$4,'Schedule_Inputs'!$E$4)=0,(32-'Schedule_Inputs'!$B$4)/'Schedule_Inputs'!$E$4&lt;'Schedule_Inputs'!$D$4),$C4/'Schedule_Inputs'!$D$4,0),0))))</f>
        <v/>
      </c>
      <c r="AK4" s="231">
        <f>IF('Schedule_Inputs'!$C$4="Blueprint",$C4*IF(33-'Schedule_Inputs'!$B$4=0,'Assumptions'!$B$21,IF(33-'Schedule_Inputs'!$B$4=1,'Assumptions'!$C$21,IF(33-'Schedule_Inputs'!$B$4=2,'Assumptions'!$D$21,0))),IF('Schedule_Inputs'!$C$4="Launch",$C4*IF(33-'Schedule_Inputs'!$B$4=0,'Assumptions'!$B$22,IF(33-'Schedule_Inputs'!$B$4=1,'Assumptions'!$C$22,IF(33-'Schedule_Inputs'!$B$4=2,'Assumptions'!$D$22,IF(33-'Schedule_Inputs'!$B$4=3,'Assumptions'!$B$23,0)))),IF('Schedule_Inputs'!$C$4="Office Setup",$C4*IF(33-'Schedule_Inputs'!$B$4=0,'Assumptions'!$B$24,IF(33-'Schedule_Inputs'!$B$4=1,'Assumptions'!$C$24,IF(33-'Schedule_Inputs'!$B$4=2,'Assumptions'!$D$24,0))),IF(OR('Schedule_Inputs'!$C$4="Monthly",'Schedule_Inputs'!$C$4="Periodic"),IF(AND(33&gt;='Schedule_Inputs'!$B$4,MOD(33-'Schedule_Inputs'!$B$4,'Schedule_Inputs'!$E$4)=0,(33-'Schedule_Inputs'!$B$4)/'Schedule_Inputs'!$E$4&lt;'Schedule_Inputs'!$D$4),$C4/'Schedule_Inputs'!$D$4,0),0))))</f>
        <v/>
      </c>
      <c r="AL4" s="231">
        <f>IF('Schedule_Inputs'!$C$4="Blueprint",$C4*IF(34-'Schedule_Inputs'!$B$4=0,'Assumptions'!$B$21,IF(34-'Schedule_Inputs'!$B$4=1,'Assumptions'!$C$21,IF(34-'Schedule_Inputs'!$B$4=2,'Assumptions'!$D$21,0))),IF('Schedule_Inputs'!$C$4="Launch",$C4*IF(34-'Schedule_Inputs'!$B$4=0,'Assumptions'!$B$22,IF(34-'Schedule_Inputs'!$B$4=1,'Assumptions'!$C$22,IF(34-'Schedule_Inputs'!$B$4=2,'Assumptions'!$D$22,IF(34-'Schedule_Inputs'!$B$4=3,'Assumptions'!$B$23,0)))),IF('Schedule_Inputs'!$C$4="Office Setup",$C4*IF(34-'Schedule_Inputs'!$B$4=0,'Assumptions'!$B$24,IF(34-'Schedule_Inputs'!$B$4=1,'Assumptions'!$C$24,IF(34-'Schedule_Inputs'!$B$4=2,'Assumptions'!$D$24,0))),IF(OR('Schedule_Inputs'!$C$4="Monthly",'Schedule_Inputs'!$C$4="Periodic"),IF(AND(34&gt;='Schedule_Inputs'!$B$4,MOD(34-'Schedule_Inputs'!$B$4,'Schedule_Inputs'!$E$4)=0,(34-'Schedule_Inputs'!$B$4)/'Schedule_Inputs'!$E$4&lt;'Schedule_Inputs'!$D$4),$C4/'Schedule_Inputs'!$D$4,0),0))))</f>
        <v/>
      </c>
      <c r="AM4" s="231">
        <f>IF('Schedule_Inputs'!$C$4="Blueprint",$C4*IF(35-'Schedule_Inputs'!$B$4=0,'Assumptions'!$B$21,IF(35-'Schedule_Inputs'!$B$4=1,'Assumptions'!$C$21,IF(35-'Schedule_Inputs'!$B$4=2,'Assumptions'!$D$21,0))),IF('Schedule_Inputs'!$C$4="Launch",$C4*IF(35-'Schedule_Inputs'!$B$4=0,'Assumptions'!$B$22,IF(35-'Schedule_Inputs'!$B$4=1,'Assumptions'!$C$22,IF(35-'Schedule_Inputs'!$B$4=2,'Assumptions'!$D$22,IF(35-'Schedule_Inputs'!$B$4=3,'Assumptions'!$B$23,0)))),IF('Schedule_Inputs'!$C$4="Office Setup",$C4*IF(35-'Schedule_Inputs'!$B$4=0,'Assumptions'!$B$24,IF(35-'Schedule_Inputs'!$B$4=1,'Assumptions'!$C$24,IF(35-'Schedule_Inputs'!$B$4=2,'Assumptions'!$D$24,0))),IF(OR('Schedule_Inputs'!$C$4="Monthly",'Schedule_Inputs'!$C$4="Periodic"),IF(AND(35&gt;='Schedule_Inputs'!$B$4,MOD(35-'Schedule_Inputs'!$B$4,'Schedule_Inputs'!$E$4)=0,(35-'Schedule_Inputs'!$B$4)/'Schedule_Inputs'!$E$4&lt;'Schedule_Inputs'!$D$4),$C4/'Schedule_Inputs'!$D$4,0),0))))</f>
        <v/>
      </c>
      <c r="AN4" s="231">
        <f>IF('Schedule_Inputs'!$C$4="Blueprint",$C4*IF(36-'Schedule_Inputs'!$B$4=0,'Assumptions'!$B$21,IF(36-'Schedule_Inputs'!$B$4=1,'Assumptions'!$C$21,IF(36-'Schedule_Inputs'!$B$4=2,'Assumptions'!$D$21,0))),IF('Schedule_Inputs'!$C$4="Launch",$C4*IF(36-'Schedule_Inputs'!$B$4=0,'Assumptions'!$B$22,IF(36-'Schedule_Inputs'!$B$4=1,'Assumptions'!$C$22,IF(36-'Schedule_Inputs'!$B$4=2,'Assumptions'!$D$22,IF(36-'Schedule_Inputs'!$B$4=3,'Assumptions'!$B$23,0)))),IF('Schedule_Inputs'!$C$4="Office Setup",$C4*IF(36-'Schedule_Inputs'!$B$4=0,'Assumptions'!$B$24,IF(36-'Schedule_Inputs'!$B$4=1,'Assumptions'!$C$24,IF(36-'Schedule_Inputs'!$B$4=2,'Assumptions'!$D$24,0))),IF(OR('Schedule_Inputs'!$C$4="Monthly",'Schedule_Inputs'!$C$4="Periodic"),IF(AND(36&gt;='Schedule_Inputs'!$B$4,MOD(36-'Schedule_Inputs'!$B$4,'Schedule_Inputs'!$E$4)=0,(36-'Schedule_Inputs'!$B$4)/'Schedule_Inputs'!$E$4&lt;'Schedule_Inputs'!$D$4),$C4/'Schedule_Inputs'!$D$4,0),0))))</f>
        <v/>
      </c>
    </row>
    <row r="5">
      <c r="A5" s="106" t="inlineStr">
        <is>
          <t>Blueprint 02</t>
        </is>
      </c>
      <c r="B5" s="106" t="n">
        <v>1</v>
      </c>
      <c r="C5" s="230" t="n">
        <v>12500</v>
      </c>
      <c r="D5" s="231" t="inlineStr">
        <is>
          <t>40 / 40 / 20</t>
        </is>
      </c>
      <c r="E5" s="231">
        <f>IF('Schedule_Inputs'!$C$5="Blueprint",$C5*IF(1-'Schedule_Inputs'!$B$5=0,'Assumptions'!$B$21,IF(1-'Schedule_Inputs'!$B$5=1,'Assumptions'!$C$21,IF(1-'Schedule_Inputs'!$B$5=2,'Assumptions'!$D$21,0))),IF('Schedule_Inputs'!$C$5="Launch",$C5*IF(1-'Schedule_Inputs'!$B$5=0,'Assumptions'!$B$22,IF(1-'Schedule_Inputs'!$B$5=1,'Assumptions'!$C$22,IF(1-'Schedule_Inputs'!$B$5=2,'Assumptions'!$D$22,IF(1-'Schedule_Inputs'!$B$5=3,'Assumptions'!$B$23,0)))),IF('Schedule_Inputs'!$C$5="Office Setup",$C5*IF(1-'Schedule_Inputs'!$B$5=0,'Assumptions'!$B$24,IF(1-'Schedule_Inputs'!$B$5=1,'Assumptions'!$C$24,IF(1-'Schedule_Inputs'!$B$5=2,'Assumptions'!$D$24,0))),IF(OR('Schedule_Inputs'!$C$5="Monthly",'Schedule_Inputs'!$C$5="Periodic"),IF(AND(1&gt;='Schedule_Inputs'!$B$5,MOD(1-'Schedule_Inputs'!$B$5,'Schedule_Inputs'!$E$5)=0,(1-'Schedule_Inputs'!$B$5)/'Schedule_Inputs'!$E$5&lt;'Schedule_Inputs'!$D$5),$C5/'Schedule_Inputs'!$D$5,0),0))))</f>
        <v/>
      </c>
      <c r="F5" s="231">
        <f>IF('Schedule_Inputs'!$C$5="Blueprint",$C5*IF(2-'Schedule_Inputs'!$B$5=0,'Assumptions'!$B$21,IF(2-'Schedule_Inputs'!$B$5=1,'Assumptions'!$C$21,IF(2-'Schedule_Inputs'!$B$5=2,'Assumptions'!$D$21,0))),IF('Schedule_Inputs'!$C$5="Launch",$C5*IF(2-'Schedule_Inputs'!$B$5=0,'Assumptions'!$B$22,IF(2-'Schedule_Inputs'!$B$5=1,'Assumptions'!$C$22,IF(2-'Schedule_Inputs'!$B$5=2,'Assumptions'!$D$22,IF(2-'Schedule_Inputs'!$B$5=3,'Assumptions'!$B$23,0)))),IF('Schedule_Inputs'!$C$5="Office Setup",$C5*IF(2-'Schedule_Inputs'!$B$5=0,'Assumptions'!$B$24,IF(2-'Schedule_Inputs'!$B$5=1,'Assumptions'!$C$24,IF(2-'Schedule_Inputs'!$B$5=2,'Assumptions'!$D$24,0))),IF(OR('Schedule_Inputs'!$C$5="Monthly",'Schedule_Inputs'!$C$5="Periodic"),IF(AND(2&gt;='Schedule_Inputs'!$B$5,MOD(2-'Schedule_Inputs'!$B$5,'Schedule_Inputs'!$E$5)=0,(2-'Schedule_Inputs'!$B$5)/'Schedule_Inputs'!$E$5&lt;'Schedule_Inputs'!$D$5),$C5/'Schedule_Inputs'!$D$5,0),0))))</f>
        <v/>
      </c>
      <c r="G5" s="231">
        <f>IF('Schedule_Inputs'!$C$5="Blueprint",$C5*IF(3-'Schedule_Inputs'!$B$5=0,'Assumptions'!$B$21,IF(3-'Schedule_Inputs'!$B$5=1,'Assumptions'!$C$21,IF(3-'Schedule_Inputs'!$B$5=2,'Assumptions'!$D$21,0))),IF('Schedule_Inputs'!$C$5="Launch",$C5*IF(3-'Schedule_Inputs'!$B$5=0,'Assumptions'!$B$22,IF(3-'Schedule_Inputs'!$B$5=1,'Assumptions'!$C$22,IF(3-'Schedule_Inputs'!$B$5=2,'Assumptions'!$D$22,IF(3-'Schedule_Inputs'!$B$5=3,'Assumptions'!$B$23,0)))),IF('Schedule_Inputs'!$C$5="Office Setup",$C5*IF(3-'Schedule_Inputs'!$B$5=0,'Assumptions'!$B$24,IF(3-'Schedule_Inputs'!$B$5=1,'Assumptions'!$C$24,IF(3-'Schedule_Inputs'!$B$5=2,'Assumptions'!$D$24,0))),IF(OR('Schedule_Inputs'!$C$5="Monthly",'Schedule_Inputs'!$C$5="Periodic"),IF(AND(3&gt;='Schedule_Inputs'!$B$5,MOD(3-'Schedule_Inputs'!$B$5,'Schedule_Inputs'!$E$5)=0,(3-'Schedule_Inputs'!$B$5)/'Schedule_Inputs'!$E$5&lt;'Schedule_Inputs'!$D$5),$C5/'Schedule_Inputs'!$D$5,0),0))))</f>
        <v/>
      </c>
      <c r="H5" s="231">
        <f>IF('Schedule_Inputs'!$C$5="Blueprint",$C5*IF(4-'Schedule_Inputs'!$B$5=0,'Assumptions'!$B$21,IF(4-'Schedule_Inputs'!$B$5=1,'Assumptions'!$C$21,IF(4-'Schedule_Inputs'!$B$5=2,'Assumptions'!$D$21,0))),IF('Schedule_Inputs'!$C$5="Launch",$C5*IF(4-'Schedule_Inputs'!$B$5=0,'Assumptions'!$B$22,IF(4-'Schedule_Inputs'!$B$5=1,'Assumptions'!$C$22,IF(4-'Schedule_Inputs'!$B$5=2,'Assumptions'!$D$22,IF(4-'Schedule_Inputs'!$B$5=3,'Assumptions'!$B$23,0)))),IF('Schedule_Inputs'!$C$5="Office Setup",$C5*IF(4-'Schedule_Inputs'!$B$5=0,'Assumptions'!$B$24,IF(4-'Schedule_Inputs'!$B$5=1,'Assumptions'!$C$24,IF(4-'Schedule_Inputs'!$B$5=2,'Assumptions'!$D$24,0))),IF(OR('Schedule_Inputs'!$C$5="Monthly",'Schedule_Inputs'!$C$5="Periodic"),IF(AND(4&gt;='Schedule_Inputs'!$B$5,MOD(4-'Schedule_Inputs'!$B$5,'Schedule_Inputs'!$E$5)=0,(4-'Schedule_Inputs'!$B$5)/'Schedule_Inputs'!$E$5&lt;'Schedule_Inputs'!$D$5),$C5/'Schedule_Inputs'!$D$5,0),0))))</f>
        <v/>
      </c>
      <c r="I5" s="231">
        <f>IF('Schedule_Inputs'!$C$5="Blueprint",$C5*IF(5-'Schedule_Inputs'!$B$5=0,'Assumptions'!$B$21,IF(5-'Schedule_Inputs'!$B$5=1,'Assumptions'!$C$21,IF(5-'Schedule_Inputs'!$B$5=2,'Assumptions'!$D$21,0))),IF('Schedule_Inputs'!$C$5="Launch",$C5*IF(5-'Schedule_Inputs'!$B$5=0,'Assumptions'!$B$22,IF(5-'Schedule_Inputs'!$B$5=1,'Assumptions'!$C$22,IF(5-'Schedule_Inputs'!$B$5=2,'Assumptions'!$D$22,IF(5-'Schedule_Inputs'!$B$5=3,'Assumptions'!$B$23,0)))),IF('Schedule_Inputs'!$C$5="Office Setup",$C5*IF(5-'Schedule_Inputs'!$B$5=0,'Assumptions'!$B$24,IF(5-'Schedule_Inputs'!$B$5=1,'Assumptions'!$C$24,IF(5-'Schedule_Inputs'!$B$5=2,'Assumptions'!$D$24,0))),IF(OR('Schedule_Inputs'!$C$5="Monthly",'Schedule_Inputs'!$C$5="Periodic"),IF(AND(5&gt;='Schedule_Inputs'!$B$5,MOD(5-'Schedule_Inputs'!$B$5,'Schedule_Inputs'!$E$5)=0,(5-'Schedule_Inputs'!$B$5)/'Schedule_Inputs'!$E$5&lt;'Schedule_Inputs'!$D$5),$C5/'Schedule_Inputs'!$D$5,0),0))))</f>
        <v/>
      </c>
      <c r="J5" s="231">
        <f>IF('Schedule_Inputs'!$C$5="Blueprint",$C5*IF(6-'Schedule_Inputs'!$B$5=0,'Assumptions'!$B$21,IF(6-'Schedule_Inputs'!$B$5=1,'Assumptions'!$C$21,IF(6-'Schedule_Inputs'!$B$5=2,'Assumptions'!$D$21,0))),IF('Schedule_Inputs'!$C$5="Launch",$C5*IF(6-'Schedule_Inputs'!$B$5=0,'Assumptions'!$B$22,IF(6-'Schedule_Inputs'!$B$5=1,'Assumptions'!$C$22,IF(6-'Schedule_Inputs'!$B$5=2,'Assumptions'!$D$22,IF(6-'Schedule_Inputs'!$B$5=3,'Assumptions'!$B$23,0)))),IF('Schedule_Inputs'!$C$5="Office Setup",$C5*IF(6-'Schedule_Inputs'!$B$5=0,'Assumptions'!$B$24,IF(6-'Schedule_Inputs'!$B$5=1,'Assumptions'!$C$24,IF(6-'Schedule_Inputs'!$B$5=2,'Assumptions'!$D$24,0))),IF(OR('Schedule_Inputs'!$C$5="Monthly",'Schedule_Inputs'!$C$5="Periodic"),IF(AND(6&gt;='Schedule_Inputs'!$B$5,MOD(6-'Schedule_Inputs'!$B$5,'Schedule_Inputs'!$E$5)=0,(6-'Schedule_Inputs'!$B$5)/'Schedule_Inputs'!$E$5&lt;'Schedule_Inputs'!$D$5),$C5/'Schedule_Inputs'!$D$5,0),0))))</f>
        <v/>
      </c>
      <c r="K5" s="231">
        <f>IF('Schedule_Inputs'!$C$5="Blueprint",$C5*IF(7-'Schedule_Inputs'!$B$5=0,'Assumptions'!$B$21,IF(7-'Schedule_Inputs'!$B$5=1,'Assumptions'!$C$21,IF(7-'Schedule_Inputs'!$B$5=2,'Assumptions'!$D$21,0))),IF('Schedule_Inputs'!$C$5="Launch",$C5*IF(7-'Schedule_Inputs'!$B$5=0,'Assumptions'!$B$22,IF(7-'Schedule_Inputs'!$B$5=1,'Assumptions'!$C$22,IF(7-'Schedule_Inputs'!$B$5=2,'Assumptions'!$D$22,IF(7-'Schedule_Inputs'!$B$5=3,'Assumptions'!$B$23,0)))),IF('Schedule_Inputs'!$C$5="Office Setup",$C5*IF(7-'Schedule_Inputs'!$B$5=0,'Assumptions'!$B$24,IF(7-'Schedule_Inputs'!$B$5=1,'Assumptions'!$C$24,IF(7-'Schedule_Inputs'!$B$5=2,'Assumptions'!$D$24,0))),IF(OR('Schedule_Inputs'!$C$5="Monthly",'Schedule_Inputs'!$C$5="Periodic"),IF(AND(7&gt;='Schedule_Inputs'!$B$5,MOD(7-'Schedule_Inputs'!$B$5,'Schedule_Inputs'!$E$5)=0,(7-'Schedule_Inputs'!$B$5)/'Schedule_Inputs'!$E$5&lt;'Schedule_Inputs'!$D$5),$C5/'Schedule_Inputs'!$D$5,0),0))))</f>
        <v/>
      </c>
      <c r="L5" s="231">
        <f>IF('Schedule_Inputs'!$C$5="Blueprint",$C5*IF(8-'Schedule_Inputs'!$B$5=0,'Assumptions'!$B$21,IF(8-'Schedule_Inputs'!$B$5=1,'Assumptions'!$C$21,IF(8-'Schedule_Inputs'!$B$5=2,'Assumptions'!$D$21,0))),IF('Schedule_Inputs'!$C$5="Launch",$C5*IF(8-'Schedule_Inputs'!$B$5=0,'Assumptions'!$B$22,IF(8-'Schedule_Inputs'!$B$5=1,'Assumptions'!$C$22,IF(8-'Schedule_Inputs'!$B$5=2,'Assumptions'!$D$22,IF(8-'Schedule_Inputs'!$B$5=3,'Assumptions'!$B$23,0)))),IF('Schedule_Inputs'!$C$5="Office Setup",$C5*IF(8-'Schedule_Inputs'!$B$5=0,'Assumptions'!$B$24,IF(8-'Schedule_Inputs'!$B$5=1,'Assumptions'!$C$24,IF(8-'Schedule_Inputs'!$B$5=2,'Assumptions'!$D$24,0))),IF(OR('Schedule_Inputs'!$C$5="Monthly",'Schedule_Inputs'!$C$5="Periodic"),IF(AND(8&gt;='Schedule_Inputs'!$B$5,MOD(8-'Schedule_Inputs'!$B$5,'Schedule_Inputs'!$E$5)=0,(8-'Schedule_Inputs'!$B$5)/'Schedule_Inputs'!$E$5&lt;'Schedule_Inputs'!$D$5),$C5/'Schedule_Inputs'!$D$5,0),0))))</f>
        <v/>
      </c>
      <c r="M5" s="231">
        <f>IF('Schedule_Inputs'!$C$5="Blueprint",$C5*IF(9-'Schedule_Inputs'!$B$5=0,'Assumptions'!$B$21,IF(9-'Schedule_Inputs'!$B$5=1,'Assumptions'!$C$21,IF(9-'Schedule_Inputs'!$B$5=2,'Assumptions'!$D$21,0))),IF('Schedule_Inputs'!$C$5="Launch",$C5*IF(9-'Schedule_Inputs'!$B$5=0,'Assumptions'!$B$22,IF(9-'Schedule_Inputs'!$B$5=1,'Assumptions'!$C$22,IF(9-'Schedule_Inputs'!$B$5=2,'Assumptions'!$D$22,IF(9-'Schedule_Inputs'!$B$5=3,'Assumptions'!$B$23,0)))),IF('Schedule_Inputs'!$C$5="Office Setup",$C5*IF(9-'Schedule_Inputs'!$B$5=0,'Assumptions'!$B$24,IF(9-'Schedule_Inputs'!$B$5=1,'Assumptions'!$C$24,IF(9-'Schedule_Inputs'!$B$5=2,'Assumptions'!$D$24,0))),IF(OR('Schedule_Inputs'!$C$5="Monthly",'Schedule_Inputs'!$C$5="Periodic"),IF(AND(9&gt;='Schedule_Inputs'!$B$5,MOD(9-'Schedule_Inputs'!$B$5,'Schedule_Inputs'!$E$5)=0,(9-'Schedule_Inputs'!$B$5)/'Schedule_Inputs'!$E$5&lt;'Schedule_Inputs'!$D$5),$C5/'Schedule_Inputs'!$D$5,0),0))))</f>
        <v/>
      </c>
      <c r="N5" s="231">
        <f>IF('Schedule_Inputs'!$C$5="Blueprint",$C5*IF(10-'Schedule_Inputs'!$B$5=0,'Assumptions'!$B$21,IF(10-'Schedule_Inputs'!$B$5=1,'Assumptions'!$C$21,IF(10-'Schedule_Inputs'!$B$5=2,'Assumptions'!$D$21,0))),IF('Schedule_Inputs'!$C$5="Launch",$C5*IF(10-'Schedule_Inputs'!$B$5=0,'Assumptions'!$B$22,IF(10-'Schedule_Inputs'!$B$5=1,'Assumptions'!$C$22,IF(10-'Schedule_Inputs'!$B$5=2,'Assumptions'!$D$22,IF(10-'Schedule_Inputs'!$B$5=3,'Assumptions'!$B$23,0)))),IF('Schedule_Inputs'!$C$5="Office Setup",$C5*IF(10-'Schedule_Inputs'!$B$5=0,'Assumptions'!$B$24,IF(10-'Schedule_Inputs'!$B$5=1,'Assumptions'!$C$24,IF(10-'Schedule_Inputs'!$B$5=2,'Assumptions'!$D$24,0))),IF(OR('Schedule_Inputs'!$C$5="Monthly",'Schedule_Inputs'!$C$5="Periodic"),IF(AND(10&gt;='Schedule_Inputs'!$B$5,MOD(10-'Schedule_Inputs'!$B$5,'Schedule_Inputs'!$E$5)=0,(10-'Schedule_Inputs'!$B$5)/'Schedule_Inputs'!$E$5&lt;'Schedule_Inputs'!$D$5),$C5/'Schedule_Inputs'!$D$5,0),0))))</f>
        <v/>
      </c>
      <c r="O5" s="231">
        <f>IF('Schedule_Inputs'!$C$5="Blueprint",$C5*IF(11-'Schedule_Inputs'!$B$5=0,'Assumptions'!$B$21,IF(11-'Schedule_Inputs'!$B$5=1,'Assumptions'!$C$21,IF(11-'Schedule_Inputs'!$B$5=2,'Assumptions'!$D$21,0))),IF('Schedule_Inputs'!$C$5="Launch",$C5*IF(11-'Schedule_Inputs'!$B$5=0,'Assumptions'!$B$22,IF(11-'Schedule_Inputs'!$B$5=1,'Assumptions'!$C$22,IF(11-'Schedule_Inputs'!$B$5=2,'Assumptions'!$D$22,IF(11-'Schedule_Inputs'!$B$5=3,'Assumptions'!$B$23,0)))),IF('Schedule_Inputs'!$C$5="Office Setup",$C5*IF(11-'Schedule_Inputs'!$B$5=0,'Assumptions'!$B$24,IF(11-'Schedule_Inputs'!$B$5=1,'Assumptions'!$C$24,IF(11-'Schedule_Inputs'!$B$5=2,'Assumptions'!$D$24,0))),IF(OR('Schedule_Inputs'!$C$5="Monthly",'Schedule_Inputs'!$C$5="Periodic"),IF(AND(11&gt;='Schedule_Inputs'!$B$5,MOD(11-'Schedule_Inputs'!$B$5,'Schedule_Inputs'!$E$5)=0,(11-'Schedule_Inputs'!$B$5)/'Schedule_Inputs'!$E$5&lt;'Schedule_Inputs'!$D$5),$C5/'Schedule_Inputs'!$D$5,0),0))))</f>
        <v/>
      </c>
      <c r="P5" s="231">
        <f>IF('Schedule_Inputs'!$C$5="Blueprint",$C5*IF(12-'Schedule_Inputs'!$B$5=0,'Assumptions'!$B$21,IF(12-'Schedule_Inputs'!$B$5=1,'Assumptions'!$C$21,IF(12-'Schedule_Inputs'!$B$5=2,'Assumptions'!$D$21,0))),IF('Schedule_Inputs'!$C$5="Launch",$C5*IF(12-'Schedule_Inputs'!$B$5=0,'Assumptions'!$B$22,IF(12-'Schedule_Inputs'!$B$5=1,'Assumptions'!$C$22,IF(12-'Schedule_Inputs'!$B$5=2,'Assumptions'!$D$22,IF(12-'Schedule_Inputs'!$B$5=3,'Assumptions'!$B$23,0)))),IF('Schedule_Inputs'!$C$5="Office Setup",$C5*IF(12-'Schedule_Inputs'!$B$5=0,'Assumptions'!$B$24,IF(12-'Schedule_Inputs'!$B$5=1,'Assumptions'!$C$24,IF(12-'Schedule_Inputs'!$B$5=2,'Assumptions'!$D$24,0))),IF(OR('Schedule_Inputs'!$C$5="Monthly",'Schedule_Inputs'!$C$5="Periodic"),IF(AND(12&gt;='Schedule_Inputs'!$B$5,MOD(12-'Schedule_Inputs'!$B$5,'Schedule_Inputs'!$E$5)=0,(12-'Schedule_Inputs'!$B$5)/'Schedule_Inputs'!$E$5&lt;'Schedule_Inputs'!$D$5),$C5/'Schedule_Inputs'!$D$5,0),0))))</f>
        <v/>
      </c>
      <c r="Q5" s="231">
        <f>IF('Schedule_Inputs'!$C$5="Blueprint",$C5*IF(13-'Schedule_Inputs'!$B$5=0,'Assumptions'!$B$21,IF(13-'Schedule_Inputs'!$B$5=1,'Assumptions'!$C$21,IF(13-'Schedule_Inputs'!$B$5=2,'Assumptions'!$D$21,0))),IF('Schedule_Inputs'!$C$5="Launch",$C5*IF(13-'Schedule_Inputs'!$B$5=0,'Assumptions'!$B$22,IF(13-'Schedule_Inputs'!$B$5=1,'Assumptions'!$C$22,IF(13-'Schedule_Inputs'!$B$5=2,'Assumptions'!$D$22,IF(13-'Schedule_Inputs'!$B$5=3,'Assumptions'!$B$23,0)))),IF('Schedule_Inputs'!$C$5="Office Setup",$C5*IF(13-'Schedule_Inputs'!$B$5=0,'Assumptions'!$B$24,IF(13-'Schedule_Inputs'!$B$5=1,'Assumptions'!$C$24,IF(13-'Schedule_Inputs'!$B$5=2,'Assumptions'!$D$24,0))),IF(OR('Schedule_Inputs'!$C$5="Monthly",'Schedule_Inputs'!$C$5="Periodic"),IF(AND(13&gt;='Schedule_Inputs'!$B$5,MOD(13-'Schedule_Inputs'!$B$5,'Schedule_Inputs'!$E$5)=0,(13-'Schedule_Inputs'!$B$5)/'Schedule_Inputs'!$E$5&lt;'Schedule_Inputs'!$D$5),$C5/'Schedule_Inputs'!$D$5,0),0))))</f>
        <v/>
      </c>
      <c r="R5" s="231">
        <f>IF('Schedule_Inputs'!$C$5="Blueprint",$C5*IF(14-'Schedule_Inputs'!$B$5=0,'Assumptions'!$B$21,IF(14-'Schedule_Inputs'!$B$5=1,'Assumptions'!$C$21,IF(14-'Schedule_Inputs'!$B$5=2,'Assumptions'!$D$21,0))),IF('Schedule_Inputs'!$C$5="Launch",$C5*IF(14-'Schedule_Inputs'!$B$5=0,'Assumptions'!$B$22,IF(14-'Schedule_Inputs'!$B$5=1,'Assumptions'!$C$22,IF(14-'Schedule_Inputs'!$B$5=2,'Assumptions'!$D$22,IF(14-'Schedule_Inputs'!$B$5=3,'Assumptions'!$B$23,0)))),IF('Schedule_Inputs'!$C$5="Office Setup",$C5*IF(14-'Schedule_Inputs'!$B$5=0,'Assumptions'!$B$24,IF(14-'Schedule_Inputs'!$B$5=1,'Assumptions'!$C$24,IF(14-'Schedule_Inputs'!$B$5=2,'Assumptions'!$D$24,0))),IF(OR('Schedule_Inputs'!$C$5="Monthly",'Schedule_Inputs'!$C$5="Periodic"),IF(AND(14&gt;='Schedule_Inputs'!$B$5,MOD(14-'Schedule_Inputs'!$B$5,'Schedule_Inputs'!$E$5)=0,(14-'Schedule_Inputs'!$B$5)/'Schedule_Inputs'!$E$5&lt;'Schedule_Inputs'!$D$5),$C5/'Schedule_Inputs'!$D$5,0),0))))</f>
        <v/>
      </c>
      <c r="S5" s="231">
        <f>IF('Schedule_Inputs'!$C$5="Blueprint",$C5*IF(15-'Schedule_Inputs'!$B$5=0,'Assumptions'!$B$21,IF(15-'Schedule_Inputs'!$B$5=1,'Assumptions'!$C$21,IF(15-'Schedule_Inputs'!$B$5=2,'Assumptions'!$D$21,0))),IF('Schedule_Inputs'!$C$5="Launch",$C5*IF(15-'Schedule_Inputs'!$B$5=0,'Assumptions'!$B$22,IF(15-'Schedule_Inputs'!$B$5=1,'Assumptions'!$C$22,IF(15-'Schedule_Inputs'!$B$5=2,'Assumptions'!$D$22,IF(15-'Schedule_Inputs'!$B$5=3,'Assumptions'!$B$23,0)))),IF('Schedule_Inputs'!$C$5="Office Setup",$C5*IF(15-'Schedule_Inputs'!$B$5=0,'Assumptions'!$B$24,IF(15-'Schedule_Inputs'!$B$5=1,'Assumptions'!$C$24,IF(15-'Schedule_Inputs'!$B$5=2,'Assumptions'!$D$24,0))),IF(OR('Schedule_Inputs'!$C$5="Monthly",'Schedule_Inputs'!$C$5="Periodic"),IF(AND(15&gt;='Schedule_Inputs'!$B$5,MOD(15-'Schedule_Inputs'!$B$5,'Schedule_Inputs'!$E$5)=0,(15-'Schedule_Inputs'!$B$5)/'Schedule_Inputs'!$E$5&lt;'Schedule_Inputs'!$D$5),$C5/'Schedule_Inputs'!$D$5,0),0))))</f>
        <v/>
      </c>
      <c r="T5" s="231">
        <f>IF('Schedule_Inputs'!$C$5="Blueprint",$C5*IF(16-'Schedule_Inputs'!$B$5=0,'Assumptions'!$B$21,IF(16-'Schedule_Inputs'!$B$5=1,'Assumptions'!$C$21,IF(16-'Schedule_Inputs'!$B$5=2,'Assumptions'!$D$21,0))),IF('Schedule_Inputs'!$C$5="Launch",$C5*IF(16-'Schedule_Inputs'!$B$5=0,'Assumptions'!$B$22,IF(16-'Schedule_Inputs'!$B$5=1,'Assumptions'!$C$22,IF(16-'Schedule_Inputs'!$B$5=2,'Assumptions'!$D$22,IF(16-'Schedule_Inputs'!$B$5=3,'Assumptions'!$B$23,0)))),IF('Schedule_Inputs'!$C$5="Office Setup",$C5*IF(16-'Schedule_Inputs'!$B$5=0,'Assumptions'!$B$24,IF(16-'Schedule_Inputs'!$B$5=1,'Assumptions'!$C$24,IF(16-'Schedule_Inputs'!$B$5=2,'Assumptions'!$D$24,0))),IF(OR('Schedule_Inputs'!$C$5="Monthly",'Schedule_Inputs'!$C$5="Periodic"),IF(AND(16&gt;='Schedule_Inputs'!$B$5,MOD(16-'Schedule_Inputs'!$B$5,'Schedule_Inputs'!$E$5)=0,(16-'Schedule_Inputs'!$B$5)/'Schedule_Inputs'!$E$5&lt;'Schedule_Inputs'!$D$5),$C5/'Schedule_Inputs'!$D$5,0),0))))</f>
        <v/>
      </c>
      <c r="U5" s="231">
        <f>IF('Schedule_Inputs'!$C$5="Blueprint",$C5*IF(17-'Schedule_Inputs'!$B$5=0,'Assumptions'!$B$21,IF(17-'Schedule_Inputs'!$B$5=1,'Assumptions'!$C$21,IF(17-'Schedule_Inputs'!$B$5=2,'Assumptions'!$D$21,0))),IF('Schedule_Inputs'!$C$5="Launch",$C5*IF(17-'Schedule_Inputs'!$B$5=0,'Assumptions'!$B$22,IF(17-'Schedule_Inputs'!$B$5=1,'Assumptions'!$C$22,IF(17-'Schedule_Inputs'!$B$5=2,'Assumptions'!$D$22,IF(17-'Schedule_Inputs'!$B$5=3,'Assumptions'!$B$23,0)))),IF('Schedule_Inputs'!$C$5="Office Setup",$C5*IF(17-'Schedule_Inputs'!$B$5=0,'Assumptions'!$B$24,IF(17-'Schedule_Inputs'!$B$5=1,'Assumptions'!$C$24,IF(17-'Schedule_Inputs'!$B$5=2,'Assumptions'!$D$24,0))),IF(OR('Schedule_Inputs'!$C$5="Monthly",'Schedule_Inputs'!$C$5="Periodic"),IF(AND(17&gt;='Schedule_Inputs'!$B$5,MOD(17-'Schedule_Inputs'!$B$5,'Schedule_Inputs'!$E$5)=0,(17-'Schedule_Inputs'!$B$5)/'Schedule_Inputs'!$E$5&lt;'Schedule_Inputs'!$D$5),$C5/'Schedule_Inputs'!$D$5,0),0))))</f>
        <v/>
      </c>
      <c r="V5" s="231">
        <f>IF('Schedule_Inputs'!$C$5="Blueprint",$C5*IF(18-'Schedule_Inputs'!$B$5=0,'Assumptions'!$B$21,IF(18-'Schedule_Inputs'!$B$5=1,'Assumptions'!$C$21,IF(18-'Schedule_Inputs'!$B$5=2,'Assumptions'!$D$21,0))),IF('Schedule_Inputs'!$C$5="Launch",$C5*IF(18-'Schedule_Inputs'!$B$5=0,'Assumptions'!$B$22,IF(18-'Schedule_Inputs'!$B$5=1,'Assumptions'!$C$22,IF(18-'Schedule_Inputs'!$B$5=2,'Assumptions'!$D$22,IF(18-'Schedule_Inputs'!$B$5=3,'Assumptions'!$B$23,0)))),IF('Schedule_Inputs'!$C$5="Office Setup",$C5*IF(18-'Schedule_Inputs'!$B$5=0,'Assumptions'!$B$24,IF(18-'Schedule_Inputs'!$B$5=1,'Assumptions'!$C$24,IF(18-'Schedule_Inputs'!$B$5=2,'Assumptions'!$D$24,0))),IF(OR('Schedule_Inputs'!$C$5="Monthly",'Schedule_Inputs'!$C$5="Periodic"),IF(AND(18&gt;='Schedule_Inputs'!$B$5,MOD(18-'Schedule_Inputs'!$B$5,'Schedule_Inputs'!$E$5)=0,(18-'Schedule_Inputs'!$B$5)/'Schedule_Inputs'!$E$5&lt;'Schedule_Inputs'!$D$5),$C5/'Schedule_Inputs'!$D$5,0),0))))</f>
        <v/>
      </c>
      <c r="W5" s="231">
        <f>IF('Schedule_Inputs'!$C$5="Blueprint",$C5*IF(19-'Schedule_Inputs'!$B$5=0,'Assumptions'!$B$21,IF(19-'Schedule_Inputs'!$B$5=1,'Assumptions'!$C$21,IF(19-'Schedule_Inputs'!$B$5=2,'Assumptions'!$D$21,0))),IF('Schedule_Inputs'!$C$5="Launch",$C5*IF(19-'Schedule_Inputs'!$B$5=0,'Assumptions'!$B$22,IF(19-'Schedule_Inputs'!$B$5=1,'Assumptions'!$C$22,IF(19-'Schedule_Inputs'!$B$5=2,'Assumptions'!$D$22,IF(19-'Schedule_Inputs'!$B$5=3,'Assumptions'!$B$23,0)))),IF('Schedule_Inputs'!$C$5="Office Setup",$C5*IF(19-'Schedule_Inputs'!$B$5=0,'Assumptions'!$B$24,IF(19-'Schedule_Inputs'!$B$5=1,'Assumptions'!$C$24,IF(19-'Schedule_Inputs'!$B$5=2,'Assumptions'!$D$24,0))),IF(OR('Schedule_Inputs'!$C$5="Monthly",'Schedule_Inputs'!$C$5="Periodic"),IF(AND(19&gt;='Schedule_Inputs'!$B$5,MOD(19-'Schedule_Inputs'!$B$5,'Schedule_Inputs'!$E$5)=0,(19-'Schedule_Inputs'!$B$5)/'Schedule_Inputs'!$E$5&lt;'Schedule_Inputs'!$D$5),$C5/'Schedule_Inputs'!$D$5,0),0))))</f>
        <v/>
      </c>
      <c r="X5" s="231">
        <f>IF('Schedule_Inputs'!$C$5="Blueprint",$C5*IF(20-'Schedule_Inputs'!$B$5=0,'Assumptions'!$B$21,IF(20-'Schedule_Inputs'!$B$5=1,'Assumptions'!$C$21,IF(20-'Schedule_Inputs'!$B$5=2,'Assumptions'!$D$21,0))),IF('Schedule_Inputs'!$C$5="Launch",$C5*IF(20-'Schedule_Inputs'!$B$5=0,'Assumptions'!$B$22,IF(20-'Schedule_Inputs'!$B$5=1,'Assumptions'!$C$22,IF(20-'Schedule_Inputs'!$B$5=2,'Assumptions'!$D$22,IF(20-'Schedule_Inputs'!$B$5=3,'Assumptions'!$B$23,0)))),IF('Schedule_Inputs'!$C$5="Office Setup",$C5*IF(20-'Schedule_Inputs'!$B$5=0,'Assumptions'!$B$24,IF(20-'Schedule_Inputs'!$B$5=1,'Assumptions'!$C$24,IF(20-'Schedule_Inputs'!$B$5=2,'Assumptions'!$D$24,0))),IF(OR('Schedule_Inputs'!$C$5="Monthly",'Schedule_Inputs'!$C$5="Periodic"),IF(AND(20&gt;='Schedule_Inputs'!$B$5,MOD(20-'Schedule_Inputs'!$B$5,'Schedule_Inputs'!$E$5)=0,(20-'Schedule_Inputs'!$B$5)/'Schedule_Inputs'!$E$5&lt;'Schedule_Inputs'!$D$5),$C5/'Schedule_Inputs'!$D$5,0),0))))</f>
        <v/>
      </c>
      <c r="Y5" s="231">
        <f>IF('Schedule_Inputs'!$C$5="Blueprint",$C5*IF(21-'Schedule_Inputs'!$B$5=0,'Assumptions'!$B$21,IF(21-'Schedule_Inputs'!$B$5=1,'Assumptions'!$C$21,IF(21-'Schedule_Inputs'!$B$5=2,'Assumptions'!$D$21,0))),IF('Schedule_Inputs'!$C$5="Launch",$C5*IF(21-'Schedule_Inputs'!$B$5=0,'Assumptions'!$B$22,IF(21-'Schedule_Inputs'!$B$5=1,'Assumptions'!$C$22,IF(21-'Schedule_Inputs'!$B$5=2,'Assumptions'!$D$22,IF(21-'Schedule_Inputs'!$B$5=3,'Assumptions'!$B$23,0)))),IF('Schedule_Inputs'!$C$5="Office Setup",$C5*IF(21-'Schedule_Inputs'!$B$5=0,'Assumptions'!$B$24,IF(21-'Schedule_Inputs'!$B$5=1,'Assumptions'!$C$24,IF(21-'Schedule_Inputs'!$B$5=2,'Assumptions'!$D$24,0))),IF(OR('Schedule_Inputs'!$C$5="Monthly",'Schedule_Inputs'!$C$5="Periodic"),IF(AND(21&gt;='Schedule_Inputs'!$B$5,MOD(21-'Schedule_Inputs'!$B$5,'Schedule_Inputs'!$E$5)=0,(21-'Schedule_Inputs'!$B$5)/'Schedule_Inputs'!$E$5&lt;'Schedule_Inputs'!$D$5),$C5/'Schedule_Inputs'!$D$5,0),0))))</f>
        <v/>
      </c>
      <c r="Z5" s="231">
        <f>IF('Schedule_Inputs'!$C$5="Blueprint",$C5*IF(22-'Schedule_Inputs'!$B$5=0,'Assumptions'!$B$21,IF(22-'Schedule_Inputs'!$B$5=1,'Assumptions'!$C$21,IF(22-'Schedule_Inputs'!$B$5=2,'Assumptions'!$D$21,0))),IF('Schedule_Inputs'!$C$5="Launch",$C5*IF(22-'Schedule_Inputs'!$B$5=0,'Assumptions'!$B$22,IF(22-'Schedule_Inputs'!$B$5=1,'Assumptions'!$C$22,IF(22-'Schedule_Inputs'!$B$5=2,'Assumptions'!$D$22,IF(22-'Schedule_Inputs'!$B$5=3,'Assumptions'!$B$23,0)))),IF('Schedule_Inputs'!$C$5="Office Setup",$C5*IF(22-'Schedule_Inputs'!$B$5=0,'Assumptions'!$B$24,IF(22-'Schedule_Inputs'!$B$5=1,'Assumptions'!$C$24,IF(22-'Schedule_Inputs'!$B$5=2,'Assumptions'!$D$24,0))),IF(OR('Schedule_Inputs'!$C$5="Monthly",'Schedule_Inputs'!$C$5="Periodic"),IF(AND(22&gt;='Schedule_Inputs'!$B$5,MOD(22-'Schedule_Inputs'!$B$5,'Schedule_Inputs'!$E$5)=0,(22-'Schedule_Inputs'!$B$5)/'Schedule_Inputs'!$E$5&lt;'Schedule_Inputs'!$D$5),$C5/'Schedule_Inputs'!$D$5,0),0))))</f>
        <v/>
      </c>
      <c r="AA5" s="231">
        <f>IF('Schedule_Inputs'!$C$5="Blueprint",$C5*IF(23-'Schedule_Inputs'!$B$5=0,'Assumptions'!$B$21,IF(23-'Schedule_Inputs'!$B$5=1,'Assumptions'!$C$21,IF(23-'Schedule_Inputs'!$B$5=2,'Assumptions'!$D$21,0))),IF('Schedule_Inputs'!$C$5="Launch",$C5*IF(23-'Schedule_Inputs'!$B$5=0,'Assumptions'!$B$22,IF(23-'Schedule_Inputs'!$B$5=1,'Assumptions'!$C$22,IF(23-'Schedule_Inputs'!$B$5=2,'Assumptions'!$D$22,IF(23-'Schedule_Inputs'!$B$5=3,'Assumptions'!$B$23,0)))),IF('Schedule_Inputs'!$C$5="Office Setup",$C5*IF(23-'Schedule_Inputs'!$B$5=0,'Assumptions'!$B$24,IF(23-'Schedule_Inputs'!$B$5=1,'Assumptions'!$C$24,IF(23-'Schedule_Inputs'!$B$5=2,'Assumptions'!$D$24,0))),IF(OR('Schedule_Inputs'!$C$5="Monthly",'Schedule_Inputs'!$C$5="Periodic"),IF(AND(23&gt;='Schedule_Inputs'!$B$5,MOD(23-'Schedule_Inputs'!$B$5,'Schedule_Inputs'!$E$5)=0,(23-'Schedule_Inputs'!$B$5)/'Schedule_Inputs'!$E$5&lt;'Schedule_Inputs'!$D$5),$C5/'Schedule_Inputs'!$D$5,0),0))))</f>
        <v/>
      </c>
      <c r="AB5" s="231">
        <f>IF('Schedule_Inputs'!$C$5="Blueprint",$C5*IF(24-'Schedule_Inputs'!$B$5=0,'Assumptions'!$B$21,IF(24-'Schedule_Inputs'!$B$5=1,'Assumptions'!$C$21,IF(24-'Schedule_Inputs'!$B$5=2,'Assumptions'!$D$21,0))),IF('Schedule_Inputs'!$C$5="Launch",$C5*IF(24-'Schedule_Inputs'!$B$5=0,'Assumptions'!$B$22,IF(24-'Schedule_Inputs'!$B$5=1,'Assumptions'!$C$22,IF(24-'Schedule_Inputs'!$B$5=2,'Assumptions'!$D$22,IF(24-'Schedule_Inputs'!$B$5=3,'Assumptions'!$B$23,0)))),IF('Schedule_Inputs'!$C$5="Office Setup",$C5*IF(24-'Schedule_Inputs'!$B$5=0,'Assumptions'!$B$24,IF(24-'Schedule_Inputs'!$B$5=1,'Assumptions'!$C$24,IF(24-'Schedule_Inputs'!$B$5=2,'Assumptions'!$D$24,0))),IF(OR('Schedule_Inputs'!$C$5="Monthly",'Schedule_Inputs'!$C$5="Periodic"),IF(AND(24&gt;='Schedule_Inputs'!$B$5,MOD(24-'Schedule_Inputs'!$B$5,'Schedule_Inputs'!$E$5)=0,(24-'Schedule_Inputs'!$B$5)/'Schedule_Inputs'!$E$5&lt;'Schedule_Inputs'!$D$5),$C5/'Schedule_Inputs'!$D$5,0),0))))</f>
        <v/>
      </c>
      <c r="AC5" s="231">
        <f>IF('Schedule_Inputs'!$C$5="Blueprint",$C5*IF(25-'Schedule_Inputs'!$B$5=0,'Assumptions'!$B$21,IF(25-'Schedule_Inputs'!$B$5=1,'Assumptions'!$C$21,IF(25-'Schedule_Inputs'!$B$5=2,'Assumptions'!$D$21,0))),IF('Schedule_Inputs'!$C$5="Launch",$C5*IF(25-'Schedule_Inputs'!$B$5=0,'Assumptions'!$B$22,IF(25-'Schedule_Inputs'!$B$5=1,'Assumptions'!$C$22,IF(25-'Schedule_Inputs'!$B$5=2,'Assumptions'!$D$22,IF(25-'Schedule_Inputs'!$B$5=3,'Assumptions'!$B$23,0)))),IF('Schedule_Inputs'!$C$5="Office Setup",$C5*IF(25-'Schedule_Inputs'!$B$5=0,'Assumptions'!$B$24,IF(25-'Schedule_Inputs'!$B$5=1,'Assumptions'!$C$24,IF(25-'Schedule_Inputs'!$B$5=2,'Assumptions'!$D$24,0))),IF(OR('Schedule_Inputs'!$C$5="Monthly",'Schedule_Inputs'!$C$5="Periodic"),IF(AND(25&gt;='Schedule_Inputs'!$B$5,MOD(25-'Schedule_Inputs'!$B$5,'Schedule_Inputs'!$E$5)=0,(25-'Schedule_Inputs'!$B$5)/'Schedule_Inputs'!$E$5&lt;'Schedule_Inputs'!$D$5),$C5/'Schedule_Inputs'!$D$5,0),0))))</f>
        <v/>
      </c>
      <c r="AD5" s="231">
        <f>IF('Schedule_Inputs'!$C$5="Blueprint",$C5*IF(26-'Schedule_Inputs'!$B$5=0,'Assumptions'!$B$21,IF(26-'Schedule_Inputs'!$B$5=1,'Assumptions'!$C$21,IF(26-'Schedule_Inputs'!$B$5=2,'Assumptions'!$D$21,0))),IF('Schedule_Inputs'!$C$5="Launch",$C5*IF(26-'Schedule_Inputs'!$B$5=0,'Assumptions'!$B$22,IF(26-'Schedule_Inputs'!$B$5=1,'Assumptions'!$C$22,IF(26-'Schedule_Inputs'!$B$5=2,'Assumptions'!$D$22,IF(26-'Schedule_Inputs'!$B$5=3,'Assumptions'!$B$23,0)))),IF('Schedule_Inputs'!$C$5="Office Setup",$C5*IF(26-'Schedule_Inputs'!$B$5=0,'Assumptions'!$B$24,IF(26-'Schedule_Inputs'!$B$5=1,'Assumptions'!$C$24,IF(26-'Schedule_Inputs'!$B$5=2,'Assumptions'!$D$24,0))),IF(OR('Schedule_Inputs'!$C$5="Monthly",'Schedule_Inputs'!$C$5="Periodic"),IF(AND(26&gt;='Schedule_Inputs'!$B$5,MOD(26-'Schedule_Inputs'!$B$5,'Schedule_Inputs'!$E$5)=0,(26-'Schedule_Inputs'!$B$5)/'Schedule_Inputs'!$E$5&lt;'Schedule_Inputs'!$D$5),$C5/'Schedule_Inputs'!$D$5,0),0))))</f>
        <v/>
      </c>
      <c r="AE5" s="231">
        <f>IF('Schedule_Inputs'!$C$5="Blueprint",$C5*IF(27-'Schedule_Inputs'!$B$5=0,'Assumptions'!$B$21,IF(27-'Schedule_Inputs'!$B$5=1,'Assumptions'!$C$21,IF(27-'Schedule_Inputs'!$B$5=2,'Assumptions'!$D$21,0))),IF('Schedule_Inputs'!$C$5="Launch",$C5*IF(27-'Schedule_Inputs'!$B$5=0,'Assumptions'!$B$22,IF(27-'Schedule_Inputs'!$B$5=1,'Assumptions'!$C$22,IF(27-'Schedule_Inputs'!$B$5=2,'Assumptions'!$D$22,IF(27-'Schedule_Inputs'!$B$5=3,'Assumptions'!$B$23,0)))),IF('Schedule_Inputs'!$C$5="Office Setup",$C5*IF(27-'Schedule_Inputs'!$B$5=0,'Assumptions'!$B$24,IF(27-'Schedule_Inputs'!$B$5=1,'Assumptions'!$C$24,IF(27-'Schedule_Inputs'!$B$5=2,'Assumptions'!$D$24,0))),IF(OR('Schedule_Inputs'!$C$5="Monthly",'Schedule_Inputs'!$C$5="Periodic"),IF(AND(27&gt;='Schedule_Inputs'!$B$5,MOD(27-'Schedule_Inputs'!$B$5,'Schedule_Inputs'!$E$5)=0,(27-'Schedule_Inputs'!$B$5)/'Schedule_Inputs'!$E$5&lt;'Schedule_Inputs'!$D$5),$C5/'Schedule_Inputs'!$D$5,0),0))))</f>
        <v/>
      </c>
      <c r="AF5" s="231">
        <f>IF('Schedule_Inputs'!$C$5="Blueprint",$C5*IF(28-'Schedule_Inputs'!$B$5=0,'Assumptions'!$B$21,IF(28-'Schedule_Inputs'!$B$5=1,'Assumptions'!$C$21,IF(28-'Schedule_Inputs'!$B$5=2,'Assumptions'!$D$21,0))),IF('Schedule_Inputs'!$C$5="Launch",$C5*IF(28-'Schedule_Inputs'!$B$5=0,'Assumptions'!$B$22,IF(28-'Schedule_Inputs'!$B$5=1,'Assumptions'!$C$22,IF(28-'Schedule_Inputs'!$B$5=2,'Assumptions'!$D$22,IF(28-'Schedule_Inputs'!$B$5=3,'Assumptions'!$B$23,0)))),IF('Schedule_Inputs'!$C$5="Office Setup",$C5*IF(28-'Schedule_Inputs'!$B$5=0,'Assumptions'!$B$24,IF(28-'Schedule_Inputs'!$B$5=1,'Assumptions'!$C$24,IF(28-'Schedule_Inputs'!$B$5=2,'Assumptions'!$D$24,0))),IF(OR('Schedule_Inputs'!$C$5="Monthly",'Schedule_Inputs'!$C$5="Periodic"),IF(AND(28&gt;='Schedule_Inputs'!$B$5,MOD(28-'Schedule_Inputs'!$B$5,'Schedule_Inputs'!$E$5)=0,(28-'Schedule_Inputs'!$B$5)/'Schedule_Inputs'!$E$5&lt;'Schedule_Inputs'!$D$5),$C5/'Schedule_Inputs'!$D$5,0),0))))</f>
        <v/>
      </c>
      <c r="AG5" s="231">
        <f>IF('Schedule_Inputs'!$C$5="Blueprint",$C5*IF(29-'Schedule_Inputs'!$B$5=0,'Assumptions'!$B$21,IF(29-'Schedule_Inputs'!$B$5=1,'Assumptions'!$C$21,IF(29-'Schedule_Inputs'!$B$5=2,'Assumptions'!$D$21,0))),IF('Schedule_Inputs'!$C$5="Launch",$C5*IF(29-'Schedule_Inputs'!$B$5=0,'Assumptions'!$B$22,IF(29-'Schedule_Inputs'!$B$5=1,'Assumptions'!$C$22,IF(29-'Schedule_Inputs'!$B$5=2,'Assumptions'!$D$22,IF(29-'Schedule_Inputs'!$B$5=3,'Assumptions'!$B$23,0)))),IF('Schedule_Inputs'!$C$5="Office Setup",$C5*IF(29-'Schedule_Inputs'!$B$5=0,'Assumptions'!$B$24,IF(29-'Schedule_Inputs'!$B$5=1,'Assumptions'!$C$24,IF(29-'Schedule_Inputs'!$B$5=2,'Assumptions'!$D$24,0))),IF(OR('Schedule_Inputs'!$C$5="Monthly",'Schedule_Inputs'!$C$5="Periodic"),IF(AND(29&gt;='Schedule_Inputs'!$B$5,MOD(29-'Schedule_Inputs'!$B$5,'Schedule_Inputs'!$E$5)=0,(29-'Schedule_Inputs'!$B$5)/'Schedule_Inputs'!$E$5&lt;'Schedule_Inputs'!$D$5),$C5/'Schedule_Inputs'!$D$5,0),0))))</f>
        <v/>
      </c>
      <c r="AH5" s="231">
        <f>IF('Schedule_Inputs'!$C$5="Blueprint",$C5*IF(30-'Schedule_Inputs'!$B$5=0,'Assumptions'!$B$21,IF(30-'Schedule_Inputs'!$B$5=1,'Assumptions'!$C$21,IF(30-'Schedule_Inputs'!$B$5=2,'Assumptions'!$D$21,0))),IF('Schedule_Inputs'!$C$5="Launch",$C5*IF(30-'Schedule_Inputs'!$B$5=0,'Assumptions'!$B$22,IF(30-'Schedule_Inputs'!$B$5=1,'Assumptions'!$C$22,IF(30-'Schedule_Inputs'!$B$5=2,'Assumptions'!$D$22,IF(30-'Schedule_Inputs'!$B$5=3,'Assumptions'!$B$23,0)))),IF('Schedule_Inputs'!$C$5="Office Setup",$C5*IF(30-'Schedule_Inputs'!$B$5=0,'Assumptions'!$B$24,IF(30-'Schedule_Inputs'!$B$5=1,'Assumptions'!$C$24,IF(30-'Schedule_Inputs'!$B$5=2,'Assumptions'!$D$24,0))),IF(OR('Schedule_Inputs'!$C$5="Monthly",'Schedule_Inputs'!$C$5="Periodic"),IF(AND(30&gt;='Schedule_Inputs'!$B$5,MOD(30-'Schedule_Inputs'!$B$5,'Schedule_Inputs'!$E$5)=0,(30-'Schedule_Inputs'!$B$5)/'Schedule_Inputs'!$E$5&lt;'Schedule_Inputs'!$D$5),$C5/'Schedule_Inputs'!$D$5,0),0))))</f>
        <v/>
      </c>
      <c r="AI5" s="231">
        <f>IF('Schedule_Inputs'!$C$5="Blueprint",$C5*IF(31-'Schedule_Inputs'!$B$5=0,'Assumptions'!$B$21,IF(31-'Schedule_Inputs'!$B$5=1,'Assumptions'!$C$21,IF(31-'Schedule_Inputs'!$B$5=2,'Assumptions'!$D$21,0))),IF('Schedule_Inputs'!$C$5="Launch",$C5*IF(31-'Schedule_Inputs'!$B$5=0,'Assumptions'!$B$22,IF(31-'Schedule_Inputs'!$B$5=1,'Assumptions'!$C$22,IF(31-'Schedule_Inputs'!$B$5=2,'Assumptions'!$D$22,IF(31-'Schedule_Inputs'!$B$5=3,'Assumptions'!$B$23,0)))),IF('Schedule_Inputs'!$C$5="Office Setup",$C5*IF(31-'Schedule_Inputs'!$B$5=0,'Assumptions'!$B$24,IF(31-'Schedule_Inputs'!$B$5=1,'Assumptions'!$C$24,IF(31-'Schedule_Inputs'!$B$5=2,'Assumptions'!$D$24,0))),IF(OR('Schedule_Inputs'!$C$5="Monthly",'Schedule_Inputs'!$C$5="Periodic"),IF(AND(31&gt;='Schedule_Inputs'!$B$5,MOD(31-'Schedule_Inputs'!$B$5,'Schedule_Inputs'!$E$5)=0,(31-'Schedule_Inputs'!$B$5)/'Schedule_Inputs'!$E$5&lt;'Schedule_Inputs'!$D$5),$C5/'Schedule_Inputs'!$D$5,0),0))))</f>
        <v/>
      </c>
      <c r="AJ5" s="231">
        <f>IF('Schedule_Inputs'!$C$5="Blueprint",$C5*IF(32-'Schedule_Inputs'!$B$5=0,'Assumptions'!$B$21,IF(32-'Schedule_Inputs'!$B$5=1,'Assumptions'!$C$21,IF(32-'Schedule_Inputs'!$B$5=2,'Assumptions'!$D$21,0))),IF('Schedule_Inputs'!$C$5="Launch",$C5*IF(32-'Schedule_Inputs'!$B$5=0,'Assumptions'!$B$22,IF(32-'Schedule_Inputs'!$B$5=1,'Assumptions'!$C$22,IF(32-'Schedule_Inputs'!$B$5=2,'Assumptions'!$D$22,IF(32-'Schedule_Inputs'!$B$5=3,'Assumptions'!$B$23,0)))),IF('Schedule_Inputs'!$C$5="Office Setup",$C5*IF(32-'Schedule_Inputs'!$B$5=0,'Assumptions'!$B$24,IF(32-'Schedule_Inputs'!$B$5=1,'Assumptions'!$C$24,IF(32-'Schedule_Inputs'!$B$5=2,'Assumptions'!$D$24,0))),IF(OR('Schedule_Inputs'!$C$5="Monthly",'Schedule_Inputs'!$C$5="Periodic"),IF(AND(32&gt;='Schedule_Inputs'!$B$5,MOD(32-'Schedule_Inputs'!$B$5,'Schedule_Inputs'!$E$5)=0,(32-'Schedule_Inputs'!$B$5)/'Schedule_Inputs'!$E$5&lt;'Schedule_Inputs'!$D$5),$C5/'Schedule_Inputs'!$D$5,0),0))))</f>
        <v/>
      </c>
      <c r="AK5" s="231">
        <f>IF('Schedule_Inputs'!$C$5="Blueprint",$C5*IF(33-'Schedule_Inputs'!$B$5=0,'Assumptions'!$B$21,IF(33-'Schedule_Inputs'!$B$5=1,'Assumptions'!$C$21,IF(33-'Schedule_Inputs'!$B$5=2,'Assumptions'!$D$21,0))),IF('Schedule_Inputs'!$C$5="Launch",$C5*IF(33-'Schedule_Inputs'!$B$5=0,'Assumptions'!$B$22,IF(33-'Schedule_Inputs'!$B$5=1,'Assumptions'!$C$22,IF(33-'Schedule_Inputs'!$B$5=2,'Assumptions'!$D$22,IF(33-'Schedule_Inputs'!$B$5=3,'Assumptions'!$B$23,0)))),IF('Schedule_Inputs'!$C$5="Office Setup",$C5*IF(33-'Schedule_Inputs'!$B$5=0,'Assumptions'!$B$24,IF(33-'Schedule_Inputs'!$B$5=1,'Assumptions'!$C$24,IF(33-'Schedule_Inputs'!$B$5=2,'Assumptions'!$D$24,0))),IF(OR('Schedule_Inputs'!$C$5="Monthly",'Schedule_Inputs'!$C$5="Periodic"),IF(AND(33&gt;='Schedule_Inputs'!$B$5,MOD(33-'Schedule_Inputs'!$B$5,'Schedule_Inputs'!$E$5)=0,(33-'Schedule_Inputs'!$B$5)/'Schedule_Inputs'!$E$5&lt;'Schedule_Inputs'!$D$5),$C5/'Schedule_Inputs'!$D$5,0),0))))</f>
        <v/>
      </c>
      <c r="AL5" s="231">
        <f>IF('Schedule_Inputs'!$C$5="Blueprint",$C5*IF(34-'Schedule_Inputs'!$B$5=0,'Assumptions'!$B$21,IF(34-'Schedule_Inputs'!$B$5=1,'Assumptions'!$C$21,IF(34-'Schedule_Inputs'!$B$5=2,'Assumptions'!$D$21,0))),IF('Schedule_Inputs'!$C$5="Launch",$C5*IF(34-'Schedule_Inputs'!$B$5=0,'Assumptions'!$B$22,IF(34-'Schedule_Inputs'!$B$5=1,'Assumptions'!$C$22,IF(34-'Schedule_Inputs'!$B$5=2,'Assumptions'!$D$22,IF(34-'Schedule_Inputs'!$B$5=3,'Assumptions'!$B$23,0)))),IF('Schedule_Inputs'!$C$5="Office Setup",$C5*IF(34-'Schedule_Inputs'!$B$5=0,'Assumptions'!$B$24,IF(34-'Schedule_Inputs'!$B$5=1,'Assumptions'!$C$24,IF(34-'Schedule_Inputs'!$B$5=2,'Assumptions'!$D$24,0))),IF(OR('Schedule_Inputs'!$C$5="Monthly",'Schedule_Inputs'!$C$5="Periodic"),IF(AND(34&gt;='Schedule_Inputs'!$B$5,MOD(34-'Schedule_Inputs'!$B$5,'Schedule_Inputs'!$E$5)=0,(34-'Schedule_Inputs'!$B$5)/'Schedule_Inputs'!$E$5&lt;'Schedule_Inputs'!$D$5),$C5/'Schedule_Inputs'!$D$5,0),0))))</f>
        <v/>
      </c>
      <c r="AM5" s="231">
        <f>IF('Schedule_Inputs'!$C$5="Blueprint",$C5*IF(35-'Schedule_Inputs'!$B$5=0,'Assumptions'!$B$21,IF(35-'Schedule_Inputs'!$B$5=1,'Assumptions'!$C$21,IF(35-'Schedule_Inputs'!$B$5=2,'Assumptions'!$D$21,0))),IF('Schedule_Inputs'!$C$5="Launch",$C5*IF(35-'Schedule_Inputs'!$B$5=0,'Assumptions'!$B$22,IF(35-'Schedule_Inputs'!$B$5=1,'Assumptions'!$C$22,IF(35-'Schedule_Inputs'!$B$5=2,'Assumptions'!$D$22,IF(35-'Schedule_Inputs'!$B$5=3,'Assumptions'!$B$23,0)))),IF('Schedule_Inputs'!$C$5="Office Setup",$C5*IF(35-'Schedule_Inputs'!$B$5=0,'Assumptions'!$B$24,IF(35-'Schedule_Inputs'!$B$5=1,'Assumptions'!$C$24,IF(35-'Schedule_Inputs'!$B$5=2,'Assumptions'!$D$24,0))),IF(OR('Schedule_Inputs'!$C$5="Monthly",'Schedule_Inputs'!$C$5="Periodic"),IF(AND(35&gt;='Schedule_Inputs'!$B$5,MOD(35-'Schedule_Inputs'!$B$5,'Schedule_Inputs'!$E$5)=0,(35-'Schedule_Inputs'!$B$5)/'Schedule_Inputs'!$E$5&lt;'Schedule_Inputs'!$D$5),$C5/'Schedule_Inputs'!$D$5,0),0))))</f>
        <v/>
      </c>
      <c r="AN5" s="231">
        <f>IF('Schedule_Inputs'!$C$5="Blueprint",$C5*IF(36-'Schedule_Inputs'!$B$5=0,'Assumptions'!$B$21,IF(36-'Schedule_Inputs'!$B$5=1,'Assumptions'!$C$21,IF(36-'Schedule_Inputs'!$B$5=2,'Assumptions'!$D$21,0))),IF('Schedule_Inputs'!$C$5="Launch",$C5*IF(36-'Schedule_Inputs'!$B$5=0,'Assumptions'!$B$22,IF(36-'Schedule_Inputs'!$B$5=1,'Assumptions'!$C$22,IF(36-'Schedule_Inputs'!$B$5=2,'Assumptions'!$D$22,IF(36-'Schedule_Inputs'!$B$5=3,'Assumptions'!$B$23,0)))),IF('Schedule_Inputs'!$C$5="Office Setup",$C5*IF(36-'Schedule_Inputs'!$B$5=0,'Assumptions'!$B$24,IF(36-'Schedule_Inputs'!$B$5=1,'Assumptions'!$C$24,IF(36-'Schedule_Inputs'!$B$5=2,'Assumptions'!$D$24,0))),IF(OR('Schedule_Inputs'!$C$5="Monthly",'Schedule_Inputs'!$C$5="Periodic"),IF(AND(36&gt;='Schedule_Inputs'!$B$5,MOD(36-'Schedule_Inputs'!$B$5,'Schedule_Inputs'!$E$5)=0,(36-'Schedule_Inputs'!$B$5)/'Schedule_Inputs'!$E$5&lt;'Schedule_Inputs'!$D$5),$C5/'Schedule_Inputs'!$D$5,0),0))))</f>
        <v/>
      </c>
    </row>
    <row r="6">
      <c r="A6" s="106" t="inlineStr">
        <is>
          <t>Launch 01</t>
        </is>
      </c>
      <c r="B6" s="106" t="n">
        <v>1</v>
      </c>
      <c r="C6" s="230" t="n">
        <v>29500</v>
      </c>
      <c r="D6" s="231" t="inlineStr">
        <is>
          <t>30 / 30 / 30 / 10</t>
        </is>
      </c>
      <c r="E6" s="231">
        <f>IF('Schedule_Inputs'!$C$6="Blueprint",$C6*IF(1-'Schedule_Inputs'!$B$6=0,'Assumptions'!$B$21,IF(1-'Schedule_Inputs'!$B$6=1,'Assumptions'!$C$21,IF(1-'Schedule_Inputs'!$B$6=2,'Assumptions'!$D$21,0))),IF('Schedule_Inputs'!$C$6="Launch",$C6*IF(1-'Schedule_Inputs'!$B$6=0,'Assumptions'!$B$22,IF(1-'Schedule_Inputs'!$B$6=1,'Assumptions'!$C$22,IF(1-'Schedule_Inputs'!$B$6=2,'Assumptions'!$D$22,IF(1-'Schedule_Inputs'!$B$6=3,'Assumptions'!$B$23,0)))),IF('Schedule_Inputs'!$C$6="Office Setup",$C6*IF(1-'Schedule_Inputs'!$B$6=0,'Assumptions'!$B$24,IF(1-'Schedule_Inputs'!$B$6=1,'Assumptions'!$C$24,IF(1-'Schedule_Inputs'!$B$6=2,'Assumptions'!$D$24,0))),IF(OR('Schedule_Inputs'!$C$6="Monthly",'Schedule_Inputs'!$C$6="Periodic"),IF(AND(1&gt;='Schedule_Inputs'!$B$6,MOD(1-'Schedule_Inputs'!$B$6,'Schedule_Inputs'!$E$6)=0,(1-'Schedule_Inputs'!$B$6)/'Schedule_Inputs'!$E$6&lt;'Schedule_Inputs'!$D$6),$C6/'Schedule_Inputs'!$D$6,0),0))))</f>
        <v/>
      </c>
      <c r="F6" s="231">
        <f>IF('Schedule_Inputs'!$C$6="Blueprint",$C6*IF(2-'Schedule_Inputs'!$B$6=0,'Assumptions'!$B$21,IF(2-'Schedule_Inputs'!$B$6=1,'Assumptions'!$C$21,IF(2-'Schedule_Inputs'!$B$6=2,'Assumptions'!$D$21,0))),IF('Schedule_Inputs'!$C$6="Launch",$C6*IF(2-'Schedule_Inputs'!$B$6=0,'Assumptions'!$B$22,IF(2-'Schedule_Inputs'!$B$6=1,'Assumptions'!$C$22,IF(2-'Schedule_Inputs'!$B$6=2,'Assumptions'!$D$22,IF(2-'Schedule_Inputs'!$B$6=3,'Assumptions'!$B$23,0)))),IF('Schedule_Inputs'!$C$6="Office Setup",$C6*IF(2-'Schedule_Inputs'!$B$6=0,'Assumptions'!$B$24,IF(2-'Schedule_Inputs'!$B$6=1,'Assumptions'!$C$24,IF(2-'Schedule_Inputs'!$B$6=2,'Assumptions'!$D$24,0))),IF(OR('Schedule_Inputs'!$C$6="Monthly",'Schedule_Inputs'!$C$6="Periodic"),IF(AND(2&gt;='Schedule_Inputs'!$B$6,MOD(2-'Schedule_Inputs'!$B$6,'Schedule_Inputs'!$E$6)=0,(2-'Schedule_Inputs'!$B$6)/'Schedule_Inputs'!$E$6&lt;'Schedule_Inputs'!$D$6),$C6/'Schedule_Inputs'!$D$6,0),0))))</f>
        <v/>
      </c>
      <c r="G6" s="231">
        <f>IF('Schedule_Inputs'!$C$6="Blueprint",$C6*IF(3-'Schedule_Inputs'!$B$6=0,'Assumptions'!$B$21,IF(3-'Schedule_Inputs'!$B$6=1,'Assumptions'!$C$21,IF(3-'Schedule_Inputs'!$B$6=2,'Assumptions'!$D$21,0))),IF('Schedule_Inputs'!$C$6="Launch",$C6*IF(3-'Schedule_Inputs'!$B$6=0,'Assumptions'!$B$22,IF(3-'Schedule_Inputs'!$B$6=1,'Assumptions'!$C$22,IF(3-'Schedule_Inputs'!$B$6=2,'Assumptions'!$D$22,IF(3-'Schedule_Inputs'!$B$6=3,'Assumptions'!$B$23,0)))),IF('Schedule_Inputs'!$C$6="Office Setup",$C6*IF(3-'Schedule_Inputs'!$B$6=0,'Assumptions'!$B$24,IF(3-'Schedule_Inputs'!$B$6=1,'Assumptions'!$C$24,IF(3-'Schedule_Inputs'!$B$6=2,'Assumptions'!$D$24,0))),IF(OR('Schedule_Inputs'!$C$6="Monthly",'Schedule_Inputs'!$C$6="Periodic"),IF(AND(3&gt;='Schedule_Inputs'!$B$6,MOD(3-'Schedule_Inputs'!$B$6,'Schedule_Inputs'!$E$6)=0,(3-'Schedule_Inputs'!$B$6)/'Schedule_Inputs'!$E$6&lt;'Schedule_Inputs'!$D$6),$C6/'Schedule_Inputs'!$D$6,0),0))))</f>
        <v/>
      </c>
      <c r="H6" s="231">
        <f>IF('Schedule_Inputs'!$C$6="Blueprint",$C6*IF(4-'Schedule_Inputs'!$B$6=0,'Assumptions'!$B$21,IF(4-'Schedule_Inputs'!$B$6=1,'Assumptions'!$C$21,IF(4-'Schedule_Inputs'!$B$6=2,'Assumptions'!$D$21,0))),IF('Schedule_Inputs'!$C$6="Launch",$C6*IF(4-'Schedule_Inputs'!$B$6=0,'Assumptions'!$B$22,IF(4-'Schedule_Inputs'!$B$6=1,'Assumptions'!$C$22,IF(4-'Schedule_Inputs'!$B$6=2,'Assumptions'!$D$22,IF(4-'Schedule_Inputs'!$B$6=3,'Assumptions'!$B$23,0)))),IF('Schedule_Inputs'!$C$6="Office Setup",$C6*IF(4-'Schedule_Inputs'!$B$6=0,'Assumptions'!$B$24,IF(4-'Schedule_Inputs'!$B$6=1,'Assumptions'!$C$24,IF(4-'Schedule_Inputs'!$B$6=2,'Assumptions'!$D$24,0))),IF(OR('Schedule_Inputs'!$C$6="Monthly",'Schedule_Inputs'!$C$6="Periodic"),IF(AND(4&gt;='Schedule_Inputs'!$B$6,MOD(4-'Schedule_Inputs'!$B$6,'Schedule_Inputs'!$E$6)=0,(4-'Schedule_Inputs'!$B$6)/'Schedule_Inputs'!$E$6&lt;'Schedule_Inputs'!$D$6),$C6/'Schedule_Inputs'!$D$6,0),0))))</f>
        <v/>
      </c>
      <c r="I6" s="231">
        <f>IF('Schedule_Inputs'!$C$6="Blueprint",$C6*IF(5-'Schedule_Inputs'!$B$6=0,'Assumptions'!$B$21,IF(5-'Schedule_Inputs'!$B$6=1,'Assumptions'!$C$21,IF(5-'Schedule_Inputs'!$B$6=2,'Assumptions'!$D$21,0))),IF('Schedule_Inputs'!$C$6="Launch",$C6*IF(5-'Schedule_Inputs'!$B$6=0,'Assumptions'!$B$22,IF(5-'Schedule_Inputs'!$B$6=1,'Assumptions'!$C$22,IF(5-'Schedule_Inputs'!$B$6=2,'Assumptions'!$D$22,IF(5-'Schedule_Inputs'!$B$6=3,'Assumptions'!$B$23,0)))),IF('Schedule_Inputs'!$C$6="Office Setup",$C6*IF(5-'Schedule_Inputs'!$B$6=0,'Assumptions'!$B$24,IF(5-'Schedule_Inputs'!$B$6=1,'Assumptions'!$C$24,IF(5-'Schedule_Inputs'!$B$6=2,'Assumptions'!$D$24,0))),IF(OR('Schedule_Inputs'!$C$6="Monthly",'Schedule_Inputs'!$C$6="Periodic"),IF(AND(5&gt;='Schedule_Inputs'!$B$6,MOD(5-'Schedule_Inputs'!$B$6,'Schedule_Inputs'!$E$6)=0,(5-'Schedule_Inputs'!$B$6)/'Schedule_Inputs'!$E$6&lt;'Schedule_Inputs'!$D$6),$C6/'Schedule_Inputs'!$D$6,0),0))))</f>
        <v/>
      </c>
      <c r="J6" s="231">
        <f>IF('Schedule_Inputs'!$C$6="Blueprint",$C6*IF(6-'Schedule_Inputs'!$B$6=0,'Assumptions'!$B$21,IF(6-'Schedule_Inputs'!$B$6=1,'Assumptions'!$C$21,IF(6-'Schedule_Inputs'!$B$6=2,'Assumptions'!$D$21,0))),IF('Schedule_Inputs'!$C$6="Launch",$C6*IF(6-'Schedule_Inputs'!$B$6=0,'Assumptions'!$B$22,IF(6-'Schedule_Inputs'!$B$6=1,'Assumptions'!$C$22,IF(6-'Schedule_Inputs'!$B$6=2,'Assumptions'!$D$22,IF(6-'Schedule_Inputs'!$B$6=3,'Assumptions'!$B$23,0)))),IF('Schedule_Inputs'!$C$6="Office Setup",$C6*IF(6-'Schedule_Inputs'!$B$6=0,'Assumptions'!$B$24,IF(6-'Schedule_Inputs'!$B$6=1,'Assumptions'!$C$24,IF(6-'Schedule_Inputs'!$B$6=2,'Assumptions'!$D$24,0))),IF(OR('Schedule_Inputs'!$C$6="Monthly",'Schedule_Inputs'!$C$6="Periodic"),IF(AND(6&gt;='Schedule_Inputs'!$B$6,MOD(6-'Schedule_Inputs'!$B$6,'Schedule_Inputs'!$E$6)=0,(6-'Schedule_Inputs'!$B$6)/'Schedule_Inputs'!$E$6&lt;'Schedule_Inputs'!$D$6),$C6/'Schedule_Inputs'!$D$6,0),0))))</f>
        <v/>
      </c>
      <c r="K6" s="231">
        <f>IF('Schedule_Inputs'!$C$6="Blueprint",$C6*IF(7-'Schedule_Inputs'!$B$6=0,'Assumptions'!$B$21,IF(7-'Schedule_Inputs'!$B$6=1,'Assumptions'!$C$21,IF(7-'Schedule_Inputs'!$B$6=2,'Assumptions'!$D$21,0))),IF('Schedule_Inputs'!$C$6="Launch",$C6*IF(7-'Schedule_Inputs'!$B$6=0,'Assumptions'!$B$22,IF(7-'Schedule_Inputs'!$B$6=1,'Assumptions'!$C$22,IF(7-'Schedule_Inputs'!$B$6=2,'Assumptions'!$D$22,IF(7-'Schedule_Inputs'!$B$6=3,'Assumptions'!$B$23,0)))),IF('Schedule_Inputs'!$C$6="Office Setup",$C6*IF(7-'Schedule_Inputs'!$B$6=0,'Assumptions'!$B$24,IF(7-'Schedule_Inputs'!$B$6=1,'Assumptions'!$C$24,IF(7-'Schedule_Inputs'!$B$6=2,'Assumptions'!$D$24,0))),IF(OR('Schedule_Inputs'!$C$6="Monthly",'Schedule_Inputs'!$C$6="Periodic"),IF(AND(7&gt;='Schedule_Inputs'!$B$6,MOD(7-'Schedule_Inputs'!$B$6,'Schedule_Inputs'!$E$6)=0,(7-'Schedule_Inputs'!$B$6)/'Schedule_Inputs'!$E$6&lt;'Schedule_Inputs'!$D$6),$C6/'Schedule_Inputs'!$D$6,0),0))))</f>
        <v/>
      </c>
      <c r="L6" s="231">
        <f>IF('Schedule_Inputs'!$C$6="Blueprint",$C6*IF(8-'Schedule_Inputs'!$B$6=0,'Assumptions'!$B$21,IF(8-'Schedule_Inputs'!$B$6=1,'Assumptions'!$C$21,IF(8-'Schedule_Inputs'!$B$6=2,'Assumptions'!$D$21,0))),IF('Schedule_Inputs'!$C$6="Launch",$C6*IF(8-'Schedule_Inputs'!$B$6=0,'Assumptions'!$B$22,IF(8-'Schedule_Inputs'!$B$6=1,'Assumptions'!$C$22,IF(8-'Schedule_Inputs'!$B$6=2,'Assumptions'!$D$22,IF(8-'Schedule_Inputs'!$B$6=3,'Assumptions'!$B$23,0)))),IF('Schedule_Inputs'!$C$6="Office Setup",$C6*IF(8-'Schedule_Inputs'!$B$6=0,'Assumptions'!$B$24,IF(8-'Schedule_Inputs'!$B$6=1,'Assumptions'!$C$24,IF(8-'Schedule_Inputs'!$B$6=2,'Assumptions'!$D$24,0))),IF(OR('Schedule_Inputs'!$C$6="Monthly",'Schedule_Inputs'!$C$6="Periodic"),IF(AND(8&gt;='Schedule_Inputs'!$B$6,MOD(8-'Schedule_Inputs'!$B$6,'Schedule_Inputs'!$E$6)=0,(8-'Schedule_Inputs'!$B$6)/'Schedule_Inputs'!$E$6&lt;'Schedule_Inputs'!$D$6),$C6/'Schedule_Inputs'!$D$6,0),0))))</f>
        <v/>
      </c>
      <c r="M6" s="231">
        <f>IF('Schedule_Inputs'!$C$6="Blueprint",$C6*IF(9-'Schedule_Inputs'!$B$6=0,'Assumptions'!$B$21,IF(9-'Schedule_Inputs'!$B$6=1,'Assumptions'!$C$21,IF(9-'Schedule_Inputs'!$B$6=2,'Assumptions'!$D$21,0))),IF('Schedule_Inputs'!$C$6="Launch",$C6*IF(9-'Schedule_Inputs'!$B$6=0,'Assumptions'!$B$22,IF(9-'Schedule_Inputs'!$B$6=1,'Assumptions'!$C$22,IF(9-'Schedule_Inputs'!$B$6=2,'Assumptions'!$D$22,IF(9-'Schedule_Inputs'!$B$6=3,'Assumptions'!$B$23,0)))),IF('Schedule_Inputs'!$C$6="Office Setup",$C6*IF(9-'Schedule_Inputs'!$B$6=0,'Assumptions'!$B$24,IF(9-'Schedule_Inputs'!$B$6=1,'Assumptions'!$C$24,IF(9-'Schedule_Inputs'!$B$6=2,'Assumptions'!$D$24,0))),IF(OR('Schedule_Inputs'!$C$6="Monthly",'Schedule_Inputs'!$C$6="Periodic"),IF(AND(9&gt;='Schedule_Inputs'!$B$6,MOD(9-'Schedule_Inputs'!$B$6,'Schedule_Inputs'!$E$6)=0,(9-'Schedule_Inputs'!$B$6)/'Schedule_Inputs'!$E$6&lt;'Schedule_Inputs'!$D$6),$C6/'Schedule_Inputs'!$D$6,0),0))))</f>
        <v/>
      </c>
      <c r="N6" s="231">
        <f>IF('Schedule_Inputs'!$C$6="Blueprint",$C6*IF(10-'Schedule_Inputs'!$B$6=0,'Assumptions'!$B$21,IF(10-'Schedule_Inputs'!$B$6=1,'Assumptions'!$C$21,IF(10-'Schedule_Inputs'!$B$6=2,'Assumptions'!$D$21,0))),IF('Schedule_Inputs'!$C$6="Launch",$C6*IF(10-'Schedule_Inputs'!$B$6=0,'Assumptions'!$B$22,IF(10-'Schedule_Inputs'!$B$6=1,'Assumptions'!$C$22,IF(10-'Schedule_Inputs'!$B$6=2,'Assumptions'!$D$22,IF(10-'Schedule_Inputs'!$B$6=3,'Assumptions'!$B$23,0)))),IF('Schedule_Inputs'!$C$6="Office Setup",$C6*IF(10-'Schedule_Inputs'!$B$6=0,'Assumptions'!$B$24,IF(10-'Schedule_Inputs'!$B$6=1,'Assumptions'!$C$24,IF(10-'Schedule_Inputs'!$B$6=2,'Assumptions'!$D$24,0))),IF(OR('Schedule_Inputs'!$C$6="Monthly",'Schedule_Inputs'!$C$6="Periodic"),IF(AND(10&gt;='Schedule_Inputs'!$B$6,MOD(10-'Schedule_Inputs'!$B$6,'Schedule_Inputs'!$E$6)=0,(10-'Schedule_Inputs'!$B$6)/'Schedule_Inputs'!$E$6&lt;'Schedule_Inputs'!$D$6),$C6/'Schedule_Inputs'!$D$6,0),0))))</f>
        <v/>
      </c>
      <c r="O6" s="231">
        <f>IF('Schedule_Inputs'!$C$6="Blueprint",$C6*IF(11-'Schedule_Inputs'!$B$6=0,'Assumptions'!$B$21,IF(11-'Schedule_Inputs'!$B$6=1,'Assumptions'!$C$21,IF(11-'Schedule_Inputs'!$B$6=2,'Assumptions'!$D$21,0))),IF('Schedule_Inputs'!$C$6="Launch",$C6*IF(11-'Schedule_Inputs'!$B$6=0,'Assumptions'!$B$22,IF(11-'Schedule_Inputs'!$B$6=1,'Assumptions'!$C$22,IF(11-'Schedule_Inputs'!$B$6=2,'Assumptions'!$D$22,IF(11-'Schedule_Inputs'!$B$6=3,'Assumptions'!$B$23,0)))),IF('Schedule_Inputs'!$C$6="Office Setup",$C6*IF(11-'Schedule_Inputs'!$B$6=0,'Assumptions'!$B$24,IF(11-'Schedule_Inputs'!$B$6=1,'Assumptions'!$C$24,IF(11-'Schedule_Inputs'!$B$6=2,'Assumptions'!$D$24,0))),IF(OR('Schedule_Inputs'!$C$6="Monthly",'Schedule_Inputs'!$C$6="Periodic"),IF(AND(11&gt;='Schedule_Inputs'!$B$6,MOD(11-'Schedule_Inputs'!$B$6,'Schedule_Inputs'!$E$6)=0,(11-'Schedule_Inputs'!$B$6)/'Schedule_Inputs'!$E$6&lt;'Schedule_Inputs'!$D$6),$C6/'Schedule_Inputs'!$D$6,0),0))))</f>
        <v/>
      </c>
      <c r="P6" s="231">
        <f>IF('Schedule_Inputs'!$C$6="Blueprint",$C6*IF(12-'Schedule_Inputs'!$B$6=0,'Assumptions'!$B$21,IF(12-'Schedule_Inputs'!$B$6=1,'Assumptions'!$C$21,IF(12-'Schedule_Inputs'!$B$6=2,'Assumptions'!$D$21,0))),IF('Schedule_Inputs'!$C$6="Launch",$C6*IF(12-'Schedule_Inputs'!$B$6=0,'Assumptions'!$B$22,IF(12-'Schedule_Inputs'!$B$6=1,'Assumptions'!$C$22,IF(12-'Schedule_Inputs'!$B$6=2,'Assumptions'!$D$22,IF(12-'Schedule_Inputs'!$B$6=3,'Assumptions'!$B$23,0)))),IF('Schedule_Inputs'!$C$6="Office Setup",$C6*IF(12-'Schedule_Inputs'!$B$6=0,'Assumptions'!$B$24,IF(12-'Schedule_Inputs'!$B$6=1,'Assumptions'!$C$24,IF(12-'Schedule_Inputs'!$B$6=2,'Assumptions'!$D$24,0))),IF(OR('Schedule_Inputs'!$C$6="Monthly",'Schedule_Inputs'!$C$6="Periodic"),IF(AND(12&gt;='Schedule_Inputs'!$B$6,MOD(12-'Schedule_Inputs'!$B$6,'Schedule_Inputs'!$E$6)=0,(12-'Schedule_Inputs'!$B$6)/'Schedule_Inputs'!$E$6&lt;'Schedule_Inputs'!$D$6),$C6/'Schedule_Inputs'!$D$6,0),0))))</f>
        <v/>
      </c>
      <c r="Q6" s="231">
        <f>IF('Schedule_Inputs'!$C$6="Blueprint",$C6*IF(13-'Schedule_Inputs'!$B$6=0,'Assumptions'!$B$21,IF(13-'Schedule_Inputs'!$B$6=1,'Assumptions'!$C$21,IF(13-'Schedule_Inputs'!$B$6=2,'Assumptions'!$D$21,0))),IF('Schedule_Inputs'!$C$6="Launch",$C6*IF(13-'Schedule_Inputs'!$B$6=0,'Assumptions'!$B$22,IF(13-'Schedule_Inputs'!$B$6=1,'Assumptions'!$C$22,IF(13-'Schedule_Inputs'!$B$6=2,'Assumptions'!$D$22,IF(13-'Schedule_Inputs'!$B$6=3,'Assumptions'!$B$23,0)))),IF('Schedule_Inputs'!$C$6="Office Setup",$C6*IF(13-'Schedule_Inputs'!$B$6=0,'Assumptions'!$B$24,IF(13-'Schedule_Inputs'!$B$6=1,'Assumptions'!$C$24,IF(13-'Schedule_Inputs'!$B$6=2,'Assumptions'!$D$24,0))),IF(OR('Schedule_Inputs'!$C$6="Monthly",'Schedule_Inputs'!$C$6="Periodic"),IF(AND(13&gt;='Schedule_Inputs'!$B$6,MOD(13-'Schedule_Inputs'!$B$6,'Schedule_Inputs'!$E$6)=0,(13-'Schedule_Inputs'!$B$6)/'Schedule_Inputs'!$E$6&lt;'Schedule_Inputs'!$D$6),$C6/'Schedule_Inputs'!$D$6,0),0))))</f>
        <v/>
      </c>
      <c r="R6" s="231">
        <f>IF('Schedule_Inputs'!$C$6="Blueprint",$C6*IF(14-'Schedule_Inputs'!$B$6=0,'Assumptions'!$B$21,IF(14-'Schedule_Inputs'!$B$6=1,'Assumptions'!$C$21,IF(14-'Schedule_Inputs'!$B$6=2,'Assumptions'!$D$21,0))),IF('Schedule_Inputs'!$C$6="Launch",$C6*IF(14-'Schedule_Inputs'!$B$6=0,'Assumptions'!$B$22,IF(14-'Schedule_Inputs'!$B$6=1,'Assumptions'!$C$22,IF(14-'Schedule_Inputs'!$B$6=2,'Assumptions'!$D$22,IF(14-'Schedule_Inputs'!$B$6=3,'Assumptions'!$B$23,0)))),IF('Schedule_Inputs'!$C$6="Office Setup",$C6*IF(14-'Schedule_Inputs'!$B$6=0,'Assumptions'!$B$24,IF(14-'Schedule_Inputs'!$B$6=1,'Assumptions'!$C$24,IF(14-'Schedule_Inputs'!$B$6=2,'Assumptions'!$D$24,0))),IF(OR('Schedule_Inputs'!$C$6="Monthly",'Schedule_Inputs'!$C$6="Periodic"),IF(AND(14&gt;='Schedule_Inputs'!$B$6,MOD(14-'Schedule_Inputs'!$B$6,'Schedule_Inputs'!$E$6)=0,(14-'Schedule_Inputs'!$B$6)/'Schedule_Inputs'!$E$6&lt;'Schedule_Inputs'!$D$6),$C6/'Schedule_Inputs'!$D$6,0),0))))</f>
        <v/>
      </c>
      <c r="S6" s="231">
        <f>IF('Schedule_Inputs'!$C$6="Blueprint",$C6*IF(15-'Schedule_Inputs'!$B$6=0,'Assumptions'!$B$21,IF(15-'Schedule_Inputs'!$B$6=1,'Assumptions'!$C$21,IF(15-'Schedule_Inputs'!$B$6=2,'Assumptions'!$D$21,0))),IF('Schedule_Inputs'!$C$6="Launch",$C6*IF(15-'Schedule_Inputs'!$B$6=0,'Assumptions'!$B$22,IF(15-'Schedule_Inputs'!$B$6=1,'Assumptions'!$C$22,IF(15-'Schedule_Inputs'!$B$6=2,'Assumptions'!$D$22,IF(15-'Schedule_Inputs'!$B$6=3,'Assumptions'!$B$23,0)))),IF('Schedule_Inputs'!$C$6="Office Setup",$C6*IF(15-'Schedule_Inputs'!$B$6=0,'Assumptions'!$B$24,IF(15-'Schedule_Inputs'!$B$6=1,'Assumptions'!$C$24,IF(15-'Schedule_Inputs'!$B$6=2,'Assumptions'!$D$24,0))),IF(OR('Schedule_Inputs'!$C$6="Monthly",'Schedule_Inputs'!$C$6="Periodic"),IF(AND(15&gt;='Schedule_Inputs'!$B$6,MOD(15-'Schedule_Inputs'!$B$6,'Schedule_Inputs'!$E$6)=0,(15-'Schedule_Inputs'!$B$6)/'Schedule_Inputs'!$E$6&lt;'Schedule_Inputs'!$D$6),$C6/'Schedule_Inputs'!$D$6,0),0))))</f>
        <v/>
      </c>
      <c r="T6" s="231">
        <f>IF('Schedule_Inputs'!$C$6="Blueprint",$C6*IF(16-'Schedule_Inputs'!$B$6=0,'Assumptions'!$B$21,IF(16-'Schedule_Inputs'!$B$6=1,'Assumptions'!$C$21,IF(16-'Schedule_Inputs'!$B$6=2,'Assumptions'!$D$21,0))),IF('Schedule_Inputs'!$C$6="Launch",$C6*IF(16-'Schedule_Inputs'!$B$6=0,'Assumptions'!$B$22,IF(16-'Schedule_Inputs'!$B$6=1,'Assumptions'!$C$22,IF(16-'Schedule_Inputs'!$B$6=2,'Assumptions'!$D$22,IF(16-'Schedule_Inputs'!$B$6=3,'Assumptions'!$B$23,0)))),IF('Schedule_Inputs'!$C$6="Office Setup",$C6*IF(16-'Schedule_Inputs'!$B$6=0,'Assumptions'!$B$24,IF(16-'Schedule_Inputs'!$B$6=1,'Assumptions'!$C$24,IF(16-'Schedule_Inputs'!$B$6=2,'Assumptions'!$D$24,0))),IF(OR('Schedule_Inputs'!$C$6="Monthly",'Schedule_Inputs'!$C$6="Periodic"),IF(AND(16&gt;='Schedule_Inputs'!$B$6,MOD(16-'Schedule_Inputs'!$B$6,'Schedule_Inputs'!$E$6)=0,(16-'Schedule_Inputs'!$B$6)/'Schedule_Inputs'!$E$6&lt;'Schedule_Inputs'!$D$6),$C6/'Schedule_Inputs'!$D$6,0),0))))</f>
        <v/>
      </c>
      <c r="U6" s="231">
        <f>IF('Schedule_Inputs'!$C$6="Blueprint",$C6*IF(17-'Schedule_Inputs'!$B$6=0,'Assumptions'!$B$21,IF(17-'Schedule_Inputs'!$B$6=1,'Assumptions'!$C$21,IF(17-'Schedule_Inputs'!$B$6=2,'Assumptions'!$D$21,0))),IF('Schedule_Inputs'!$C$6="Launch",$C6*IF(17-'Schedule_Inputs'!$B$6=0,'Assumptions'!$B$22,IF(17-'Schedule_Inputs'!$B$6=1,'Assumptions'!$C$22,IF(17-'Schedule_Inputs'!$B$6=2,'Assumptions'!$D$22,IF(17-'Schedule_Inputs'!$B$6=3,'Assumptions'!$B$23,0)))),IF('Schedule_Inputs'!$C$6="Office Setup",$C6*IF(17-'Schedule_Inputs'!$B$6=0,'Assumptions'!$B$24,IF(17-'Schedule_Inputs'!$B$6=1,'Assumptions'!$C$24,IF(17-'Schedule_Inputs'!$B$6=2,'Assumptions'!$D$24,0))),IF(OR('Schedule_Inputs'!$C$6="Monthly",'Schedule_Inputs'!$C$6="Periodic"),IF(AND(17&gt;='Schedule_Inputs'!$B$6,MOD(17-'Schedule_Inputs'!$B$6,'Schedule_Inputs'!$E$6)=0,(17-'Schedule_Inputs'!$B$6)/'Schedule_Inputs'!$E$6&lt;'Schedule_Inputs'!$D$6),$C6/'Schedule_Inputs'!$D$6,0),0))))</f>
        <v/>
      </c>
      <c r="V6" s="231">
        <f>IF('Schedule_Inputs'!$C$6="Blueprint",$C6*IF(18-'Schedule_Inputs'!$B$6=0,'Assumptions'!$B$21,IF(18-'Schedule_Inputs'!$B$6=1,'Assumptions'!$C$21,IF(18-'Schedule_Inputs'!$B$6=2,'Assumptions'!$D$21,0))),IF('Schedule_Inputs'!$C$6="Launch",$C6*IF(18-'Schedule_Inputs'!$B$6=0,'Assumptions'!$B$22,IF(18-'Schedule_Inputs'!$B$6=1,'Assumptions'!$C$22,IF(18-'Schedule_Inputs'!$B$6=2,'Assumptions'!$D$22,IF(18-'Schedule_Inputs'!$B$6=3,'Assumptions'!$B$23,0)))),IF('Schedule_Inputs'!$C$6="Office Setup",$C6*IF(18-'Schedule_Inputs'!$B$6=0,'Assumptions'!$B$24,IF(18-'Schedule_Inputs'!$B$6=1,'Assumptions'!$C$24,IF(18-'Schedule_Inputs'!$B$6=2,'Assumptions'!$D$24,0))),IF(OR('Schedule_Inputs'!$C$6="Monthly",'Schedule_Inputs'!$C$6="Periodic"),IF(AND(18&gt;='Schedule_Inputs'!$B$6,MOD(18-'Schedule_Inputs'!$B$6,'Schedule_Inputs'!$E$6)=0,(18-'Schedule_Inputs'!$B$6)/'Schedule_Inputs'!$E$6&lt;'Schedule_Inputs'!$D$6),$C6/'Schedule_Inputs'!$D$6,0),0))))</f>
        <v/>
      </c>
      <c r="W6" s="231">
        <f>IF('Schedule_Inputs'!$C$6="Blueprint",$C6*IF(19-'Schedule_Inputs'!$B$6=0,'Assumptions'!$B$21,IF(19-'Schedule_Inputs'!$B$6=1,'Assumptions'!$C$21,IF(19-'Schedule_Inputs'!$B$6=2,'Assumptions'!$D$21,0))),IF('Schedule_Inputs'!$C$6="Launch",$C6*IF(19-'Schedule_Inputs'!$B$6=0,'Assumptions'!$B$22,IF(19-'Schedule_Inputs'!$B$6=1,'Assumptions'!$C$22,IF(19-'Schedule_Inputs'!$B$6=2,'Assumptions'!$D$22,IF(19-'Schedule_Inputs'!$B$6=3,'Assumptions'!$B$23,0)))),IF('Schedule_Inputs'!$C$6="Office Setup",$C6*IF(19-'Schedule_Inputs'!$B$6=0,'Assumptions'!$B$24,IF(19-'Schedule_Inputs'!$B$6=1,'Assumptions'!$C$24,IF(19-'Schedule_Inputs'!$B$6=2,'Assumptions'!$D$24,0))),IF(OR('Schedule_Inputs'!$C$6="Monthly",'Schedule_Inputs'!$C$6="Periodic"),IF(AND(19&gt;='Schedule_Inputs'!$B$6,MOD(19-'Schedule_Inputs'!$B$6,'Schedule_Inputs'!$E$6)=0,(19-'Schedule_Inputs'!$B$6)/'Schedule_Inputs'!$E$6&lt;'Schedule_Inputs'!$D$6),$C6/'Schedule_Inputs'!$D$6,0),0))))</f>
        <v/>
      </c>
      <c r="X6" s="231">
        <f>IF('Schedule_Inputs'!$C$6="Blueprint",$C6*IF(20-'Schedule_Inputs'!$B$6=0,'Assumptions'!$B$21,IF(20-'Schedule_Inputs'!$B$6=1,'Assumptions'!$C$21,IF(20-'Schedule_Inputs'!$B$6=2,'Assumptions'!$D$21,0))),IF('Schedule_Inputs'!$C$6="Launch",$C6*IF(20-'Schedule_Inputs'!$B$6=0,'Assumptions'!$B$22,IF(20-'Schedule_Inputs'!$B$6=1,'Assumptions'!$C$22,IF(20-'Schedule_Inputs'!$B$6=2,'Assumptions'!$D$22,IF(20-'Schedule_Inputs'!$B$6=3,'Assumptions'!$B$23,0)))),IF('Schedule_Inputs'!$C$6="Office Setup",$C6*IF(20-'Schedule_Inputs'!$B$6=0,'Assumptions'!$B$24,IF(20-'Schedule_Inputs'!$B$6=1,'Assumptions'!$C$24,IF(20-'Schedule_Inputs'!$B$6=2,'Assumptions'!$D$24,0))),IF(OR('Schedule_Inputs'!$C$6="Monthly",'Schedule_Inputs'!$C$6="Periodic"),IF(AND(20&gt;='Schedule_Inputs'!$B$6,MOD(20-'Schedule_Inputs'!$B$6,'Schedule_Inputs'!$E$6)=0,(20-'Schedule_Inputs'!$B$6)/'Schedule_Inputs'!$E$6&lt;'Schedule_Inputs'!$D$6),$C6/'Schedule_Inputs'!$D$6,0),0))))</f>
        <v/>
      </c>
      <c r="Y6" s="231">
        <f>IF('Schedule_Inputs'!$C$6="Blueprint",$C6*IF(21-'Schedule_Inputs'!$B$6=0,'Assumptions'!$B$21,IF(21-'Schedule_Inputs'!$B$6=1,'Assumptions'!$C$21,IF(21-'Schedule_Inputs'!$B$6=2,'Assumptions'!$D$21,0))),IF('Schedule_Inputs'!$C$6="Launch",$C6*IF(21-'Schedule_Inputs'!$B$6=0,'Assumptions'!$B$22,IF(21-'Schedule_Inputs'!$B$6=1,'Assumptions'!$C$22,IF(21-'Schedule_Inputs'!$B$6=2,'Assumptions'!$D$22,IF(21-'Schedule_Inputs'!$B$6=3,'Assumptions'!$B$23,0)))),IF('Schedule_Inputs'!$C$6="Office Setup",$C6*IF(21-'Schedule_Inputs'!$B$6=0,'Assumptions'!$B$24,IF(21-'Schedule_Inputs'!$B$6=1,'Assumptions'!$C$24,IF(21-'Schedule_Inputs'!$B$6=2,'Assumptions'!$D$24,0))),IF(OR('Schedule_Inputs'!$C$6="Monthly",'Schedule_Inputs'!$C$6="Periodic"),IF(AND(21&gt;='Schedule_Inputs'!$B$6,MOD(21-'Schedule_Inputs'!$B$6,'Schedule_Inputs'!$E$6)=0,(21-'Schedule_Inputs'!$B$6)/'Schedule_Inputs'!$E$6&lt;'Schedule_Inputs'!$D$6),$C6/'Schedule_Inputs'!$D$6,0),0))))</f>
        <v/>
      </c>
      <c r="Z6" s="231">
        <f>IF('Schedule_Inputs'!$C$6="Blueprint",$C6*IF(22-'Schedule_Inputs'!$B$6=0,'Assumptions'!$B$21,IF(22-'Schedule_Inputs'!$B$6=1,'Assumptions'!$C$21,IF(22-'Schedule_Inputs'!$B$6=2,'Assumptions'!$D$21,0))),IF('Schedule_Inputs'!$C$6="Launch",$C6*IF(22-'Schedule_Inputs'!$B$6=0,'Assumptions'!$B$22,IF(22-'Schedule_Inputs'!$B$6=1,'Assumptions'!$C$22,IF(22-'Schedule_Inputs'!$B$6=2,'Assumptions'!$D$22,IF(22-'Schedule_Inputs'!$B$6=3,'Assumptions'!$B$23,0)))),IF('Schedule_Inputs'!$C$6="Office Setup",$C6*IF(22-'Schedule_Inputs'!$B$6=0,'Assumptions'!$B$24,IF(22-'Schedule_Inputs'!$B$6=1,'Assumptions'!$C$24,IF(22-'Schedule_Inputs'!$B$6=2,'Assumptions'!$D$24,0))),IF(OR('Schedule_Inputs'!$C$6="Monthly",'Schedule_Inputs'!$C$6="Periodic"),IF(AND(22&gt;='Schedule_Inputs'!$B$6,MOD(22-'Schedule_Inputs'!$B$6,'Schedule_Inputs'!$E$6)=0,(22-'Schedule_Inputs'!$B$6)/'Schedule_Inputs'!$E$6&lt;'Schedule_Inputs'!$D$6),$C6/'Schedule_Inputs'!$D$6,0),0))))</f>
        <v/>
      </c>
      <c r="AA6" s="231">
        <f>IF('Schedule_Inputs'!$C$6="Blueprint",$C6*IF(23-'Schedule_Inputs'!$B$6=0,'Assumptions'!$B$21,IF(23-'Schedule_Inputs'!$B$6=1,'Assumptions'!$C$21,IF(23-'Schedule_Inputs'!$B$6=2,'Assumptions'!$D$21,0))),IF('Schedule_Inputs'!$C$6="Launch",$C6*IF(23-'Schedule_Inputs'!$B$6=0,'Assumptions'!$B$22,IF(23-'Schedule_Inputs'!$B$6=1,'Assumptions'!$C$22,IF(23-'Schedule_Inputs'!$B$6=2,'Assumptions'!$D$22,IF(23-'Schedule_Inputs'!$B$6=3,'Assumptions'!$B$23,0)))),IF('Schedule_Inputs'!$C$6="Office Setup",$C6*IF(23-'Schedule_Inputs'!$B$6=0,'Assumptions'!$B$24,IF(23-'Schedule_Inputs'!$B$6=1,'Assumptions'!$C$24,IF(23-'Schedule_Inputs'!$B$6=2,'Assumptions'!$D$24,0))),IF(OR('Schedule_Inputs'!$C$6="Monthly",'Schedule_Inputs'!$C$6="Periodic"),IF(AND(23&gt;='Schedule_Inputs'!$B$6,MOD(23-'Schedule_Inputs'!$B$6,'Schedule_Inputs'!$E$6)=0,(23-'Schedule_Inputs'!$B$6)/'Schedule_Inputs'!$E$6&lt;'Schedule_Inputs'!$D$6),$C6/'Schedule_Inputs'!$D$6,0),0))))</f>
        <v/>
      </c>
      <c r="AB6" s="231">
        <f>IF('Schedule_Inputs'!$C$6="Blueprint",$C6*IF(24-'Schedule_Inputs'!$B$6=0,'Assumptions'!$B$21,IF(24-'Schedule_Inputs'!$B$6=1,'Assumptions'!$C$21,IF(24-'Schedule_Inputs'!$B$6=2,'Assumptions'!$D$21,0))),IF('Schedule_Inputs'!$C$6="Launch",$C6*IF(24-'Schedule_Inputs'!$B$6=0,'Assumptions'!$B$22,IF(24-'Schedule_Inputs'!$B$6=1,'Assumptions'!$C$22,IF(24-'Schedule_Inputs'!$B$6=2,'Assumptions'!$D$22,IF(24-'Schedule_Inputs'!$B$6=3,'Assumptions'!$B$23,0)))),IF('Schedule_Inputs'!$C$6="Office Setup",$C6*IF(24-'Schedule_Inputs'!$B$6=0,'Assumptions'!$B$24,IF(24-'Schedule_Inputs'!$B$6=1,'Assumptions'!$C$24,IF(24-'Schedule_Inputs'!$B$6=2,'Assumptions'!$D$24,0))),IF(OR('Schedule_Inputs'!$C$6="Monthly",'Schedule_Inputs'!$C$6="Periodic"),IF(AND(24&gt;='Schedule_Inputs'!$B$6,MOD(24-'Schedule_Inputs'!$B$6,'Schedule_Inputs'!$E$6)=0,(24-'Schedule_Inputs'!$B$6)/'Schedule_Inputs'!$E$6&lt;'Schedule_Inputs'!$D$6),$C6/'Schedule_Inputs'!$D$6,0),0))))</f>
        <v/>
      </c>
      <c r="AC6" s="231">
        <f>IF('Schedule_Inputs'!$C$6="Blueprint",$C6*IF(25-'Schedule_Inputs'!$B$6=0,'Assumptions'!$B$21,IF(25-'Schedule_Inputs'!$B$6=1,'Assumptions'!$C$21,IF(25-'Schedule_Inputs'!$B$6=2,'Assumptions'!$D$21,0))),IF('Schedule_Inputs'!$C$6="Launch",$C6*IF(25-'Schedule_Inputs'!$B$6=0,'Assumptions'!$B$22,IF(25-'Schedule_Inputs'!$B$6=1,'Assumptions'!$C$22,IF(25-'Schedule_Inputs'!$B$6=2,'Assumptions'!$D$22,IF(25-'Schedule_Inputs'!$B$6=3,'Assumptions'!$B$23,0)))),IF('Schedule_Inputs'!$C$6="Office Setup",$C6*IF(25-'Schedule_Inputs'!$B$6=0,'Assumptions'!$B$24,IF(25-'Schedule_Inputs'!$B$6=1,'Assumptions'!$C$24,IF(25-'Schedule_Inputs'!$B$6=2,'Assumptions'!$D$24,0))),IF(OR('Schedule_Inputs'!$C$6="Monthly",'Schedule_Inputs'!$C$6="Periodic"),IF(AND(25&gt;='Schedule_Inputs'!$B$6,MOD(25-'Schedule_Inputs'!$B$6,'Schedule_Inputs'!$E$6)=0,(25-'Schedule_Inputs'!$B$6)/'Schedule_Inputs'!$E$6&lt;'Schedule_Inputs'!$D$6),$C6/'Schedule_Inputs'!$D$6,0),0))))</f>
        <v/>
      </c>
      <c r="AD6" s="231">
        <f>IF('Schedule_Inputs'!$C$6="Blueprint",$C6*IF(26-'Schedule_Inputs'!$B$6=0,'Assumptions'!$B$21,IF(26-'Schedule_Inputs'!$B$6=1,'Assumptions'!$C$21,IF(26-'Schedule_Inputs'!$B$6=2,'Assumptions'!$D$21,0))),IF('Schedule_Inputs'!$C$6="Launch",$C6*IF(26-'Schedule_Inputs'!$B$6=0,'Assumptions'!$B$22,IF(26-'Schedule_Inputs'!$B$6=1,'Assumptions'!$C$22,IF(26-'Schedule_Inputs'!$B$6=2,'Assumptions'!$D$22,IF(26-'Schedule_Inputs'!$B$6=3,'Assumptions'!$B$23,0)))),IF('Schedule_Inputs'!$C$6="Office Setup",$C6*IF(26-'Schedule_Inputs'!$B$6=0,'Assumptions'!$B$24,IF(26-'Schedule_Inputs'!$B$6=1,'Assumptions'!$C$24,IF(26-'Schedule_Inputs'!$B$6=2,'Assumptions'!$D$24,0))),IF(OR('Schedule_Inputs'!$C$6="Monthly",'Schedule_Inputs'!$C$6="Periodic"),IF(AND(26&gt;='Schedule_Inputs'!$B$6,MOD(26-'Schedule_Inputs'!$B$6,'Schedule_Inputs'!$E$6)=0,(26-'Schedule_Inputs'!$B$6)/'Schedule_Inputs'!$E$6&lt;'Schedule_Inputs'!$D$6),$C6/'Schedule_Inputs'!$D$6,0),0))))</f>
        <v/>
      </c>
      <c r="AE6" s="231">
        <f>IF('Schedule_Inputs'!$C$6="Blueprint",$C6*IF(27-'Schedule_Inputs'!$B$6=0,'Assumptions'!$B$21,IF(27-'Schedule_Inputs'!$B$6=1,'Assumptions'!$C$21,IF(27-'Schedule_Inputs'!$B$6=2,'Assumptions'!$D$21,0))),IF('Schedule_Inputs'!$C$6="Launch",$C6*IF(27-'Schedule_Inputs'!$B$6=0,'Assumptions'!$B$22,IF(27-'Schedule_Inputs'!$B$6=1,'Assumptions'!$C$22,IF(27-'Schedule_Inputs'!$B$6=2,'Assumptions'!$D$22,IF(27-'Schedule_Inputs'!$B$6=3,'Assumptions'!$B$23,0)))),IF('Schedule_Inputs'!$C$6="Office Setup",$C6*IF(27-'Schedule_Inputs'!$B$6=0,'Assumptions'!$B$24,IF(27-'Schedule_Inputs'!$B$6=1,'Assumptions'!$C$24,IF(27-'Schedule_Inputs'!$B$6=2,'Assumptions'!$D$24,0))),IF(OR('Schedule_Inputs'!$C$6="Monthly",'Schedule_Inputs'!$C$6="Periodic"),IF(AND(27&gt;='Schedule_Inputs'!$B$6,MOD(27-'Schedule_Inputs'!$B$6,'Schedule_Inputs'!$E$6)=0,(27-'Schedule_Inputs'!$B$6)/'Schedule_Inputs'!$E$6&lt;'Schedule_Inputs'!$D$6),$C6/'Schedule_Inputs'!$D$6,0),0))))</f>
        <v/>
      </c>
      <c r="AF6" s="231">
        <f>IF('Schedule_Inputs'!$C$6="Blueprint",$C6*IF(28-'Schedule_Inputs'!$B$6=0,'Assumptions'!$B$21,IF(28-'Schedule_Inputs'!$B$6=1,'Assumptions'!$C$21,IF(28-'Schedule_Inputs'!$B$6=2,'Assumptions'!$D$21,0))),IF('Schedule_Inputs'!$C$6="Launch",$C6*IF(28-'Schedule_Inputs'!$B$6=0,'Assumptions'!$B$22,IF(28-'Schedule_Inputs'!$B$6=1,'Assumptions'!$C$22,IF(28-'Schedule_Inputs'!$B$6=2,'Assumptions'!$D$22,IF(28-'Schedule_Inputs'!$B$6=3,'Assumptions'!$B$23,0)))),IF('Schedule_Inputs'!$C$6="Office Setup",$C6*IF(28-'Schedule_Inputs'!$B$6=0,'Assumptions'!$B$24,IF(28-'Schedule_Inputs'!$B$6=1,'Assumptions'!$C$24,IF(28-'Schedule_Inputs'!$B$6=2,'Assumptions'!$D$24,0))),IF(OR('Schedule_Inputs'!$C$6="Monthly",'Schedule_Inputs'!$C$6="Periodic"),IF(AND(28&gt;='Schedule_Inputs'!$B$6,MOD(28-'Schedule_Inputs'!$B$6,'Schedule_Inputs'!$E$6)=0,(28-'Schedule_Inputs'!$B$6)/'Schedule_Inputs'!$E$6&lt;'Schedule_Inputs'!$D$6),$C6/'Schedule_Inputs'!$D$6,0),0))))</f>
        <v/>
      </c>
      <c r="AG6" s="231">
        <f>IF('Schedule_Inputs'!$C$6="Blueprint",$C6*IF(29-'Schedule_Inputs'!$B$6=0,'Assumptions'!$B$21,IF(29-'Schedule_Inputs'!$B$6=1,'Assumptions'!$C$21,IF(29-'Schedule_Inputs'!$B$6=2,'Assumptions'!$D$21,0))),IF('Schedule_Inputs'!$C$6="Launch",$C6*IF(29-'Schedule_Inputs'!$B$6=0,'Assumptions'!$B$22,IF(29-'Schedule_Inputs'!$B$6=1,'Assumptions'!$C$22,IF(29-'Schedule_Inputs'!$B$6=2,'Assumptions'!$D$22,IF(29-'Schedule_Inputs'!$B$6=3,'Assumptions'!$B$23,0)))),IF('Schedule_Inputs'!$C$6="Office Setup",$C6*IF(29-'Schedule_Inputs'!$B$6=0,'Assumptions'!$B$24,IF(29-'Schedule_Inputs'!$B$6=1,'Assumptions'!$C$24,IF(29-'Schedule_Inputs'!$B$6=2,'Assumptions'!$D$24,0))),IF(OR('Schedule_Inputs'!$C$6="Monthly",'Schedule_Inputs'!$C$6="Periodic"),IF(AND(29&gt;='Schedule_Inputs'!$B$6,MOD(29-'Schedule_Inputs'!$B$6,'Schedule_Inputs'!$E$6)=0,(29-'Schedule_Inputs'!$B$6)/'Schedule_Inputs'!$E$6&lt;'Schedule_Inputs'!$D$6),$C6/'Schedule_Inputs'!$D$6,0),0))))</f>
        <v/>
      </c>
      <c r="AH6" s="231">
        <f>IF('Schedule_Inputs'!$C$6="Blueprint",$C6*IF(30-'Schedule_Inputs'!$B$6=0,'Assumptions'!$B$21,IF(30-'Schedule_Inputs'!$B$6=1,'Assumptions'!$C$21,IF(30-'Schedule_Inputs'!$B$6=2,'Assumptions'!$D$21,0))),IF('Schedule_Inputs'!$C$6="Launch",$C6*IF(30-'Schedule_Inputs'!$B$6=0,'Assumptions'!$B$22,IF(30-'Schedule_Inputs'!$B$6=1,'Assumptions'!$C$22,IF(30-'Schedule_Inputs'!$B$6=2,'Assumptions'!$D$22,IF(30-'Schedule_Inputs'!$B$6=3,'Assumptions'!$B$23,0)))),IF('Schedule_Inputs'!$C$6="Office Setup",$C6*IF(30-'Schedule_Inputs'!$B$6=0,'Assumptions'!$B$24,IF(30-'Schedule_Inputs'!$B$6=1,'Assumptions'!$C$24,IF(30-'Schedule_Inputs'!$B$6=2,'Assumptions'!$D$24,0))),IF(OR('Schedule_Inputs'!$C$6="Monthly",'Schedule_Inputs'!$C$6="Periodic"),IF(AND(30&gt;='Schedule_Inputs'!$B$6,MOD(30-'Schedule_Inputs'!$B$6,'Schedule_Inputs'!$E$6)=0,(30-'Schedule_Inputs'!$B$6)/'Schedule_Inputs'!$E$6&lt;'Schedule_Inputs'!$D$6),$C6/'Schedule_Inputs'!$D$6,0),0))))</f>
        <v/>
      </c>
      <c r="AI6" s="231">
        <f>IF('Schedule_Inputs'!$C$6="Blueprint",$C6*IF(31-'Schedule_Inputs'!$B$6=0,'Assumptions'!$B$21,IF(31-'Schedule_Inputs'!$B$6=1,'Assumptions'!$C$21,IF(31-'Schedule_Inputs'!$B$6=2,'Assumptions'!$D$21,0))),IF('Schedule_Inputs'!$C$6="Launch",$C6*IF(31-'Schedule_Inputs'!$B$6=0,'Assumptions'!$B$22,IF(31-'Schedule_Inputs'!$B$6=1,'Assumptions'!$C$22,IF(31-'Schedule_Inputs'!$B$6=2,'Assumptions'!$D$22,IF(31-'Schedule_Inputs'!$B$6=3,'Assumptions'!$B$23,0)))),IF('Schedule_Inputs'!$C$6="Office Setup",$C6*IF(31-'Schedule_Inputs'!$B$6=0,'Assumptions'!$B$24,IF(31-'Schedule_Inputs'!$B$6=1,'Assumptions'!$C$24,IF(31-'Schedule_Inputs'!$B$6=2,'Assumptions'!$D$24,0))),IF(OR('Schedule_Inputs'!$C$6="Monthly",'Schedule_Inputs'!$C$6="Periodic"),IF(AND(31&gt;='Schedule_Inputs'!$B$6,MOD(31-'Schedule_Inputs'!$B$6,'Schedule_Inputs'!$E$6)=0,(31-'Schedule_Inputs'!$B$6)/'Schedule_Inputs'!$E$6&lt;'Schedule_Inputs'!$D$6),$C6/'Schedule_Inputs'!$D$6,0),0))))</f>
        <v/>
      </c>
      <c r="AJ6" s="231">
        <f>IF('Schedule_Inputs'!$C$6="Blueprint",$C6*IF(32-'Schedule_Inputs'!$B$6=0,'Assumptions'!$B$21,IF(32-'Schedule_Inputs'!$B$6=1,'Assumptions'!$C$21,IF(32-'Schedule_Inputs'!$B$6=2,'Assumptions'!$D$21,0))),IF('Schedule_Inputs'!$C$6="Launch",$C6*IF(32-'Schedule_Inputs'!$B$6=0,'Assumptions'!$B$22,IF(32-'Schedule_Inputs'!$B$6=1,'Assumptions'!$C$22,IF(32-'Schedule_Inputs'!$B$6=2,'Assumptions'!$D$22,IF(32-'Schedule_Inputs'!$B$6=3,'Assumptions'!$B$23,0)))),IF('Schedule_Inputs'!$C$6="Office Setup",$C6*IF(32-'Schedule_Inputs'!$B$6=0,'Assumptions'!$B$24,IF(32-'Schedule_Inputs'!$B$6=1,'Assumptions'!$C$24,IF(32-'Schedule_Inputs'!$B$6=2,'Assumptions'!$D$24,0))),IF(OR('Schedule_Inputs'!$C$6="Monthly",'Schedule_Inputs'!$C$6="Periodic"),IF(AND(32&gt;='Schedule_Inputs'!$B$6,MOD(32-'Schedule_Inputs'!$B$6,'Schedule_Inputs'!$E$6)=0,(32-'Schedule_Inputs'!$B$6)/'Schedule_Inputs'!$E$6&lt;'Schedule_Inputs'!$D$6),$C6/'Schedule_Inputs'!$D$6,0),0))))</f>
        <v/>
      </c>
      <c r="AK6" s="231">
        <f>IF('Schedule_Inputs'!$C$6="Blueprint",$C6*IF(33-'Schedule_Inputs'!$B$6=0,'Assumptions'!$B$21,IF(33-'Schedule_Inputs'!$B$6=1,'Assumptions'!$C$21,IF(33-'Schedule_Inputs'!$B$6=2,'Assumptions'!$D$21,0))),IF('Schedule_Inputs'!$C$6="Launch",$C6*IF(33-'Schedule_Inputs'!$B$6=0,'Assumptions'!$B$22,IF(33-'Schedule_Inputs'!$B$6=1,'Assumptions'!$C$22,IF(33-'Schedule_Inputs'!$B$6=2,'Assumptions'!$D$22,IF(33-'Schedule_Inputs'!$B$6=3,'Assumptions'!$B$23,0)))),IF('Schedule_Inputs'!$C$6="Office Setup",$C6*IF(33-'Schedule_Inputs'!$B$6=0,'Assumptions'!$B$24,IF(33-'Schedule_Inputs'!$B$6=1,'Assumptions'!$C$24,IF(33-'Schedule_Inputs'!$B$6=2,'Assumptions'!$D$24,0))),IF(OR('Schedule_Inputs'!$C$6="Monthly",'Schedule_Inputs'!$C$6="Periodic"),IF(AND(33&gt;='Schedule_Inputs'!$B$6,MOD(33-'Schedule_Inputs'!$B$6,'Schedule_Inputs'!$E$6)=0,(33-'Schedule_Inputs'!$B$6)/'Schedule_Inputs'!$E$6&lt;'Schedule_Inputs'!$D$6),$C6/'Schedule_Inputs'!$D$6,0),0))))</f>
        <v/>
      </c>
      <c r="AL6" s="231">
        <f>IF('Schedule_Inputs'!$C$6="Blueprint",$C6*IF(34-'Schedule_Inputs'!$B$6=0,'Assumptions'!$B$21,IF(34-'Schedule_Inputs'!$B$6=1,'Assumptions'!$C$21,IF(34-'Schedule_Inputs'!$B$6=2,'Assumptions'!$D$21,0))),IF('Schedule_Inputs'!$C$6="Launch",$C6*IF(34-'Schedule_Inputs'!$B$6=0,'Assumptions'!$B$22,IF(34-'Schedule_Inputs'!$B$6=1,'Assumptions'!$C$22,IF(34-'Schedule_Inputs'!$B$6=2,'Assumptions'!$D$22,IF(34-'Schedule_Inputs'!$B$6=3,'Assumptions'!$B$23,0)))),IF('Schedule_Inputs'!$C$6="Office Setup",$C6*IF(34-'Schedule_Inputs'!$B$6=0,'Assumptions'!$B$24,IF(34-'Schedule_Inputs'!$B$6=1,'Assumptions'!$C$24,IF(34-'Schedule_Inputs'!$B$6=2,'Assumptions'!$D$24,0))),IF(OR('Schedule_Inputs'!$C$6="Monthly",'Schedule_Inputs'!$C$6="Periodic"),IF(AND(34&gt;='Schedule_Inputs'!$B$6,MOD(34-'Schedule_Inputs'!$B$6,'Schedule_Inputs'!$E$6)=0,(34-'Schedule_Inputs'!$B$6)/'Schedule_Inputs'!$E$6&lt;'Schedule_Inputs'!$D$6),$C6/'Schedule_Inputs'!$D$6,0),0))))</f>
        <v/>
      </c>
      <c r="AM6" s="231">
        <f>IF('Schedule_Inputs'!$C$6="Blueprint",$C6*IF(35-'Schedule_Inputs'!$B$6=0,'Assumptions'!$B$21,IF(35-'Schedule_Inputs'!$B$6=1,'Assumptions'!$C$21,IF(35-'Schedule_Inputs'!$B$6=2,'Assumptions'!$D$21,0))),IF('Schedule_Inputs'!$C$6="Launch",$C6*IF(35-'Schedule_Inputs'!$B$6=0,'Assumptions'!$B$22,IF(35-'Schedule_Inputs'!$B$6=1,'Assumptions'!$C$22,IF(35-'Schedule_Inputs'!$B$6=2,'Assumptions'!$D$22,IF(35-'Schedule_Inputs'!$B$6=3,'Assumptions'!$B$23,0)))),IF('Schedule_Inputs'!$C$6="Office Setup",$C6*IF(35-'Schedule_Inputs'!$B$6=0,'Assumptions'!$B$24,IF(35-'Schedule_Inputs'!$B$6=1,'Assumptions'!$C$24,IF(35-'Schedule_Inputs'!$B$6=2,'Assumptions'!$D$24,0))),IF(OR('Schedule_Inputs'!$C$6="Monthly",'Schedule_Inputs'!$C$6="Periodic"),IF(AND(35&gt;='Schedule_Inputs'!$B$6,MOD(35-'Schedule_Inputs'!$B$6,'Schedule_Inputs'!$E$6)=0,(35-'Schedule_Inputs'!$B$6)/'Schedule_Inputs'!$E$6&lt;'Schedule_Inputs'!$D$6),$C6/'Schedule_Inputs'!$D$6,0),0))))</f>
        <v/>
      </c>
      <c r="AN6" s="231">
        <f>IF('Schedule_Inputs'!$C$6="Blueprint",$C6*IF(36-'Schedule_Inputs'!$B$6=0,'Assumptions'!$B$21,IF(36-'Schedule_Inputs'!$B$6=1,'Assumptions'!$C$21,IF(36-'Schedule_Inputs'!$B$6=2,'Assumptions'!$D$21,0))),IF('Schedule_Inputs'!$C$6="Launch",$C6*IF(36-'Schedule_Inputs'!$B$6=0,'Assumptions'!$B$22,IF(36-'Schedule_Inputs'!$B$6=1,'Assumptions'!$C$22,IF(36-'Schedule_Inputs'!$B$6=2,'Assumptions'!$D$22,IF(36-'Schedule_Inputs'!$B$6=3,'Assumptions'!$B$23,0)))),IF('Schedule_Inputs'!$C$6="Office Setup",$C6*IF(36-'Schedule_Inputs'!$B$6=0,'Assumptions'!$B$24,IF(36-'Schedule_Inputs'!$B$6=1,'Assumptions'!$C$24,IF(36-'Schedule_Inputs'!$B$6=2,'Assumptions'!$D$24,0))),IF(OR('Schedule_Inputs'!$C$6="Monthly",'Schedule_Inputs'!$C$6="Periodic"),IF(AND(36&gt;='Schedule_Inputs'!$B$6,MOD(36-'Schedule_Inputs'!$B$6,'Schedule_Inputs'!$E$6)=0,(36-'Schedule_Inputs'!$B$6)/'Schedule_Inputs'!$E$6&lt;'Schedule_Inputs'!$D$6),$C6/'Schedule_Inputs'!$D$6,0),0))))</f>
        <v/>
      </c>
    </row>
    <row r="7">
      <c r="A7" s="106" t="inlineStr">
        <is>
          <t>Office Setup 01</t>
        </is>
      </c>
      <c r="B7" s="106" t="n">
        <v>1</v>
      </c>
      <c r="C7" s="230" t="n">
        <v>15000</v>
      </c>
      <c r="D7" s="231" t="inlineStr">
        <is>
          <t>50 / 30 / 20</t>
        </is>
      </c>
      <c r="E7" s="231">
        <f>IF('Schedule_Inputs'!$C$7="Blueprint",$C7*IF(1-'Schedule_Inputs'!$B$7=0,'Assumptions'!$B$21,IF(1-'Schedule_Inputs'!$B$7=1,'Assumptions'!$C$21,IF(1-'Schedule_Inputs'!$B$7=2,'Assumptions'!$D$21,0))),IF('Schedule_Inputs'!$C$7="Launch",$C7*IF(1-'Schedule_Inputs'!$B$7=0,'Assumptions'!$B$22,IF(1-'Schedule_Inputs'!$B$7=1,'Assumptions'!$C$22,IF(1-'Schedule_Inputs'!$B$7=2,'Assumptions'!$D$22,IF(1-'Schedule_Inputs'!$B$7=3,'Assumptions'!$B$23,0)))),IF('Schedule_Inputs'!$C$7="Office Setup",$C7*IF(1-'Schedule_Inputs'!$B$7=0,'Assumptions'!$B$24,IF(1-'Schedule_Inputs'!$B$7=1,'Assumptions'!$C$24,IF(1-'Schedule_Inputs'!$B$7=2,'Assumptions'!$D$24,0))),IF(OR('Schedule_Inputs'!$C$7="Monthly",'Schedule_Inputs'!$C$7="Periodic"),IF(AND(1&gt;='Schedule_Inputs'!$B$7,MOD(1-'Schedule_Inputs'!$B$7,'Schedule_Inputs'!$E$7)=0,(1-'Schedule_Inputs'!$B$7)/'Schedule_Inputs'!$E$7&lt;'Schedule_Inputs'!$D$7),$C7/'Schedule_Inputs'!$D$7,0),0))))</f>
        <v/>
      </c>
      <c r="F7" s="231">
        <f>IF('Schedule_Inputs'!$C$7="Blueprint",$C7*IF(2-'Schedule_Inputs'!$B$7=0,'Assumptions'!$B$21,IF(2-'Schedule_Inputs'!$B$7=1,'Assumptions'!$C$21,IF(2-'Schedule_Inputs'!$B$7=2,'Assumptions'!$D$21,0))),IF('Schedule_Inputs'!$C$7="Launch",$C7*IF(2-'Schedule_Inputs'!$B$7=0,'Assumptions'!$B$22,IF(2-'Schedule_Inputs'!$B$7=1,'Assumptions'!$C$22,IF(2-'Schedule_Inputs'!$B$7=2,'Assumptions'!$D$22,IF(2-'Schedule_Inputs'!$B$7=3,'Assumptions'!$B$23,0)))),IF('Schedule_Inputs'!$C$7="Office Setup",$C7*IF(2-'Schedule_Inputs'!$B$7=0,'Assumptions'!$B$24,IF(2-'Schedule_Inputs'!$B$7=1,'Assumptions'!$C$24,IF(2-'Schedule_Inputs'!$B$7=2,'Assumptions'!$D$24,0))),IF(OR('Schedule_Inputs'!$C$7="Monthly",'Schedule_Inputs'!$C$7="Periodic"),IF(AND(2&gt;='Schedule_Inputs'!$B$7,MOD(2-'Schedule_Inputs'!$B$7,'Schedule_Inputs'!$E$7)=0,(2-'Schedule_Inputs'!$B$7)/'Schedule_Inputs'!$E$7&lt;'Schedule_Inputs'!$D$7),$C7/'Schedule_Inputs'!$D$7,0),0))))</f>
        <v/>
      </c>
      <c r="G7" s="231">
        <f>IF('Schedule_Inputs'!$C$7="Blueprint",$C7*IF(3-'Schedule_Inputs'!$B$7=0,'Assumptions'!$B$21,IF(3-'Schedule_Inputs'!$B$7=1,'Assumptions'!$C$21,IF(3-'Schedule_Inputs'!$B$7=2,'Assumptions'!$D$21,0))),IF('Schedule_Inputs'!$C$7="Launch",$C7*IF(3-'Schedule_Inputs'!$B$7=0,'Assumptions'!$B$22,IF(3-'Schedule_Inputs'!$B$7=1,'Assumptions'!$C$22,IF(3-'Schedule_Inputs'!$B$7=2,'Assumptions'!$D$22,IF(3-'Schedule_Inputs'!$B$7=3,'Assumptions'!$B$23,0)))),IF('Schedule_Inputs'!$C$7="Office Setup",$C7*IF(3-'Schedule_Inputs'!$B$7=0,'Assumptions'!$B$24,IF(3-'Schedule_Inputs'!$B$7=1,'Assumptions'!$C$24,IF(3-'Schedule_Inputs'!$B$7=2,'Assumptions'!$D$24,0))),IF(OR('Schedule_Inputs'!$C$7="Monthly",'Schedule_Inputs'!$C$7="Periodic"),IF(AND(3&gt;='Schedule_Inputs'!$B$7,MOD(3-'Schedule_Inputs'!$B$7,'Schedule_Inputs'!$E$7)=0,(3-'Schedule_Inputs'!$B$7)/'Schedule_Inputs'!$E$7&lt;'Schedule_Inputs'!$D$7),$C7/'Schedule_Inputs'!$D$7,0),0))))</f>
        <v/>
      </c>
      <c r="H7" s="231">
        <f>IF('Schedule_Inputs'!$C$7="Blueprint",$C7*IF(4-'Schedule_Inputs'!$B$7=0,'Assumptions'!$B$21,IF(4-'Schedule_Inputs'!$B$7=1,'Assumptions'!$C$21,IF(4-'Schedule_Inputs'!$B$7=2,'Assumptions'!$D$21,0))),IF('Schedule_Inputs'!$C$7="Launch",$C7*IF(4-'Schedule_Inputs'!$B$7=0,'Assumptions'!$B$22,IF(4-'Schedule_Inputs'!$B$7=1,'Assumptions'!$C$22,IF(4-'Schedule_Inputs'!$B$7=2,'Assumptions'!$D$22,IF(4-'Schedule_Inputs'!$B$7=3,'Assumptions'!$B$23,0)))),IF('Schedule_Inputs'!$C$7="Office Setup",$C7*IF(4-'Schedule_Inputs'!$B$7=0,'Assumptions'!$B$24,IF(4-'Schedule_Inputs'!$B$7=1,'Assumptions'!$C$24,IF(4-'Schedule_Inputs'!$B$7=2,'Assumptions'!$D$24,0))),IF(OR('Schedule_Inputs'!$C$7="Monthly",'Schedule_Inputs'!$C$7="Periodic"),IF(AND(4&gt;='Schedule_Inputs'!$B$7,MOD(4-'Schedule_Inputs'!$B$7,'Schedule_Inputs'!$E$7)=0,(4-'Schedule_Inputs'!$B$7)/'Schedule_Inputs'!$E$7&lt;'Schedule_Inputs'!$D$7),$C7/'Schedule_Inputs'!$D$7,0),0))))</f>
        <v/>
      </c>
      <c r="I7" s="231">
        <f>IF('Schedule_Inputs'!$C$7="Blueprint",$C7*IF(5-'Schedule_Inputs'!$B$7=0,'Assumptions'!$B$21,IF(5-'Schedule_Inputs'!$B$7=1,'Assumptions'!$C$21,IF(5-'Schedule_Inputs'!$B$7=2,'Assumptions'!$D$21,0))),IF('Schedule_Inputs'!$C$7="Launch",$C7*IF(5-'Schedule_Inputs'!$B$7=0,'Assumptions'!$B$22,IF(5-'Schedule_Inputs'!$B$7=1,'Assumptions'!$C$22,IF(5-'Schedule_Inputs'!$B$7=2,'Assumptions'!$D$22,IF(5-'Schedule_Inputs'!$B$7=3,'Assumptions'!$B$23,0)))),IF('Schedule_Inputs'!$C$7="Office Setup",$C7*IF(5-'Schedule_Inputs'!$B$7=0,'Assumptions'!$B$24,IF(5-'Schedule_Inputs'!$B$7=1,'Assumptions'!$C$24,IF(5-'Schedule_Inputs'!$B$7=2,'Assumptions'!$D$24,0))),IF(OR('Schedule_Inputs'!$C$7="Monthly",'Schedule_Inputs'!$C$7="Periodic"),IF(AND(5&gt;='Schedule_Inputs'!$B$7,MOD(5-'Schedule_Inputs'!$B$7,'Schedule_Inputs'!$E$7)=0,(5-'Schedule_Inputs'!$B$7)/'Schedule_Inputs'!$E$7&lt;'Schedule_Inputs'!$D$7),$C7/'Schedule_Inputs'!$D$7,0),0))))</f>
        <v/>
      </c>
      <c r="J7" s="231">
        <f>IF('Schedule_Inputs'!$C$7="Blueprint",$C7*IF(6-'Schedule_Inputs'!$B$7=0,'Assumptions'!$B$21,IF(6-'Schedule_Inputs'!$B$7=1,'Assumptions'!$C$21,IF(6-'Schedule_Inputs'!$B$7=2,'Assumptions'!$D$21,0))),IF('Schedule_Inputs'!$C$7="Launch",$C7*IF(6-'Schedule_Inputs'!$B$7=0,'Assumptions'!$B$22,IF(6-'Schedule_Inputs'!$B$7=1,'Assumptions'!$C$22,IF(6-'Schedule_Inputs'!$B$7=2,'Assumptions'!$D$22,IF(6-'Schedule_Inputs'!$B$7=3,'Assumptions'!$B$23,0)))),IF('Schedule_Inputs'!$C$7="Office Setup",$C7*IF(6-'Schedule_Inputs'!$B$7=0,'Assumptions'!$B$24,IF(6-'Schedule_Inputs'!$B$7=1,'Assumptions'!$C$24,IF(6-'Schedule_Inputs'!$B$7=2,'Assumptions'!$D$24,0))),IF(OR('Schedule_Inputs'!$C$7="Monthly",'Schedule_Inputs'!$C$7="Periodic"),IF(AND(6&gt;='Schedule_Inputs'!$B$7,MOD(6-'Schedule_Inputs'!$B$7,'Schedule_Inputs'!$E$7)=0,(6-'Schedule_Inputs'!$B$7)/'Schedule_Inputs'!$E$7&lt;'Schedule_Inputs'!$D$7),$C7/'Schedule_Inputs'!$D$7,0),0))))</f>
        <v/>
      </c>
      <c r="K7" s="231">
        <f>IF('Schedule_Inputs'!$C$7="Blueprint",$C7*IF(7-'Schedule_Inputs'!$B$7=0,'Assumptions'!$B$21,IF(7-'Schedule_Inputs'!$B$7=1,'Assumptions'!$C$21,IF(7-'Schedule_Inputs'!$B$7=2,'Assumptions'!$D$21,0))),IF('Schedule_Inputs'!$C$7="Launch",$C7*IF(7-'Schedule_Inputs'!$B$7=0,'Assumptions'!$B$22,IF(7-'Schedule_Inputs'!$B$7=1,'Assumptions'!$C$22,IF(7-'Schedule_Inputs'!$B$7=2,'Assumptions'!$D$22,IF(7-'Schedule_Inputs'!$B$7=3,'Assumptions'!$B$23,0)))),IF('Schedule_Inputs'!$C$7="Office Setup",$C7*IF(7-'Schedule_Inputs'!$B$7=0,'Assumptions'!$B$24,IF(7-'Schedule_Inputs'!$B$7=1,'Assumptions'!$C$24,IF(7-'Schedule_Inputs'!$B$7=2,'Assumptions'!$D$24,0))),IF(OR('Schedule_Inputs'!$C$7="Monthly",'Schedule_Inputs'!$C$7="Periodic"),IF(AND(7&gt;='Schedule_Inputs'!$B$7,MOD(7-'Schedule_Inputs'!$B$7,'Schedule_Inputs'!$E$7)=0,(7-'Schedule_Inputs'!$B$7)/'Schedule_Inputs'!$E$7&lt;'Schedule_Inputs'!$D$7),$C7/'Schedule_Inputs'!$D$7,0),0))))</f>
        <v/>
      </c>
      <c r="L7" s="231">
        <f>IF('Schedule_Inputs'!$C$7="Blueprint",$C7*IF(8-'Schedule_Inputs'!$B$7=0,'Assumptions'!$B$21,IF(8-'Schedule_Inputs'!$B$7=1,'Assumptions'!$C$21,IF(8-'Schedule_Inputs'!$B$7=2,'Assumptions'!$D$21,0))),IF('Schedule_Inputs'!$C$7="Launch",$C7*IF(8-'Schedule_Inputs'!$B$7=0,'Assumptions'!$B$22,IF(8-'Schedule_Inputs'!$B$7=1,'Assumptions'!$C$22,IF(8-'Schedule_Inputs'!$B$7=2,'Assumptions'!$D$22,IF(8-'Schedule_Inputs'!$B$7=3,'Assumptions'!$B$23,0)))),IF('Schedule_Inputs'!$C$7="Office Setup",$C7*IF(8-'Schedule_Inputs'!$B$7=0,'Assumptions'!$B$24,IF(8-'Schedule_Inputs'!$B$7=1,'Assumptions'!$C$24,IF(8-'Schedule_Inputs'!$B$7=2,'Assumptions'!$D$24,0))),IF(OR('Schedule_Inputs'!$C$7="Monthly",'Schedule_Inputs'!$C$7="Periodic"),IF(AND(8&gt;='Schedule_Inputs'!$B$7,MOD(8-'Schedule_Inputs'!$B$7,'Schedule_Inputs'!$E$7)=0,(8-'Schedule_Inputs'!$B$7)/'Schedule_Inputs'!$E$7&lt;'Schedule_Inputs'!$D$7),$C7/'Schedule_Inputs'!$D$7,0),0))))</f>
        <v/>
      </c>
      <c r="M7" s="231">
        <f>IF('Schedule_Inputs'!$C$7="Blueprint",$C7*IF(9-'Schedule_Inputs'!$B$7=0,'Assumptions'!$B$21,IF(9-'Schedule_Inputs'!$B$7=1,'Assumptions'!$C$21,IF(9-'Schedule_Inputs'!$B$7=2,'Assumptions'!$D$21,0))),IF('Schedule_Inputs'!$C$7="Launch",$C7*IF(9-'Schedule_Inputs'!$B$7=0,'Assumptions'!$B$22,IF(9-'Schedule_Inputs'!$B$7=1,'Assumptions'!$C$22,IF(9-'Schedule_Inputs'!$B$7=2,'Assumptions'!$D$22,IF(9-'Schedule_Inputs'!$B$7=3,'Assumptions'!$B$23,0)))),IF('Schedule_Inputs'!$C$7="Office Setup",$C7*IF(9-'Schedule_Inputs'!$B$7=0,'Assumptions'!$B$24,IF(9-'Schedule_Inputs'!$B$7=1,'Assumptions'!$C$24,IF(9-'Schedule_Inputs'!$B$7=2,'Assumptions'!$D$24,0))),IF(OR('Schedule_Inputs'!$C$7="Monthly",'Schedule_Inputs'!$C$7="Periodic"),IF(AND(9&gt;='Schedule_Inputs'!$B$7,MOD(9-'Schedule_Inputs'!$B$7,'Schedule_Inputs'!$E$7)=0,(9-'Schedule_Inputs'!$B$7)/'Schedule_Inputs'!$E$7&lt;'Schedule_Inputs'!$D$7),$C7/'Schedule_Inputs'!$D$7,0),0))))</f>
        <v/>
      </c>
      <c r="N7" s="231">
        <f>IF('Schedule_Inputs'!$C$7="Blueprint",$C7*IF(10-'Schedule_Inputs'!$B$7=0,'Assumptions'!$B$21,IF(10-'Schedule_Inputs'!$B$7=1,'Assumptions'!$C$21,IF(10-'Schedule_Inputs'!$B$7=2,'Assumptions'!$D$21,0))),IF('Schedule_Inputs'!$C$7="Launch",$C7*IF(10-'Schedule_Inputs'!$B$7=0,'Assumptions'!$B$22,IF(10-'Schedule_Inputs'!$B$7=1,'Assumptions'!$C$22,IF(10-'Schedule_Inputs'!$B$7=2,'Assumptions'!$D$22,IF(10-'Schedule_Inputs'!$B$7=3,'Assumptions'!$B$23,0)))),IF('Schedule_Inputs'!$C$7="Office Setup",$C7*IF(10-'Schedule_Inputs'!$B$7=0,'Assumptions'!$B$24,IF(10-'Schedule_Inputs'!$B$7=1,'Assumptions'!$C$24,IF(10-'Schedule_Inputs'!$B$7=2,'Assumptions'!$D$24,0))),IF(OR('Schedule_Inputs'!$C$7="Monthly",'Schedule_Inputs'!$C$7="Periodic"),IF(AND(10&gt;='Schedule_Inputs'!$B$7,MOD(10-'Schedule_Inputs'!$B$7,'Schedule_Inputs'!$E$7)=0,(10-'Schedule_Inputs'!$B$7)/'Schedule_Inputs'!$E$7&lt;'Schedule_Inputs'!$D$7),$C7/'Schedule_Inputs'!$D$7,0),0))))</f>
        <v/>
      </c>
      <c r="O7" s="231">
        <f>IF('Schedule_Inputs'!$C$7="Blueprint",$C7*IF(11-'Schedule_Inputs'!$B$7=0,'Assumptions'!$B$21,IF(11-'Schedule_Inputs'!$B$7=1,'Assumptions'!$C$21,IF(11-'Schedule_Inputs'!$B$7=2,'Assumptions'!$D$21,0))),IF('Schedule_Inputs'!$C$7="Launch",$C7*IF(11-'Schedule_Inputs'!$B$7=0,'Assumptions'!$B$22,IF(11-'Schedule_Inputs'!$B$7=1,'Assumptions'!$C$22,IF(11-'Schedule_Inputs'!$B$7=2,'Assumptions'!$D$22,IF(11-'Schedule_Inputs'!$B$7=3,'Assumptions'!$B$23,0)))),IF('Schedule_Inputs'!$C$7="Office Setup",$C7*IF(11-'Schedule_Inputs'!$B$7=0,'Assumptions'!$B$24,IF(11-'Schedule_Inputs'!$B$7=1,'Assumptions'!$C$24,IF(11-'Schedule_Inputs'!$B$7=2,'Assumptions'!$D$24,0))),IF(OR('Schedule_Inputs'!$C$7="Monthly",'Schedule_Inputs'!$C$7="Periodic"),IF(AND(11&gt;='Schedule_Inputs'!$B$7,MOD(11-'Schedule_Inputs'!$B$7,'Schedule_Inputs'!$E$7)=0,(11-'Schedule_Inputs'!$B$7)/'Schedule_Inputs'!$E$7&lt;'Schedule_Inputs'!$D$7),$C7/'Schedule_Inputs'!$D$7,0),0))))</f>
        <v/>
      </c>
      <c r="P7" s="231">
        <f>IF('Schedule_Inputs'!$C$7="Blueprint",$C7*IF(12-'Schedule_Inputs'!$B$7=0,'Assumptions'!$B$21,IF(12-'Schedule_Inputs'!$B$7=1,'Assumptions'!$C$21,IF(12-'Schedule_Inputs'!$B$7=2,'Assumptions'!$D$21,0))),IF('Schedule_Inputs'!$C$7="Launch",$C7*IF(12-'Schedule_Inputs'!$B$7=0,'Assumptions'!$B$22,IF(12-'Schedule_Inputs'!$B$7=1,'Assumptions'!$C$22,IF(12-'Schedule_Inputs'!$B$7=2,'Assumptions'!$D$22,IF(12-'Schedule_Inputs'!$B$7=3,'Assumptions'!$B$23,0)))),IF('Schedule_Inputs'!$C$7="Office Setup",$C7*IF(12-'Schedule_Inputs'!$B$7=0,'Assumptions'!$B$24,IF(12-'Schedule_Inputs'!$B$7=1,'Assumptions'!$C$24,IF(12-'Schedule_Inputs'!$B$7=2,'Assumptions'!$D$24,0))),IF(OR('Schedule_Inputs'!$C$7="Monthly",'Schedule_Inputs'!$C$7="Periodic"),IF(AND(12&gt;='Schedule_Inputs'!$B$7,MOD(12-'Schedule_Inputs'!$B$7,'Schedule_Inputs'!$E$7)=0,(12-'Schedule_Inputs'!$B$7)/'Schedule_Inputs'!$E$7&lt;'Schedule_Inputs'!$D$7),$C7/'Schedule_Inputs'!$D$7,0),0))))</f>
        <v/>
      </c>
      <c r="Q7" s="231">
        <f>IF('Schedule_Inputs'!$C$7="Blueprint",$C7*IF(13-'Schedule_Inputs'!$B$7=0,'Assumptions'!$B$21,IF(13-'Schedule_Inputs'!$B$7=1,'Assumptions'!$C$21,IF(13-'Schedule_Inputs'!$B$7=2,'Assumptions'!$D$21,0))),IF('Schedule_Inputs'!$C$7="Launch",$C7*IF(13-'Schedule_Inputs'!$B$7=0,'Assumptions'!$B$22,IF(13-'Schedule_Inputs'!$B$7=1,'Assumptions'!$C$22,IF(13-'Schedule_Inputs'!$B$7=2,'Assumptions'!$D$22,IF(13-'Schedule_Inputs'!$B$7=3,'Assumptions'!$B$23,0)))),IF('Schedule_Inputs'!$C$7="Office Setup",$C7*IF(13-'Schedule_Inputs'!$B$7=0,'Assumptions'!$B$24,IF(13-'Schedule_Inputs'!$B$7=1,'Assumptions'!$C$24,IF(13-'Schedule_Inputs'!$B$7=2,'Assumptions'!$D$24,0))),IF(OR('Schedule_Inputs'!$C$7="Monthly",'Schedule_Inputs'!$C$7="Periodic"),IF(AND(13&gt;='Schedule_Inputs'!$B$7,MOD(13-'Schedule_Inputs'!$B$7,'Schedule_Inputs'!$E$7)=0,(13-'Schedule_Inputs'!$B$7)/'Schedule_Inputs'!$E$7&lt;'Schedule_Inputs'!$D$7),$C7/'Schedule_Inputs'!$D$7,0),0))))</f>
        <v/>
      </c>
      <c r="R7" s="231">
        <f>IF('Schedule_Inputs'!$C$7="Blueprint",$C7*IF(14-'Schedule_Inputs'!$B$7=0,'Assumptions'!$B$21,IF(14-'Schedule_Inputs'!$B$7=1,'Assumptions'!$C$21,IF(14-'Schedule_Inputs'!$B$7=2,'Assumptions'!$D$21,0))),IF('Schedule_Inputs'!$C$7="Launch",$C7*IF(14-'Schedule_Inputs'!$B$7=0,'Assumptions'!$B$22,IF(14-'Schedule_Inputs'!$B$7=1,'Assumptions'!$C$22,IF(14-'Schedule_Inputs'!$B$7=2,'Assumptions'!$D$22,IF(14-'Schedule_Inputs'!$B$7=3,'Assumptions'!$B$23,0)))),IF('Schedule_Inputs'!$C$7="Office Setup",$C7*IF(14-'Schedule_Inputs'!$B$7=0,'Assumptions'!$B$24,IF(14-'Schedule_Inputs'!$B$7=1,'Assumptions'!$C$24,IF(14-'Schedule_Inputs'!$B$7=2,'Assumptions'!$D$24,0))),IF(OR('Schedule_Inputs'!$C$7="Monthly",'Schedule_Inputs'!$C$7="Periodic"),IF(AND(14&gt;='Schedule_Inputs'!$B$7,MOD(14-'Schedule_Inputs'!$B$7,'Schedule_Inputs'!$E$7)=0,(14-'Schedule_Inputs'!$B$7)/'Schedule_Inputs'!$E$7&lt;'Schedule_Inputs'!$D$7),$C7/'Schedule_Inputs'!$D$7,0),0))))</f>
        <v/>
      </c>
      <c r="S7" s="231">
        <f>IF('Schedule_Inputs'!$C$7="Blueprint",$C7*IF(15-'Schedule_Inputs'!$B$7=0,'Assumptions'!$B$21,IF(15-'Schedule_Inputs'!$B$7=1,'Assumptions'!$C$21,IF(15-'Schedule_Inputs'!$B$7=2,'Assumptions'!$D$21,0))),IF('Schedule_Inputs'!$C$7="Launch",$C7*IF(15-'Schedule_Inputs'!$B$7=0,'Assumptions'!$B$22,IF(15-'Schedule_Inputs'!$B$7=1,'Assumptions'!$C$22,IF(15-'Schedule_Inputs'!$B$7=2,'Assumptions'!$D$22,IF(15-'Schedule_Inputs'!$B$7=3,'Assumptions'!$B$23,0)))),IF('Schedule_Inputs'!$C$7="Office Setup",$C7*IF(15-'Schedule_Inputs'!$B$7=0,'Assumptions'!$B$24,IF(15-'Schedule_Inputs'!$B$7=1,'Assumptions'!$C$24,IF(15-'Schedule_Inputs'!$B$7=2,'Assumptions'!$D$24,0))),IF(OR('Schedule_Inputs'!$C$7="Monthly",'Schedule_Inputs'!$C$7="Periodic"),IF(AND(15&gt;='Schedule_Inputs'!$B$7,MOD(15-'Schedule_Inputs'!$B$7,'Schedule_Inputs'!$E$7)=0,(15-'Schedule_Inputs'!$B$7)/'Schedule_Inputs'!$E$7&lt;'Schedule_Inputs'!$D$7),$C7/'Schedule_Inputs'!$D$7,0),0))))</f>
        <v/>
      </c>
      <c r="T7" s="231">
        <f>IF('Schedule_Inputs'!$C$7="Blueprint",$C7*IF(16-'Schedule_Inputs'!$B$7=0,'Assumptions'!$B$21,IF(16-'Schedule_Inputs'!$B$7=1,'Assumptions'!$C$21,IF(16-'Schedule_Inputs'!$B$7=2,'Assumptions'!$D$21,0))),IF('Schedule_Inputs'!$C$7="Launch",$C7*IF(16-'Schedule_Inputs'!$B$7=0,'Assumptions'!$B$22,IF(16-'Schedule_Inputs'!$B$7=1,'Assumptions'!$C$22,IF(16-'Schedule_Inputs'!$B$7=2,'Assumptions'!$D$22,IF(16-'Schedule_Inputs'!$B$7=3,'Assumptions'!$B$23,0)))),IF('Schedule_Inputs'!$C$7="Office Setup",$C7*IF(16-'Schedule_Inputs'!$B$7=0,'Assumptions'!$B$24,IF(16-'Schedule_Inputs'!$B$7=1,'Assumptions'!$C$24,IF(16-'Schedule_Inputs'!$B$7=2,'Assumptions'!$D$24,0))),IF(OR('Schedule_Inputs'!$C$7="Monthly",'Schedule_Inputs'!$C$7="Periodic"),IF(AND(16&gt;='Schedule_Inputs'!$B$7,MOD(16-'Schedule_Inputs'!$B$7,'Schedule_Inputs'!$E$7)=0,(16-'Schedule_Inputs'!$B$7)/'Schedule_Inputs'!$E$7&lt;'Schedule_Inputs'!$D$7),$C7/'Schedule_Inputs'!$D$7,0),0))))</f>
        <v/>
      </c>
      <c r="U7" s="231">
        <f>IF('Schedule_Inputs'!$C$7="Blueprint",$C7*IF(17-'Schedule_Inputs'!$B$7=0,'Assumptions'!$B$21,IF(17-'Schedule_Inputs'!$B$7=1,'Assumptions'!$C$21,IF(17-'Schedule_Inputs'!$B$7=2,'Assumptions'!$D$21,0))),IF('Schedule_Inputs'!$C$7="Launch",$C7*IF(17-'Schedule_Inputs'!$B$7=0,'Assumptions'!$B$22,IF(17-'Schedule_Inputs'!$B$7=1,'Assumptions'!$C$22,IF(17-'Schedule_Inputs'!$B$7=2,'Assumptions'!$D$22,IF(17-'Schedule_Inputs'!$B$7=3,'Assumptions'!$B$23,0)))),IF('Schedule_Inputs'!$C$7="Office Setup",$C7*IF(17-'Schedule_Inputs'!$B$7=0,'Assumptions'!$B$24,IF(17-'Schedule_Inputs'!$B$7=1,'Assumptions'!$C$24,IF(17-'Schedule_Inputs'!$B$7=2,'Assumptions'!$D$24,0))),IF(OR('Schedule_Inputs'!$C$7="Monthly",'Schedule_Inputs'!$C$7="Periodic"),IF(AND(17&gt;='Schedule_Inputs'!$B$7,MOD(17-'Schedule_Inputs'!$B$7,'Schedule_Inputs'!$E$7)=0,(17-'Schedule_Inputs'!$B$7)/'Schedule_Inputs'!$E$7&lt;'Schedule_Inputs'!$D$7),$C7/'Schedule_Inputs'!$D$7,0),0))))</f>
        <v/>
      </c>
      <c r="V7" s="231">
        <f>IF('Schedule_Inputs'!$C$7="Blueprint",$C7*IF(18-'Schedule_Inputs'!$B$7=0,'Assumptions'!$B$21,IF(18-'Schedule_Inputs'!$B$7=1,'Assumptions'!$C$21,IF(18-'Schedule_Inputs'!$B$7=2,'Assumptions'!$D$21,0))),IF('Schedule_Inputs'!$C$7="Launch",$C7*IF(18-'Schedule_Inputs'!$B$7=0,'Assumptions'!$B$22,IF(18-'Schedule_Inputs'!$B$7=1,'Assumptions'!$C$22,IF(18-'Schedule_Inputs'!$B$7=2,'Assumptions'!$D$22,IF(18-'Schedule_Inputs'!$B$7=3,'Assumptions'!$B$23,0)))),IF('Schedule_Inputs'!$C$7="Office Setup",$C7*IF(18-'Schedule_Inputs'!$B$7=0,'Assumptions'!$B$24,IF(18-'Schedule_Inputs'!$B$7=1,'Assumptions'!$C$24,IF(18-'Schedule_Inputs'!$B$7=2,'Assumptions'!$D$24,0))),IF(OR('Schedule_Inputs'!$C$7="Monthly",'Schedule_Inputs'!$C$7="Periodic"),IF(AND(18&gt;='Schedule_Inputs'!$B$7,MOD(18-'Schedule_Inputs'!$B$7,'Schedule_Inputs'!$E$7)=0,(18-'Schedule_Inputs'!$B$7)/'Schedule_Inputs'!$E$7&lt;'Schedule_Inputs'!$D$7),$C7/'Schedule_Inputs'!$D$7,0),0))))</f>
        <v/>
      </c>
      <c r="W7" s="231">
        <f>IF('Schedule_Inputs'!$C$7="Blueprint",$C7*IF(19-'Schedule_Inputs'!$B$7=0,'Assumptions'!$B$21,IF(19-'Schedule_Inputs'!$B$7=1,'Assumptions'!$C$21,IF(19-'Schedule_Inputs'!$B$7=2,'Assumptions'!$D$21,0))),IF('Schedule_Inputs'!$C$7="Launch",$C7*IF(19-'Schedule_Inputs'!$B$7=0,'Assumptions'!$B$22,IF(19-'Schedule_Inputs'!$B$7=1,'Assumptions'!$C$22,IF(19-'Schedule_Inputs'!$B$7=2,'Assumptions'!$D$22,IF(19-'Schedule_Inputs'!$B$7=3,'Assumptions'!$B$23,0)))),IF('Schedule_Inputs'!$C$7="Office Setup",$C7*IF(19-'Schedule_Inputs'!$B$7=0,'Assumptions'!$B$24,IF(19-'Schedule_Inputs'!$B$7=1,'Assumptions'!$C$24,IF(19-'Schedule_Inputs'!$B$7=2,'Assumptions'!$D$24,0))),IF(OR('Schedule_Inputs'!$C$7="Monthly",'Schedule_Inputs'!$C$7="Periodic"),IF(AND(19&gt;='Schedule_Inputs'!$B$7,MOD(19-'Schedule_Inputs'!$B$7,'Schedule_Inputs'!$E$7)=0,(19-'Schedule_Inputs'!$B$7)/'Schedule_Inputs'!$E$7&lt;'Schedule_Inputs'!$D$7),$C7/'Schedule_Inputs'!$D$7,0),0))))</f>
        <v/>
      </c>
      <c r="X7" s="231">
        <f>IF('Schedule_Inputs'!$C$7="Blueprint",$C7*IF(20-'Schedule_Inputs'!$B$7=0,'Assumptions'!$B$21,IF(20-'Schedule_Inputs'!$B$7=1,'Assumptions'!$C$21,IF(20-'Schedule_Inputs'!$B$7=2,'Assumptions'!$D$21,0))),IF('Schedule_Inputs'!$C$7="Launch",$C7*IF(20-'Schedule_Inputs'!$B$7=0,'Assumptions'!$B$22,IF(20-'Schedule_Inputs'!$B$7=1,'Assumptions'!$C$22,IF(20-'Schedule_Inputs'!$B$7=2,'Assumptions'!$D$22,IF(20-'Schedule_Inputs'!$B$7=3,'Assumptions'!$B$23,0)))),IF('Schedule_Inputs'!$C$7="Office Setup",$C7*IF(20-'Schedule_Inputs'!$B$7=0,'Assumptions'!$B$24,IF(20-'Schedule_Inputs'!$B$7=1,'Assumptions'!$C$24,IF(20-'Schedule_Inputs'!$B$7=2,'Assumptions'!$D$24,0))),IF(OR('Schedule_Inputs'!$C$7="Monthly",'Schedule_Inputs'!$C$7="Periodic"),IF(AND(20&gt;='Schedule_Inputs'!$B$7,MOD(20-'Schedule_Inputs'!$B$7,'Schedule_Inputs'!$E$7)=0,(20-'Schedule_Inputs'!$B$7)/'Schedule_Inputs'!$E$7&lt;'Schedule_Inputs'!$D$7),$C7/'Schedule_Inputs'!$D$7,0),0))))</f>
        <v/>
      </c>
      <c r="Y7" s="231">
        <f>IF('Schedule_Inputs'!$C$7="Blueprint",$C7*IF(21-'Schedule_Inputs'!$B$7=0,'Assumptions'!$B$21,IF(21-'Schedule_Inputs'!$B$7=1,'Assumptions'!$C$21,IF(21-'Schedule_Inputs'!$B$7=2,'Assumptions'!$D$21,0))),IF('Schedule_Inputs'!$C$7="Launch",$C7*IF(21-'Schedule_Inputs'!$B$7=0,'Assumptions'!$B$22,IF(21-'Schedule_Inputs'!$B$7=1,'Assumptions'!$C$22,IF(21-'Schedule_Inputs'!$B$7=2,'Assumptions'!$D$22,IF(21-'Schedule_Inputs'!$B$7=3,'Assumptions'!$B$23,0)))),IF('Schedule_Inputs'!$C$7="Office Setup",$C7*IF(21-'Schedule_Inputs'!$B$7=0,'Assumptions'!$B$24,IF(21-'Schedule_Inputs'!$B$7=1,'Assumptions'!$C$24,IF(21-'Schedule_Inputs'!$B$7=2,'Assumptions'!$D$24,0))),IF(OR('Schedule_Inputs'!$C$7="Monthly",'Schedule_Inputs'!$C$7="Periodic"),IF(AND(21&gt;='Schedule_Inputs'!$B$7,MOD(21-'Schedule_Inputs'!$B$7,'Schedule_Inputs'!$E$7)=0,(21-'Schedule_Inputs'!$B$7)/'Schedule_Inputs'!$E$7&lt;'Schedule_Inputs'!$D$7),$C7/'Schedule_Inputs'!$D$7,0),0))))</f>
        <v/>
      </c>
      <c r="Z7" s="231">
        <f>IF('Schedule_Inputs'!$C$7="Blueprint",$C7*IF(22-'Schedule_Inputs'!$B$7=0,'Assumptions'!$B$21,IF(22-'Schedule_Inputs'!$B$7=1,'Assumptions'!$C$21,IF(22-'Schedule_Inputs'!$B$7=2,'Assumptions'!$D$21,0))),IF('Schedule_Inputs'!$C$7="Launch",$C7*IF(22-'Schedule_Inputs'!$B$7=0,'Assumptions'!$B$22,IF(22-'Schedule_Inputs'!$B$7=1,'Assumptions'!$C$22,IF(22-'Schedule_Inputs'!$B$7=2,'Assumptions'!$D$22,IF(22-'Schedule_Inputs'!$B$7=3,'Assumptions'!$B$23,0)))),IF('Schedule_Inputs'!$C$7="Office Setup",$C7*IF(22-'Schedule_Inputs'!$B$7=0,'Assumptions'!$B$24,IF(22-'Schedule_Inputs'!$B$7=1,'Assumptions'!$C$24,IF(22-'Schedule_Inputs'!$B$7=2,'Assumptions'!$D$24,0))),IF(OR('Schedule_Inputs'!$C$7="Monthly",'Schedule_Inputs'!$C$7="Periodic"),IF(AND(22&gt;='Schedule_Inputs'!$B$7,MOD(22-'Schedule_Inputs'!$B$7,'Schedule_Inputs'!$E$7)=0,(22-'Schedule_Inputs'!$B$7)/'Schedule_Inputs'!$E$7&lt;'Schedule_Inputs'!$D$7),$C7/'Schedule_Inputs'!$D$7,0),0))))</f>
        <v/>
      </c>
      <c r="AA7" s="231">
        <f>IF('Schedule_Inputs'!$C$7="Blueprint",$C7*IF(23-'Schedule_Inputs'!$B$7=0,'Assumptions'!$B$21,IF(23-'Schedule_Inputs'!$B$7=1,'Assumptions'!$C$21,IF(23-'Schedule_Inputs'!$B$7=2,'Assumptions'!$D$21,0))),IF('Schedule_Inputs'!$C$7="Launch",$C7*IF(23-'Schedule_Inputs'!$B$7=0,'Assumptions'!$B$22,IF(23-'Schedule_Inputs'!$B$7=1,'Assumptions'!$C$22,IF(23-'Schedule_Inputs'!$B$7=2,'Assumptions'!$D$22,IF(23-'Schedule_Inputs'!$B$7=3,'Assumptions'!$B$23,0)))),IF('Schedule_Inputs'!$C$7="Office Setup",$C7*IF(23-'Schedule_Inputs'!$B$7=0,'Assumptions'!$B$24,IF(23-'Schedule_Inputs'!$B$7=1,'Assumptions'!$C$24,IF(23-'Schedule_Inputs'!$B$7=2,'Assumptions'!$D$24,0))),IF(OR('Schedule_Inputs'!$C$7="Monthly",'Schedule_Inputs'!$C$7="Periodic"),IF(AND(23&gt;='Schedule_Inputs'!$B$7,MOD(23-'Schedule_Inputs'!$B$7,'Schedule_Inputs'!$E$7)=0,(23-'Schedule_Inputs'!$B$7)/'Schedule_Inputs'!$E$7&lt;'Schedule_Inputs'!$D$7),$C7/'Schedule_Inputs'!$D$7,0),0))))</f>
        <v/>
      </c>
      <c r="AB7" s="231">
        <f>IF('Schedule_Inputs'!$C$7="Blueprint",$C7*IF(24-'Schedule_Inputs'!$B$7=0,'Assumptions'!$B$21,IF(24-'Schedule_Inputs'!$B$7=1,'Assumptions'!$C$21,IF(24-'Schedule_Inputs'!$B$7=2,'Assumptions'!$D$21,0))),IF('Schedule_Inputs'!$C$7="Launch",$C7*IF(24-'Schedule_Inputs'!$B$7=0,'Assumptions'!$B$22,IF(24-'Schedule_Inputs'!$B$7=1,'Assumptions'!$C$22,IF(24-'Schedule_Inputs'!$B$7=2,'Assumptions'!$D$22,IF(24-'Schedule_Inputs'!$B$7=3,'Assumptions'!$B$23,0)))),IF('Schedule_Inputs'!$C$7="Office Setup",$C7*IF(24-'Schedule_Inputs'!$B$7=0,'Assumptions'!$B$24,IF(24-'Schedule_Inputs'!$B$7=1,'Assumptions'!$C$24,IF(24-'Schedule_Inputs'!$B$7=2,'Assumptions'!$D$24,0))),IF(OR('Schedule_Inputs'!$C$7="Monthly",'Schedule_Inputs'!$C$7="Periodic"),IF(AND(24&gt;='Schedule_Inputs'!$B$7,MOD(24-'Schedule_Inputs'!$B$7,'Schedule_Inputs'!$E$7)=0,(24-'Schedule_Inputs'!$B$7)/'Schedule_Inputs'!$E$7&lt;'Schedule_Inputs'!$D$7),$C7/'Schedule_Inputs'!$D$7,0),0))))</f>
        <v/>
      </c>
      <c r="AC7" s="231">
        <f>IF('Schedule_Inputs'!$C$7="Blueprint",$C7*IF(25-'Schedule_Inputs'!$B$7=0,'Assumptions'!$B$21,IF(25-'Schedule_Inputs'!$B$7=1,'Assumptions'!$C$21,IF(25-'Schedule_Inputs'!$B$7=2,'Assumptions'!$D$21,0))),IF('Schedule_Inputs'!$C$7="Launch",$C7*IF(25-'Schedule_Inputs'!$B$7=0,'Assumptions'!$B$22,IF(25-'Schedule_Inputs'!$B$7=1,'Assumptions'!$C$22,IF(25-'Schedule_Inputs'!$B$7=2,'Assumptions'!$D$22,IF(25-'Schedule_Inputs'!$B$7=3,'Assumptions'!$B$23,0)))),IF('Schedule_Inputs'!$C$7="Office Setup",$C7*IF(25-'Schedule_Inputs'!$B$7=0,'Assumptions'!$B$24,IF(25-'Schedule_Inputs'!$B$7=1,'Assumptions'!$C$24,IF(25-'Schedule_Inputs'!$B$7=2,'Assumptions'!$D$24,0))),IF(OR('Schedule_Inputs'!$C$7="Monthly",'Schedule_Inputs'!$C$7="Periodic"),IF(AND(25&gt;='Schedule_Inputs'!$B$7,MOD(25-'Schedule_Inputs'!$B$7,'Schedule_Inputs'!$E$7)=0,(25-'Schedule_Inputs'!$B$7)/'Schedule_Inputs'!$E$7&lt;'Schedule_Inputs'!$D$7),$C7/'Schedule_Inputs'!$D$7,0),0))))</f>
        <v/>
      </c>
      <c r="AD7" s="231">
        <f>IF('Schedule_Inputs'!$C$7="Blueprint",$C7*IF(26-'Schedule_Inputs'!$B$7=0,'Assumptions'!$B$21,IF(26-'Schedule_Inputs'!$B$7=1,'Assumptions'!$C$21,IF(26-'Schedule_Inputs'!$B$7=2,'Assumptions'!$D$21,0))),IF('Schedule_Inputs'!$C$7="Launch",$C7*IF(26-'Schedule_Inputs'!$B$7=0,'Assumptions'!$B$22,IF(26-'Schedule_Inputs'!$B$7=1,'Assumptions'!$C$22,IF(26-'Schedule_Inputs'!$B$7=2,'Assumptions'!$D$22,IF(26-'Schedule_Inputs'!$B$7=3,'Assumptions'!$B$23,0)))),IF('Schedule_Inputs'!$C$7="Office Setup",$C7*IF(26-'Schedule_Inputs'!$B$7=0,'Assumptions'!$B$24,IF(26-'Schedule_Inputs'!$B$7=1,'Assumptions'!$C$24,IF(26-'Schedule_Inputs'!$B$7=2,'Assumptions'!$D$24,0))),IF(OR('Schedule_Inputs'!$C$7="Monthly",'Schedule_Inputs'!$C$7="Periodic"),IF(AND(26&gt;='Schedule_Inputs'!$B$7,MOD(26-'Schedule_Inputs'!$B$7,'Schedule_Inputs'!$E$7)=0,(26-'Schedule_Inputs'!$B$7)/'Schedule_Inputs'!$E$7&lt;'Schedule_Inputs'!$D$7),$C7/'Schedule_Inputs'!$D$7,0),0))))</f>
        <v/>
      </c>
      <c r="AE7" s="231">
        <f>IF('Schedule_Inputs'!$C$7="Blueprint",$C7*IF(27-'Schedule_Inputs'!$B$7=0,'Assumptions'!$B$21,IF(27-'Schedule_Inputs'!$B$7=1,'Assumptions'!$C$21,IF(27-'Schedule_Inputs'!$B$7=2,'Assumptions'!$D$21,0))),IF('Schedule_Inputs'!$C$7="Launch",$C7*IF(27-'Schedule_Inputs'!$B$7=0,'Assumptions'!$B$22,IF(27-'Schedule_Inputs'!$B$7=1,'Assumptions'!$C$22,IF(27-'Schedule_Inputs'!$B$7=2,'Assumptions'!$D$22,IF(27-'Schedule_Inputs'!$B$7=3,'Assumptions'!$B$23,0)))),IF('Schedule_Inputs'!$C$7="Office Setup",$C7*IF(27-'Schedule_Inputs'!$B$7=0,'Assumptions'!$B$24,IF(27-'Schedule_Inputs'!$B$7=1,'Assumptions'!$C$24,IF(27-'Schedule_Inputs'!$B$7=2,'Assumptions'!$D$24,0))),IF(OR('Schedule_Inputs'!$C$7="Monthly",'Schedule_Inputs'!$C$7="Periodic"),IF(AND(27&gt;='Schedule_Inputs'!$B$7,MOD(27-'Schedule_Inputs'!$B$7,'Schedule_Inputs'!$E$7)=0,(27-'Schedule_Inputs'!$B$7)/'Schedule_Inputs'!$E$7&lt;'Schedule_Inputs'!$D$7),$C7/'Schedule_Inputs'!$D$7,0),0))))</f>
        <v/>
      </c>
      <c r="AF7" s="231">
        <f>IF('Schedule_Inputs'!$C$7="Blueprint",$C7*IF(28-'Schedule_Inputs'!$B$7=0,'Assumptions'!$B$21,IF(28-'Schedule_Inputs'!$B$7=1,'Assumptions'!$C$21,IF(28-'Schedule_Inputs'!$B$7=2,'Assumptions'!$D$21,0))),IF('Schedule_Inputs'!$C$7="Launch",$C7*IF(28-'Schedule_Inputs'!$B$7=0,'Assumptions'!$B$22,IF(28-'Schedule_Inputs'!$B$7=1,'Assumptions'!$C$22,IF(28-'Schedule_Inputs'!$B$7=2,'Assumptions'!$D$22,IF(28-'Schedule_Inputs'!$B$7=3,'Assumptions'!$B$23,0)))),IF('Schedule_Inputs'!$C$7="Office Setup",$C7*IF(28-'Schedule_Inputs'!$B$7=0,'Assumptions'!$B$24,IF(28-'Schedule_Inputs'!$B$7=1,'Assumptions'!$C$24,IF(28-'Schedule_Inputs'!$B$7=2,'Assumptions'!$D$24,0))),IF(OR('Schedule_Inputs'!$C$7="Monthly",'Schedule_Inputs'!$C$7="Periodic"),IF(AND(28&gt;='Schedule_Inputs'!$B$7,MOD(28-'Schedule_Inputs'!$B$7,'Schedule_Inputs'!$E$7)=0,(28-'Schedule_Inputs'!$B$7)/'Schedule_Inputs'!$E$7&lt;'Schedule_Inputs'!$D$7),$C7/'Schedule_Inputs'!$D$7,0),0))))</f>
        <v/>
      </c>
      <c r="AG7" s="231">
        <f>IF('Schedule_Inputs'!$C$7="Blueprint",$C7*IF(29-'Schedule_Inputs'!$B$7=0,'Assumptions'!$B$21,IF(29-'Schedule_Inputs'!$B$7=1,'Assumptions'!$C$21,IF(29-'Schedule_Inputs'!$B$7=2,'Assumptions'!$D$21,0))),IF('Schedule_Inputs'!$C$7="Launch",$C7*IF(29-'Schedule_Inputs'!$B$7=0,'Assumptions'!$B$22,IF(29-'Schedule_Inputs'!$B$7=1,'Assumptions'!$C$22,IF(29-'Schedule_Inputs'!$B$7=2,'Assumptions'!$D$22,IF(29-'Schedule_Inputs'!$B$7=3,'Assumptions'!$B$23,0)))),IF('Schedule_Inputs'!$C$7="Office Setup",$C7*IF(29-'Schedule_Inputs'!$B$7=0,'Assumptions'!$B$24,IF(29-'Schedule_Inputs'!$B$7=1,'Assumptions'!$C$24,IF(29-'Schedule_Inputs'!$B$7=2,'Assumptions'!$D$24,0))),IF(OR('Schedule_Inputs'!$C$7="Monthly",'Schedule_Inputs'!$C$7="Periodic"),IF(AND(29&gt;='Schedule_Inputs'!$B$7,MOD(29-'Schedule_Inputs'!$B$7,'Schedule_Inputs'!$E$7)=0,(29-'Schedule_Inputs'!$B$7)/'Schedule_Inputs'!$E$7&lt;'Schedule_Inputs'!$D$7),$C7/'Schedule_Inputs'!$D$7,0),0))))</f>
        <v/>
      </c>
      <c r="AH7" s="231">
        <f>IF('Schedule_Inputs'!$C$7="Blueprint",$C7*IF(30-'Schedule_Inputs'!$B$7=0,'Assumptions'!$B$21,IF(30-'Schedule_Inputs'!$B$7=1,'Assumptions'!$C$21,IF(30-'Schedule_Inputs'!$B$7=2,'Assumptions'!$D$21,0))),IF('Schedule_Inputs'!$C$7="Launch",$C7*IF(30-'Schedule_Inputs'!$B$7=0,'Assumptions'!$B$22,IF(30-'Schedule_Inputs'!$B$7=1,'Assumptions'!$C$22,IF(30-'Schedule_Inputs'!$B$7=2,'Assumptions'!$D$22,IF(30-'Schedule_Inputs'!$B$7=3,'Assumptions'!$B$23,0)))),IF('Schedule_Inputs'!$C$7="Office Setup",$C7*IF(30-'Schedule_Inputs'!$B$7=0,'Assumptions'!$B$24,IF(30-'Schedule_Inputs'!$B$7=1,'Assumptions'!$C$24,IF(30-'Schedule_Inputs'!$B$7=2,'Assumptions'!$D$24,0))),IF(OR('Schedule_Inputs'!$C$7="Monthly",'Schedule_Inputs'!$C$7="Periodic"),IF(AND(30&gt;='Schedule_Inputs'!$B$7,MOD(30-'Schedule_Inputs'!$B$7,'Schedule_Inputs'!$E$7)=0,(30-'Schedule_Inputs'!$B$7)/'Schedule_Inputs'!$E$7&lt;'Schedule_Inputs'!$D$7),$C7/'Schedule_Inputs'!$D$7,0),0))))</f>
        <v/>
      </c>
      <c r="AI7" s="231">
        <f>IF('Schedule_Inputs'!$C$7="Blueprint",$C7*IF(31-'Schedule_Inputs'!$B$7=0,'Assumptions'!$B$21,IF(31-'Schedule_Inputs'!$B$7=1,'Assumptions'!$C$21,IF(31-'Schedule_Inputs'!$B$7=2,'Assumptions'!$D$21,0))),IF('Schedule_Inputs'!$C$7="Launch",$C7*IF(31-'Schedule_Inputs'!$B$7=0,'Assumptions'!$B$22,IF(31-'Schedule_Inputs'!$B$7=1,'Assumptions'!$C$22,IF(31-'Schedule_Inputs'!$B$7=2,'Assumptions'!$D$22,IF(31-'Schedule_Inputs'!$B$7=3,'Assumptions'!$B$23,0)))),IF('Schedule_Inputs'!$C$7="Office Setup",$C7*IF(31-'Schedule_Inputs'!$B$7=0,'Assumptions'!$B$24,IF(31-'Schedule_Inputs'!$B$7=1,'Assumptions'!$C$24,IF(31-'Schedule_Inputs'!$B$7=2,'Assumptions'!$D$24,0))),IF(OR('Schedule_Inputs'!$C$7="Monthly",'Schedule_Inputs'!$C$7="Periodic"),IF(AND(31&gt;='Schedule_Inputs'!$B$7,MOD(31-'Schedule_Inputs'!$B$7,'Schedule_Inputs'!$E$7)=0,(31-'Schedule_Inputs'!$B$7)/'Schedule_Inputs'!$E$7&lt;'Schedule_Inputs'!$D$7),$C7/'Schedule_Inputs'!$D$7,0),0))))</f>
        <v/>
      </c>
      <c r="AJ7" s="231">
        <f>IF('Schedule_Inputs'!$C$7="Blueprint",$C7*IF(32-'Schedule_Inputs'!$B$7=0,'Assumptions'!$B$21,IF(32-'Schedule_Inputs'!$B$7=1,'Assumptions'!$C$21,IF(32-'Schedule_Inputs'!$B$7=2,'Assumptions'!$D$21,0))),IF('Schedule_Inputs'!$C$7="Launch",$C7*IF(32-'Schedule_Inputs'!$B$7=0,'Assumptions'!$B$22,IF(32-'Schedule_Inputs'!$B$7=1,'Assumptions'!$C$22,IF(32-'Schedule_Inputs'!$B$7=2,'Assumptions'!$D$22,IF(32-'Schedule_Inputs'!$B$7=3,'Assumptions'!$B$23,0)))),IF('Schedule_Inputs'!$C$7="Office Setup",$C7*IF(32-'Schedule_Inputs'!$B$7=0,'Assumptions'!$B$24,IF(32-'Schedule_Inputs'!$B$7=1,'Assumptions'!$C$24,IF(32-'Schedule_Inputs'!$B$7=2,'Assumptions'!$D$24,0))),IF(OR('Schedule_Inputs'!$C$7="Monthly",'Schedule_Inputs'!$C$7="Periodic"),IF(AND(32&gt;='Schedule_Inputs'!$B$7,MOD(32-'Schedule_Inputs'!$B$7,'Schedule_Inputs'!$E$7)=0,(32-'Schedule_Inputs'!$B$7)/'Schedule_Inputs'!$E$7&lt;'Schedule_Inputs'!$D$7),$C7/'Schedule_Inputs'!$D$7,0),0))))</f>
        <v/>
      </c>
      <c r="AK7" s="231">
        <f>IF('Schedule_Inputs'!$C$7="Blueprint",$C7*IF(33-'Schedule_Inputs'!$B$7=0,'Assumptions'!$B$21,IF(33-'Schedule_Inputs'!$B$7=1,'Assumptions'!$C$21,IF(33-'Schedule_Inputs'!$B$7=2,'Assumptions'!$D$21,0))),IF('Schedule_Inputs'!$C$7="Launch",$C7*IF(33-'Schedule_Inputs'!$B$7=0,'Assumptions'!$B$22,IF(33-'Schedule_Inputs'!$B$7=1,'Assumptions'!$C$22,IF(33-'Schedule_Inputs'!$B$7=2,'Assumptions'!$D$22,IF(33-'Schedule_Inputs'!$B$7=3,'Assumptions'!$B$23,0)))),IF('Schedule_Inputs'!$C$7="Office Setup",$C7*IF(33-'Schedule_Inputs'!$B$7=0,'Assumptions'!$B$24,IF(33-'Schedule_Inputs'!$B$7=1,'Assumptions'!$C$24,IF(33-'Schedule_Inputs'!$B$7=2,'Assumptions'!$D$24,0))),IF(OR('Schedule_Inputs'!$C$7="Monthly",'Schedule_Inputs'!$C$7="Periodic"),IF(AND(33&gt;='Schedule_Inputs'!$B$7,MOD(33-'Schedule_Inputs'!$B$7,'Schedule_Inputs'!$E$7)=0,(33-'Schedule_Inputs'!$B$7)/'Schedule_Inputs'!$E$7&lt;'Schedule_Inputs'!$D$7),$C7/'Schedule_Inputs'!$D$7,0),0))))</f>
        <v/>
      </c>
      <c r="AL7" s="231">
        <f>IF('Schedule_Inputs'!$C$7="Blueprint",$C7*IF(34-'Schedule_Inputs'!$B$7=0,'Assumptions'!$B$21,IF(34-'Schedule_Inputs'!$B$7=1,'Assumptions'!$C$21,IF(34-'Schedule_Inputs'!$B$7=2,'Assumptions'!$D$21,0))),IF('Schedule_Inputs'!$C$7="Launch",$C7*IF(34-'Schedule_Inputs'!$B$7=0,'Assumptions'!$B$22,IF(34-'Schedule_Inputs'!$B$7=1,'Assumptions'!$C$22,IF(34-'Schedule_Inputs'!$B$7=2,'Assumptions'!$D$22,IF(34-'Schedule_Inputs'!$B$7=3,'Assumptions'!$B$23,0)))),IF('Schedule_Inputs'!$C$7="Office Setup",$C7*IF(34-'Schedule_Inputs'!$B$7=0,'Assumptions'!$B$24,IF(34-'Schedule_Inputs'!$B$7=1,'Assumptions'!$C$24,IF(34-'Schedule_Inputs'!$B$7=2,'Assumptions'!$D$24,0))),IF(OR('Schedule_Inputs'!$C$7="Monthly",'Schedule_Inputs'!$C$7="Periodic"),IF(AND(34&gt;='Schedule_Inputs'!$B$7,MOD(34-'Schedule_Inputs'!$B$7,'Schedule_Inputs'!$E$7)=0,(34-'Schedule_Inputs'!$B$7)/'Schedule_Inputs'!$E$7&lt;'Schedule_Inputs'!$D$7),$C7/'Schedule_Inputs'!$D$7,0),0))))</f>
        <v/>
      </c>
      <c r="AM7" s="231">
        <f>IF('Schedule_Inputs'!$C$7="Blueprint",$C7*IF(35-'Schedule_Inputs'!$B$7=0,'Assumptions'!$B$21,IF(35-'Schedule_Inputs'!$B$7=1,'Assumptions'!$C$21,IF(35-'Schedule_Inputs'!$B$7=2,'Assumptions'!$D$21,0))),IF('Schedule_Inputs'!$C$7="Launch",$C7*IF(35-'Schedule_Inputs'!$B$7=0,'Assumptions'!$B$22,IF(35-'Schedule_Inputs'!$B$7=1,'Assumptions'!$C$22,IF(35-'Schedule_Inputs'!$B$7=2,'Assumptions'!$D$22,IF(35-'Schedule_Inputs'!$B$7=3,'Assumptions'!$B$23,0)))),IF('Schedule_Inputs'!$C$7="Office Setup",$C7*IF(35-'Schedule_Inputs'!$B$7=0,'Assumptions'!$B$24,IF(35-'Schedule_Inputs'!$B$7=1,'Assumptions'!$C$24,IF(35-'Schedule_Inputs'!$B$7=2,'Assumptions'!$D$24,0))),IF(OR('Schedule_Inputs'!$C$7="Monthly",'Schedule_Inputs'!$C$7="Periodic"),IF(AND(35&gt;='Schedule_Inputs'!$B$7,MOD(35-'Schedule_Inputs'!$B$7,'Schedule_Inputs'!$E$7)=0,(35-'Schedule_Inputs'!$B$7)/'Schedule_Inputs'!$E$7&lt;'Schedule_Inputs'!$D$7),$C7/'Schedule_Inputs'!$D$7,0),0))))</f>
        <v/>
      </c>
      <c r="AN7" s="231">
        <f>IF('Schedule_Inputs'!$C$7="Blueprint",$C7*IF(36-'Schedule_Inputs'!$B$7=0,'Assumptions'!$B$21,IF(36-'Schedule_Inputs'!$B$7=1,'Assumptions'!$C$21,IF(36-'Schedule_Inputs'!$B$7=2,'Assumptions'!$D$21,0))),IF('Schedule_Inputs'!$C$7="Launch",$C7*IF(36-'Schedule_Inputs'!$B$7=0,'Assumptions'!$B$22,IF(36-'Schedule_Inputs'!$B$7=1,'Assumptions'!$C$22,IF(36-'Schedule_Inputs'!$B$7=2,'Assumptions'!$D$22,IF(36-'Schedule_Inputs'!$B$7=3,'Assumptions'!$B$23,0)))),IF('Schedule_Inputs'!$C$7="Office Setup",$C7*IF(36-'Schedule_Inputs'!$B$7=0,'Assumptions'!$B$24,IF(36-'Schedule_Inputs'!$B$7=1,'Assumptions'!$C$24,IF(36-'Schedule_Inputs'!$B$7=2,'Assumptions'!$D$24,0))),IF(OR('Schedule_Inputs'!$C$7="Monthly",'Schedule_Inputs'!$C$7="Periodic"),IF(AND(36&gt;='Schedule_Inputs'!$B$7,MOD(36-'Schedule_Inputs'!$B$7,'Schedule_Inputs'!$E$7)=0,(36-'Schedule_Inputs'!$B$7)/'Schedule_Inputs'!$E$7&lt;'Schedule_Inputs'!$D$7),$C7/'Schedule_Inputs'!$D$7,0),0))))</f>
        <v/>
      </c>
    </row>
    <row r="8">
      <c r="A8" s="106" t="inlineStr">
        <is>
          <t>Retainer 01</t>
        </is>
      </c>
      <c r="B8" s="106" t="n">
        <v>1</v>
      </c>
      <c r="C8" s="230" t="n">
        <v>13500</v>
      </c>
      <c r="D8" s="231" t="inlineStr">
        <is>
          <t>monthly in advance</t>
        </is>
      </c>
      <c r="E8" s="231">
        <f>IF('Schedule_Inputs'!$C$8="Blueprint",$C8*IF(1-'Schedule_Inputs'!$B$8=0,'Assumptions'!$B$21,IF(1-'Schedule_Inputs'!$B$8=1,'Assumptions'!$C$21,IF(1-'Schedule_Inputs'!$B$8=2,'Assumptions'!$D$21,0))),IF('Schedule_Inputs'!$C$8="Launch",$C8*IF(1-'Schedule_Inputs'!$B$8=0,'Assumptions'!$B$22,IF(1-'Schedule_Inputs'!$B$8=1,'Assumptions'!$C$22,IF(1-'Schedule_Inputs'!$B$8=2,'Assumptions'!$D$22,IF(1-'Schedule_Inputs'!$B$8=3,'Assumptions'!$B$23,0)))),IF('Schedule_Inputs'!$C$8="Office Setup",$C8*IF(1-'Schedule_Inputs'!$B$8=0,'Assumptions'!$B$24,IF(1-'Schedule_Inputs'!$B$8=1,'Assumptions'!$C$24,IF(1-'Schedule_Inputs'!$B$8=2,'Assumptions'!$D$24,0))),IF(OR('Schedule_Inputs'!$C$8="Monthly",'Schedule_Inputs'!$C$8="Periodic"),IF(AND(1&gt;='Schedule_Inputs'!$B$8,MOD(1-'Schedule_Inputs'!$B$8,'Schedule_Inputs'!$E$8)=0,(1-'Schedule_Inputs'!$B$8)/'Schedule_Inputs'!$E$8&lt;'Schedule_Inputs'!$D$8),$C8/'Schedule_Inputs'!$D$8,0),0))))</f>
        <v/>
      </c>
      <c r="F8" s="231">
        <f>IF('Schedule_Inputs'!$C$8="Blueprint",$C8*IF(2-'Schedule_Inputs'!$B$8=0,'Assumptions'!$B$21,IF(2-'Schedule_Inputs'!$B$8=1,'Assumptions'!$C$21,IF(2-'Schedule_Inputs'!$B$8=2,'Assumptions'!$D$21,0))),IF('Schedule_Inputs'!$C$8="Launch",$C8*IF(2-'Schedule_Inputs'!$B$8=0,'Assumptions'!$B$22,IF(2-'Schedule_Inputs'!$B$8=1,'Assumptions'!$C$22,IF(2-'Schedule_Inputs'!$B$8=2,'Assumptions'!$D$22,IF(2-'Schedule_Inputs'!$B$8=3,'Assumptions'!$B$23,0)))),IF('Schedule_Inputs'!$C$8="Office Setup",$C8*IF(2-'Schedule_Inputs'!$B$8=0,'Assumptions'!$B$24,IF(2-'Schedule_Inputs'!$B$8=1,'Assumptions'!$C$24,IF(2-'Schedule_Inputs'!$B$8=2,'Assumptions'!$D$24,0))),IF(OR('Schedule_Inputs'!$C$8="Monthly",'Schedule_Inputs'!$C$8="Periodic"),IF(AND(2&gt;='Schedule_Inputs'!$B$8,MOD(2-'Schedule_Inputs'!$B$8,'Schedule_Inputs'!$E$8)=0,(2-'Schedule_Inputs'!$B$8)/'Schedule_Inputs'!$E$8&lt;'Schedule_Inputs'!$D$8),$C8/'Schedule_Inputs'!$D$8,0),0))))</f>
        <v/>
      </c>
      <c r="G8" s="231">
        <f>IF('Schedule_Inputs'!$C$8="Blueprint",$C8*IF(3-'Schedule_Inputs'!$B$8=0,'Assumptions'!$B$21,IF(3-'Schedule_Inputs'!$B$8=1,'Assumptions'!$C$21,IF(3-'Schedule_Inputs'!$B$8=2,'Assumptions'!$D$21,0))),IF('Schedule_Inputs'!$C$8="Launch",$C8*IF(3-'Schedule_Inputs'!$B$8=0,'Assumptions'!$B$22,IF(3-'Schedule_Inputs'!$B$8=1,'Assumptions'!$C$22,IF(3-'Schedule_Inputs'!$B$8=2,'Assumptions'!$D$22,IF(3-'Schedule_Inputs'!$B$8=3,'Assumptions'!$B$23,0)))),IF('Schedule_Inputs'!$C$8="Office Setup",$C8*IF(3-'Schedule_Inputs'!$B$8=0,'Assumptions'!$B$24,IF(3-'Schedule_Inputs'!$B$8=1,'Assumptions'!$C$24,IF(3-'Schedule_Inputs'!$B$8=2,'Assumptions'!$D$24,0))),IF(OR('Schedule_Inputs'!$C$8="Monthly",'Schedule_Inputs'!$C$8="Periodic"),IF(AND(3&gt;='Schedule_Inputs'!$B$8,MOD(3-'Schedule_Inputs'!$B$8,'Schedule_Inputs'!$E$8)=0,(3-'Schedule_Inputs'!$B$8)/'Schedule_Inputs'!$E$8&lt;'Schedule_Inputs'!$D$8),$C8/'Schedule_Inputs'!$D$8,0),0))))</f>
        <v/>
      </c>
      <c r="H8" s="231">
        <f>IF('Schedule_Inputs'!$C$8="Blueprint",$C8*IF(4-'Schedule_Inputs'!$B$8=0,'Assumptions'!$B$21,IF(4-'Schedule_Inputs'!$B$8=1,'Assumptions'!$C$21,IF(4-'Schedule_Inputs'!$B$8=2,'Assumptions'!$D$21,0))),IF('Schedule_Inputs'!$C$8="Launch",$C8*IF(4-'Schedule_Inputs'!$B$8=0,'Assumptions'!$B$22,IF(4-'Schedule_Inputs'!$B$8=1,'Assumptions'!$C$22,IF(4-'Schedule_Inputs'!$B$8=2,'Assumptions'!$D$22,IF(4-'Schedule_Inputs'!$B$8=3,'Assumptions'!$B$23,0)))),IF('Schedule_Inputs'!$C$8="Office Setup",$C8*IF(4-'Schedule_Inputs'!$B$8=0,'Assumptions'!$B$24,IF(4-'Schedule_Inputs'!$B$8=1,'Assumptions'!$C$24,IF(4-'Schedule_Inputs'!$B$8=2,'Assumptions'!$D$24,0))),IF(OR('Schedule_Inputs'!$C$8="Monthly",'Schedule_Inputs'!$C$8="Periodic"),IF(AND(4&gt;='Schedule_Inputs'!$B$8,MOD(4-'Schedule_Inputs'!$B$8,'Schedule_Inputs'!$E$8)=0,(4-'Schedule_Inputs'!$B$8)/'Schedule_Inputs'!$E$8&lt;'Schedule_Inputs'!$D$8),$C8/'Schedule_Inputs'!$D$8,0),0))))</f>
        <v/>
      </c>
      <c r="I8" s="231">
        <f>IF('Schedule_Inputs'!$C$8="Blueprint",$C8*IF(5-'Schedule_Inputs'!$B$8=0,'Assumptions'!$B$21,IF(5-'Schedule_Inputs'!$B$8=1,'Assumptions'!$C$21,IF(5-'Schedule_Inputs'!$B$8=2,'Assumptions'!$D$21,0))),IF('Schedule_Inputs'!$C$8="Launch",$C8*IF(5-'Schedule_Inputs'!$B$8=0,'Assumptions'!$B$22,IF(5-'Schedule_Inputs'!$B$8=1,'Assumptions'!$C$22,IF(5-'Schedule_Inputs'!$B$8=2,'Assumptions'!$D$22,IF(5-'Schedule_Inputs'!$B$8=3,'Assumptions'!$B$23,0)))),IF('Schedule_Inputs'!$C$8="Office Setup",$C8*IF(5-'Schedule_Inputs'!$B$8=0,'Assumptions'!$B$24,IF(5-'Schedule_Inputs'!$B$8=1,'Assumptions'!$C$24,IF(5-'Schedule_Inputs'!$B$8=2,'Assumptions'!$D$24,0))),IF(OR('Schedule_Inputs'!$C$8="Monthly",'Schedule_Inputs'!$C$8="Periodic"),IF(AND(5&gt;='Schedule_Inputs'!$B$8,MOD(5-'Schedule_Inputs'!$B$8,'Schedule_Inputs'!$E$8)=0,(5-'Schedule_Inputs'!$B$8)/'Schedule_Inputs'!$E$8&lt;'Schedule_Inputs'!$D$8),$C8/'Schedule_Inputs'!$D$8,0),0))))</f>
        <v/>
      </c>
      <c r="J8" s="231">
        <f>IF('Schedule_Inputs'!$C$8="Blueprint",$C8*IF(6-'Schedule_Inputs'!$B$8=0,'Assumptions'!$B$21,IF(6-'Schedule_Inputs'!$B$8=1,'Assumptions'!$C$21,IF(6-'Schedule_Inputs'!$B$8=2,'Assumptions'!$D$21,0))),IF('Schedule_Inputs'!$C$8="Launch",$C8*IF(6-'Schedule_Inputs'!$B$8=0,'Assumptions'!$B$22,IF(6-'Schedule_Inputs'!$B$8=1,'Assumptions'!$C$22,IF(6-'Schedule_Inputs'!$B$8=2,'Assumptions'!$D$22,IF(6-'Schedule_Inputs'!$B$8=3,'Assumptions'!$B$23,0)))),IF('Schedule_Inputs'!$C$8="Office Setup",$C8*IF(6-'Schedule_Inputs'!$B$8=0,'Assumptions'!$B$24,IF(6-'Schedule_Inputs'!$B$8=1,'Assumptions'!$C$24,IF(6-'Schedule_Inputs'!$B$8=2,'Assumptions'!$D$24,0))),IF(OR('Schedule_Inputs'!$C$8="Monthly",'Schedule_Inputs'!$C$8="Periodic"),IF(AND(6&gt;='Schedule_Inputs'!$B$8,MOD(6-'Schedule_Inputs'!$B$8,'Schedule_Inputs'!$E$8)=0,(6-'Schedule_Inputs'!$B$8)/'Schedule_Inputs'!$E$8&lt;'Schedule_Inputs'!$D$8),$C8/'Schedule_Inputs'!$D$8,0),0))))</f>
        <v/>
      </c>
      <c r="K8" s="231">
        <f>IF('Schedule_Inputs'!$C$8="Blueprint",$C8*IF(7-'Schedule_Inputs'!$B$8=0,'Assumptions'!$B$21,IF(7-'Schedule_Inputs'!$B$8=1,'Assumptions'!$C$21,IF(7-'Schedule_Inputs'!$B$8=2,'Assumptions'!$D$21,0))),IF('Schedule_Inputs'!$C$8="Launch",$C8*IF(7-'Schedule_Inputs'!$B$8=0,'Assumptions'!$B$22,IF(7-'Schedule_Inputs'!$B$8=1,'Assumptions'!$C$22,IF(7-'Schedule_Inputs'!$B$8=2,'Assumptions'!$D$22,IF(7-'Schedule_Inputs'!$B$8=3,'Assumptions'!$B$23,0)))),IF('Schedule_Inputs'!$C$8="Office Setup",$C8*IF(7-'Schedule_Inputs'!$B$8=0,'Assumptions'!$B$24,IF(7-'Schedule_Inputs'!$B$8=1,'Assumptions'!$C$24,IF(7-'Schedule_Inputs'!$B$8=2,'Assumptions'!$D$24,0))),IF(OR('Schedule_Inputs'!$C$8="Monthly",'Schedule_Inputs'!$C$8="Periodic"),IF(AND(7&gt;='Schedule_Inputs'!$B$8,MOD(7-'Schedule_Inputs'!$B$8,'Schedule_Inputs'!$E$8)=0,(7-'Schedule_Inputs'!$B$8)/'Schedule_Inputs'!$E$8&lt;'Schedule_Inputs'!$D$8),$C8/'Schedule_Inputs'!$D$8,0),0))))</f>
        <v/>
      </c>
      <c r="L8" s="231">
        <f>IF('Schedule_Inputs'!$C$8="Blueprint",$C8*IF(8-'Schedule_Inputs'!$B$8=0,'Assumptions'!$B$21,IF(8-'Schedule_Inputs'!$B$8=1,'Assumptions'!$C$21,IF(8-'Schedule_Inputs'!$B$8=2,'Assumptions'!$D$21,0))),IF('Schedule_Inputs'!$C$8="Launch",$C8*IF(8-'Schedule_Inputs'!$B$8=0,'Assumptions'!$B$22,IF(8-'Schedule_Inputs'!$B$8=1,'Assumptions'!$C$22,IF(8-'Schedule_Inputs'!$B$8=2,'Assumptions'!$D$22,IF(8-'Schedule_Inputs'!$B$8=3,'Assumptions'!$B$23,0)))),IF('Schedule_Inputs'!$C$8="Office Setup",$C8*IF(8-'Schedule_Inputs'!$B$8=0,'Assumptions'!$B$24,IF(8-'Schedule_Inputs'!$B$8=1,'Assumptions'!$C$24,IF(8-'Schedule_Inputs'!$B$8=2,'Assumptions'!$D$24,0))),IF(OR('Schedule_Inputs'!$C$8="Monthly",'Schedule_Inputs'!$C$8="Periodic"),IF(AND(8&gt;='Schedule_Inputs'!$B$8,MOD(8-'Schedule_Inputs'!$B$8,'Schedule_Inputs'!$E$8)=0,(8-'Schedule_Inputs'!$B$8)/'Schedule_Inputs'!$E$8&lt;'Schedule_Inputs'!$D$8),$C8/'Schedule_Inputs'!$D$8,0),0))))</f>
        <v/>
      </c>
      <c r="M8" s="231">
        <f>IF('Schedule_Inputs'!$C$8="Blueprint",$C8*IF(9-'Schedule_Inputs'!$B$8=0,'Assumptions'!$B$21,IF(9-'Schedule_Inputs'!$B$8=1,'Assumptions'!$C$21,IF(9-'Schedule_Inputs'!$B$8=2,'Assumptions'!$D$21,0))),IF('Schedule_Inputs'!$C$8="Launch",$C8*IF(9-'Schedule_Inputs'!$B$8=0,'Assumptions'!$B$22,IF(9-'Schedule_Inputs'!$B$8=1,'Assumptions'!$C$22,IF(9-'Schedule_Inputs'!$B$8=2,'Assumptions'!$D$22,IF(9-'Schedule_Inputs'!$B$8=3,'Assumptions'!$B$23,0)))),IF('Schedule_Inputs'!$C$8="Office Setup",$C8*IF(9-'Schedule_Inputs'!$B$8=0,'Assumptions'!$B$24,IF(9-'Schedule_Inputs'!$B$8=1,'Assumptions'!$C$24,IF(9-'Schedule_Inputs'!$B$8=2,'Assumptions'!$D$24,0))),IF(OR('Schedule_Inputs'!$C$8="Monthly",'Schedule_Inputs'!$C$8="Periodic"),IF(AND(9&gt;='Schedule_Inputs'!$B$8,MOD(9-'Schedule_Inputs'!$B$8,'Schedule_Inputs'!$E$8)=0,(9-'Schedule_Inputs'!$B$8)/'Schedule_Inputs'!$E$8&lt;'Schedule_Inputs'!$D$8),$C8/'Schedule_Inputs'!$D$8,0),0))))</f>
        <v/>
      </c>
      <c r="N8" s="231">
        <f>IF('Schedule_Inputs'!$C$8="Blueprint",$C8*IF(10-'Schedule_Inputs'!$B$8=0,'Assumptions'!$B$21,IF(10-'Schedule_Inputs'!$B$8=1,'Assumptions'!$C$21,IF(10-'Schedule_Inputs'!$B$8=2,'Assumptions'!$D$21,0))),IF('Schedule_Inputs'!$C$8="Launch",$C8*IF(10-'Schedule_Inputs'!$B$8=0,'Assumptions'!$B$22,IF(10-'Schedule_Inputs'!$B$8=1,'Assumptions'!$C$22,IF(10-'Schedule_Inputs'!$B$8=2,'Assumptions'!$D$22,IF(10-'Schedule_Inputs'!$B$8=3,'Assumptions'!$B$23,0)))),IF('Schedule_Inputs'!$C$8="Office Setup",$C8*IF(10-'Schedule_Inputs'!$B$8=0,'Assumptions'!$B$24,IF(10-'Schedule_Inputs'!$B$8=1,'Assumptions'!$C$24,IF(10-'Schedule_Inputs'!$B$8=2,'Assumptions'!$D$24,0))),IF(OR('Schedule_Inputs'!$C$8="Monthly",'Schedule_Inputs'!$C$8="Periodic"),IF(AND(10&gt;='Schedule_Inputs'!$B$8,MOD(10-'Schedule_Inputs'!$B$8,'Schedule_Inputs'!$E$8)=0,(10-'Schedule_Inputs'!$B$8)/'Schedule_Inputs'!$E$8&lt;'Schedule_Inputs'!$D$8),$C8/'Schedule_Inputs'!$D$8,0),0))))</f>
        <v/>
      </c>
      <c r="O8" s="231">
        <f>IF('Schedule_Inputs'!$C$8="Blueprint",$C8*IF(11-'Schedule_Inputs'!$B$8=0,'Assumptions'!$B$21,IF(11-'Schedule_Inputs'!$B$8=1,'Assumptions'!$C$21,IF(11-'Schedule_Inputs'!$B$8=2,'Assumptions'!$D$21,0))),IF('Schedule_Inputs'!$C$8="Launch",$C8*IF(11-'Schedule_Inputs'!$B$8=0,'Assumptions'!$B$22,IF(11-'Schedule_Inputs'!$B$8=1,'Assumptions'!$C$22,IF(11-'Schedule_Inputs'!$B$8=2,'Assumptions'!$D$22,IF(11-'Schedule_Inputs'!$B$8=3,'Assumptions'!$B$23,0)))),IF('Schedule_Inputs'!$C$8="Office Setup",$C8*IF(11-'Schedule_Inputs'!$B$8=0,'Assumptions'!$B$24,IF(11-'Schedule_Inputs'!$B$8=1,'Assumptions'!$C$24,IF(11-'Schedule_Inputs'!$B$8=2,'Assumptions'!$D$24,0))),IF(OR('Schedule_Inputs'!$C$8="Monthly",'Schedule_Inputs'!$C$8="Periodic"),IF(AND(11&gt;='Schedule_Inputs'!$B$8,MOD(11-'Schedule_Inputs'!$B$8,'Schedule_Inputs'!$E$8)=0,(11-'Schedule_Inputs'!$B$8)/'Schedule_Inputs'!$E$8&lt;'Schedule_Inputs'!$D$8),$C8/'Schedule_Inputs'!$D$8,0),0))))</f>
        <v/>
      </c>
      <c r="P8" s="231">
        <f>IF('Schedule_Inputs'!$C$8="Blueprint",$C8*IF(12-'Schedule_Inputs'!$B$8=0,'Assumptions'!$B$21,IF(12-'Schedule_Inputs'!$B$8=1,'Assumptions'!$C$21,IF(12-'Schedule_Inputs'!$B$8=2,'Assumptions'!$D$21,0))),IF('Schedule_Inputs'!$C$8="Launch",$C8*IF(12-'Schedule_Inputs'!$B$8=0,'Assumptions'!$B$22,IF(12-'Schedule_Inputs'!$B$8=1,'Assumptions'!$C$22,IF(12-'Schedule_Inputs'!$B$8=2,'Assumptions'!$D$22,IF(12-'Schedule_Inputs'!$B$8=3,'Assumptions'!$B$23,0)))),IF('Schedule_Inputs'!$C$8="Office Setup",$C8*IF(12-'Schedule_Inputs'!$B$8=0,'Assumptions'!$B$24,IF(12-'Schedule_Inputs'!$B$8=1,'Assumptions'!$C$24,IF(12-'Schedule_Inputs'!$B$8=2,'Assumptions'!$D$24,0))),IF(OR('Schedule_Inputs'!$C$8="Monthly",'Schedule_Inputs'!$C$8="Periodic"),IF(AND(12&gt;='Schedule_Inputs'!$B$8,MOD(12-'Schedule_Inputs'!$B$8,'Schedule_Inputs'!$E$8)=0,(12-'Schedule_Inputs'!$B$8)/'Schedule_Inputs'!$E$8&lt;'Schedule_Inputs'!$D$8),$C8/'Schedule_Inputs'!$D$8,0),0))))</f>
        <v/>
      </c>
      <c r="Q8" s="231">
        <f>IF('Schedule_Inputs'!$C$8="Blueprint",$C8*IF(13-'Schedule_Inputs'!$B$8=0,'Assumptions'!$B$21,IF(13-'Schedule_Inputs'!$B$8=1,'Assumptions'!$C$21,IF(13-'Schedule_Inputs'!$B$8=2,'Assumptions'!$D$21,0))),IF('Schedule_Inputs'!$C$8="Launch",$C8*IF(13-'Schedule_Inputs'!$B$8=0,'Assumptions'!$B$22,IF(13-'Schedule_Inputs'!$B$8=1,'Assumptions'!$C$22,IF(13-'Schedule_Inputs'!$B$8=2,'Assumptions'!$D$22,IF(13-'Schedule_Inputs'!$B$8=3,'Assumptions'!$B$23,0)))),IF('Schedule_Inputs'!$C$8="Office Setup",$C8*IF(13-'Schedule_Inputs'!$B$8=0,'Assumptions'!$B$24,IF(13-'Schedule_Inputs'!$B$8=1,'Assumptions'!$C$24,IF(13-'Schedule_Inputs'!$B$8=2,'Assumptions'!$D$24,0))),IF(OR('Schedule_Inputs'!$C$8="Monthly",'Schedule_Inputs'!$C$8="Periodic"),IF(AND(13&gt;='Schedule_Inputs'!$B$8,MOD(13-'Schedule_Inputs'!$B$8,'Schedule_Inputs'!$E$8)=0,(13-'Schedule_Inputs'!$B$8)/'Schedule_Inputs'!$E$8&lt;'Schedule_Inputs'!$D$8),$C8/'Schedule_Inputs'!$D$8,0),0))))</f>
        <v/>
      </c>
      <c r="R8" s="231">
        <f>IF('Schedule_Inputs'!$C$8="Blueprint",$C8*IF(14-'Schedule_Inputs'!$B$8=0,'Assumptions'!$B$21,IF(14-'Schedule_Inputs'!$B$8=1,'Assumptions'!$C$21,IF(14-'Schedule_Inputs'!$B$8=2,'Assumptions'!$D$21,0))),IF('Schedule_Inputs'!$C$8="Launch",$C8*IF(14-'Schedule_Inputs'!$B$8=0,'Assumptions'!$B$22,IF(14-'Schedule_Inputs'!$B$8=1,'Assumptions'!$C$22,IF(14-'Schedule_Inputs'!$B$8=2,'Assumptions'!$D$22,IF(14-'Schedule_Inputs'!$B$8=3,'Assumptions'!$B$23,0)))),IF('Schedule_Inputs'!$C$8="Office Setup",$C8*IF(14-'Schedule_Inputs'!$B$8=0,'Assumptions'!$B$24,IF(14-'Schedule_Inputs'!$B$8=1,'Assumptions'!$C$24,IF(14-'Schedule_Inputs'!$B$8=2,'Assumptions'!$D$24,0))),IF(OR('Schedule_Inputs'!$C$8="Monthly",'Schedule_Inputs'!$C$8="Periodic"),IF(AND(14&gt;='Schedule_Inputs'!$B$8,MOD(14-'Schedule_Inputs'!$B$8,'Schedule_Inputs'!$E$8)=0,(14-'Schedule_Inputs'!$B$8)/'Schedule_Inputs'!$E$8&lt;'Schedule_Inputs'!$D$8),$C8/'Schedule_Inputs'!$D$8,0),0))))</f>
        <v/>
      </c>
      <c r="S8" s="231">
        <f>IF('Schedule_Inputs'!$C$8="Blueprint",$C8*IF(15-'Schedule_Inputs'!$B$8=0,'Assumptions'!$B$21,IF(15-'Schedule_Inputs'!$B$8=1,'Assumptions'!$C$21,IF(15-'Schedule_Inputs'!$B$8=2,'Assumptions'!$D$21,0))),IF('Schedule_Inputs'!$C$8="Launch",$C8*IF(15-'Schedule_Inputs'!$B$8=0,'Assumptions'!$B$22,IF(15-'Schedule_Inputs'!$B$8=1,'Assumptions'!$C$22,IF(15-'Schedule_Inputs'!$B$8=2,'Assumptions'!$D$22,IF(15-'Schedule_Inputs'!$B$8=3,'Assumptions'!$B$23,0)))),IF('Schedule_Inputs'!$C$8="Office Setup",$C8*IF(15-'Schedule_Inputs'!$B$8=0,'Assumptions'!$B$24,IF(15-'Schedule_Inputs'!$B$8=1,'Assumptions'!$C$24,IF(15-'Schedule_Inputs'!$B$8=2,'Assumptions'!$D$24,0))),IF(OR('Schedule_Inputs'!$C$8="Monthly",'Schedule_Inputs'!$C$8="Periodic"),IF(AND(15&gt;='Schedule_Inputs'!$B$8,MOD(15-'Schedule_Inputs'!$B$8,'Schedule_Inputs'!$E$8)=0,(15-'Schedule_Inputs'!$B$8)/'Schedule_Inputs'!$E$8&lt;'Schedule_Inputs'!$D$8),$C8/'Schedule_Inputs'!$D$8,0),0))))</f>
        <v/>
      </c>
      <c r="T8" s="231">
        <f>IF('Schedule_Inputs'!$C$8="Blueprint",$C8*IF(16-'Schedule_Inputs'!$B$8=0,'Assumptions'!$B$21,IF(16-'Schedule_Inputs'!$B$8=1,'Assumptions'!$C$21,IF(16-'Schedule_Inputs'!$B$8=2,'Assumptions'!$D$21,0))),IF('Schedule_Inputs'!$C$8="Launch",$C8*IF(16-'Schedule_Inputs'!$B$8=0,'Assumptions'!$B$22,IF(16-'Schedule_Inputs'!$B$8=1,'Assumptions'!$C$22,IF(16-'Schedule_Inputs'!$B$8=2,'Assumptions'!$D$22,IF(16-'Schedule_Inputs'!$B$8=3,'Assumptions'!$B$23,0)))),IF('Schedule_Inputs'!$C$8="Office Setup",$C8*IF(16-'Schedule_Inputs'!$B$8=0,'Assumptions'!$B$24,IF(16-'Schedule_Inputs'!$B$8=1,'Assumptions'!$C$24,IF(16-'Schedule_Inputs'!$B$8=2,'Assumptions'!$D$24,0))),IF(OR('Schedule_Inputs'!$C$8="Monthly",'Schedule_Inputs'!$C$8="Periodic"),IF(AND(16&gt;='Schedule_Inputs'!$B$8,MOD(16-'Schedule_Inputs'!$B$8,'Schedule_Inputs'!$E$8)=0,(16-'Schedule_Inputs'!$B$8)/'Schedule_Inputs'!$E$8&lt;'Schedule_Inputs'!$D$8),$C8/'Schedule_Inputs'!$D$8,0),0))))</f>
        <v/>
      </c>
      <c r="U8" s="231">
        <f>IF('Schedule_Inputs'!$C$8="Blueprint",$C8*IF(17-'Schedule_Inputs'!$B$8=0,'Assumptions'!$B$21,IF(17-'Schedule_Inputs'!$B$8=1,'Assumptions'!$C$21,IF(17-'Schedule_Inputs'!$B$8=2,'Assumptions'!$D$21,0))),IF('Schedule_Inputs'!$C$8="Launch",$C8*IF(17-'Schedule_Inputs'!$B$8=0,'Assumptions'!$B$22,IF(17-'Schedule_Inputs'!$B$8=1,'Assumptions'!$C$22,IF(17-'Schedule_Inputs'!$B$8=2,'Assumptions'!$D$22,IF(17-'Schedule_Inputs'!$B$8=3,'Assumptions'!$B$23,0)))),IF('Schedule_Inputs'!$C$8="Office Setup",$C8*IF(17-'Schedule_Inputs'!$B$8=0,'Assumptions'!$B$24,IF(17-'Schedule_Inputs'!$B$8=1,'Assumptions'!$C$24,IF(17-'Schedule_Inputs'!$B$8=2,'Assumptions'!$D$24,0))),IF(OR('Schedule_Inputs'!$C$8="Monthly",'Schedule_Inputs'!$C$8="Periodic"),IF(AND(17&gt;='Schedule_Inputs'!$B$8,MOD(17-'Schedule_Inputs'!$B$8,'Schedule_Inputs'!$E$8)=0,(17-'Schedule_Inputs'!$B$8)/'Schedule_Inputs'!$E$8&lt;'Schedule_Inputs'!$D$8),$C8/'Schedule_Inputs'!$D$8,0),0))))</f>
        <v/>
      </c>
      <c r="V8" s="231">
        <f>IF('Schedule_Inputs'!$C$8="Blueprint",$C8*IF(18-'Schedule_Inputs'!$B$8=0,'Assumptions'!$B$21,IF(18-'Schedule_Inputs'!$B$8=1,'Assumptions'!$C$21,IF(18-'Schedule_Inputs'!$B$8=2,'Assumptions'!$D$21,0))),IF('Schedule_Inputs'!$C$8="Launch",$C8*IF(18-'Schedule_Inputs'!$B$8=0,'Assumptions'!$B$22,IF(18-'Schedule_Inputs'!$B$8=1,'Assumptions'!$C$22,IF(18-'Schedule_Inputs'!$B$8=2,'Assumptions'!$D$22,IF(18-'Schedule_Inputs'!$B$8=3,'Assumptions'!$B$23,0)))),IF('Schedule_Inputs'!$C$8="Office Setup",$C8*IF(18-'Schedule_Inputs'!$B$8=0,'Assumptions'!$B$24,IF(18-'Schedule_Inputs'!$B$8=1,'Assumptions'!$C$24,IF(18-'Schedule_Inputs'!$B$8=2,'Assumptions'!$D$24,0))),IF(OR('Schedule_Inputs'!$C$8="Monthly",'Schedule_Inputs'!$C$8="Periodic"),IF(AND(18&gt;='Schedule_Inputs'!$B$8,MOD(18-'Schedule_Inputs'!$B$8,'Schedule_Inputs'!$E$8)=0,(18-'Schedule_Inputs'!$B$8)/'Schedule_Inputs'!$E$8&lt;'Schedule_Inputs'!$D$8),$C8/'Schedule_Inputs'!$D$8,0),0))))</f>
        <v/>
      </c>
      <c r="W8" s="231">
        <f>IF('Schedule_Inputs'!$C$8="Blueprint",$C8*IF(19-'Schedule_Inputs'!$B$8=0,'Assumptions'!$B$21,IF(19-'Schedule_Inputs'!$B$8=1,'Assumptions'!$C$21,IF(19-'Schedule_Inputs'!$B$8=2,'Assumptions'!$D$21,0))),IF('Schedule_Inputs'!$C$8="Launch",$C8*IF(19-'Schedule_Inputs'!$B$8=0,'Assumptions'!$B$22,IF(19-'Schedule_Inputs'!$B$8=1,'Assumptions'!$C$22,IF(19-'Schedule_Inputs'!$B$8=2,'Assumptions'!$D$22,IF(19-'Schedule_Inputs'!$B$8=3,'Assumptions'!$B$23,0)))),IF('Schedule_Inputs'!$C$8="Office Setup",$C8*IF(19-'Schedule_Inputs'!$B$8=0,'Assumptions'!$B$24,IF(19-'Schedule_Inputs'!$B$8=1,'Assumptions'!$C$24,IF(19-'Schedule_Inputs'!$B$8=2,'Assumptions'!$D$24,0))),IF(OR('Schedule_Inputs'!$C$8="Monthly",'Schedule_Inputs'!$C$8="Periodic"),IF(AND(19&gt;='Schedule_Inputs'!$B$8,MOD(19-'Schedule_Inputs'!$B$8,'Schedule_Inputs'!$E$8)=0,(19-'Schedule_Inputs'!$B$8)/'Schedule_Inputs'!$E$8&lt;'Schedule_Inputs'!$D$8),$C8/'Schedule_Inputs'!$D$8,0),0))))</f>
        <v/>
      </c>
      <c r="X8" s="231">
        <f>IF('Schedule_Inputs'!$C$8="Blueprint",$C8*IF(20-'Schedule_Inputs'!$B$8=0,'Assumptions'!$B$21,IF(20-'Schedule_Inputs'!$B$8=1,'Assumptions'!$C$21,IF(20-'Schedule_Inputs'!$B$8=2,'Assumptions'!$D$21,0))),IF('Schedule_Inputs'!$C$8="Launch",$C8*IF(20-'Schedule_Inputs'!$B$8=0,'Assumptions'!$B$22,IF(20-'Schedule_Inputs'!$B$8=1,'Assumptions'!$C$22,IF(20-'Schedule_Inputs'!$B$8=2,'Assumptions'!$D$22,IF(20-'Schedule_Inputs'!$B$8=3,'Assumptions'!$B$23,0)))),IF('Schedule_Inputs'!$C$8="Office Setup",$C8*IF(20-'Schedule_Inputs'!$B$8=0,'Assumptions'!$B$24,IF(20-'Schedule_Inputs'!$B$8=1,'Assumptions'!$C$24,IF(20-'Schedule_Inputs'!$B$8=2,'Assumptions'!$D$24,0))),IF(OR('Schedule_Inputs'!$C$8="Monthly",'Schedule_Inputs'!$C$8="Periodic"),IF(AND(20&gt;='Schedule_Inputs'!$B$8,MOD(20-'Schedule_Inputs'!$B$8,'Schedule_Inputs'!$E$8)=0,(20-'Schedule_Inputs'!$B$8)/'Schedule_Inputs'!$E$8&lt;'Schedule_Inputs'!$D$8),$C8/'Schedule_Inputs'!$D$8,0),0))))</f>
        <v/>
      </c>
      <c r="Y8" s="231">
        <f>IF('Schedule_Inputs'!$C$8="Blueprint",$C8*IF(21-'Schedule_Inputs'!$B$8=0,'Assumptions'!$B$21,IF(21-'Schedule_Inputs'!$B$8=1,'Assumptions'!$C$21,IF(21-'Schedule_Inputs'!$B$8=2,'Assumptions'!$D$21,0))),IF('Schedule_Inputs'!$C$8="Launch",$C8*IF(21-'Schedule_Inputs'!$B$8=0,'Assumptions'!$B$22,IF(21-'Schedule_Inputs'!$B$8=1,'Assumptions'!$C$22,IF(21-'Schedule_Inputs'!$B$8=2,'Assumptions'!$D$22,IF(21-'Schedule_Inputs'!$B$8=3,'Assumptions'!$B$23,0)))),IF('Schedule_Inputs'!$C$8="Office Setup",$C8*IF(21-'Schedule_Inputs'!$B$8=0,'Assumptions'!$B$24,IF(21-'Schedule_Inputs'!$B$8=1,'Assumptions'!$C$24,IF(21-'Schedule_Inputs'!$B$8=2,'Assumptions'!$D$24,0))),IF(OR('Schedule_Inputs'!$C$8="Monthly",'Schedule_Inputs'!$C$8="Periodic"),IF(AND(21&gt;='Schedule_Inputs'!$B$8,MOD(21-'Schedule_Inputs'!$B$8,'Schedule_Inputs'!$E$8)=0,(21-'Schedule_Inputs'!$B$8)/'Schedule_Inputs'!$E$8&lt;'Schedule_Inputs'!$D$8),$C8/'Schedule_Inputs'!$D$8,0),0))))</f>
        <v/>
      </c>
      <c r="Z8" s="231">
        <f>IF('Schedule_Inputs'!$C$8="Blueprint",$C8*IF(22-'Schedule_Inputs'!$B$8=0,'Assumptions'!$B$21,IF(22-'Schedule_Inputs'!$B$8=1,'Assumptions'!$C$21,IF(22-'Schedule_Inputs'!$B$8=2,'Assumptions'!$D$21,0))),IF('Schedule_Inputs'!$C$8="Launch",$C8*IF(22-'Schedule_Inputs'!$B$8=0,'Assumptions'!$B$22,IF(22-'Schedule_Inputs'!$B$8=1,'Assumptions'!$C$22,IF(22-'Schedule_Inputs'!$B$8=2,'Assumptions'!$D$22,IF(22-'Schedule_Inputs'!$B$8=3,'Assumptions'!$B$23,0)))),IF('Schedule_Inputs'!$C$8="Office Setup",$C8*IF(22-'Schedule_Inputs'!$B$8=0,'Assumptions'!$B$24,IF(22-'Schedule_Inputs'!$B$8=1,'Assumptions'!$C$24,IF(22-'Schedule_Inputs'!$B$8=2,'Assumptions'!$D$24,0))),IF(OR('Schedule_Inputs'!$C$8="Monthly",'Schedule_Inputs'!$C$8="Periodic"),IF(AND(22&gt;='Schedule_Inputs'!$B$8,MOD(22-'Schedule_Inputs'!$B$8,'Schedule_Inputs'!$E$8)=0,(22-'Schedule_Inputs'!$B$8)/'Schedule_Inputs'!$E$8&lt;'Schedule_Inputs'!$D$8),$C8/'Schedule_Inputs'!$D$8,0),0))))</f>
        <v/>
      </c>
      <c r="AA8" s="231">
        <f>IF('Schedule_Inputs'!$C$8="Blueprint",$C8*IF(23-'Schedule_Inputs'!$B$8=0,'Assumptions'!$B$21,IF(23-'Schedule_Inputs'!$B$8=1,'Assumptions'!$C$21,IF(23-'Schedule_Inputs'!$B$8=2,'Assumptions'!$D$21,0))),IF('Schedule_Inputs'!$C$8="Launch",$C8*IF(23-'Schedule_Inputs'!$B$8=0,'Assumptions'!$B$22,IF(23-'Schedule_Inputs'!$B$8=1,'Assumptions'!$C$22,IF(23-'Schedule_Inputs'!$B$8=2,'Assumptions'!$D$22,IF(23-'Schedule_Inputs'!$B$8=3,'Assumptions'!$B$23,0)))),IF('Schedule_Inputs'!$C$8="Office Setup",$C8*IF(23-'Schedule_Inputs'!$B$8=0,'Assumptions'!$B$24,IF(23-'Schedule_Inputs'!$B$8=1,'Assumptions'!$C$24,IF(23-'Schedule_Inputs'!$B$8=2,'Assumptions'!$D$24,0))),IF(OR('Schedule_Inputs'!$C$8="Monthly",'Schedule_Inputs'!$C$8="Periodic"),IF(AND(23&gt;='Schedule_Inputs'!$B$8,MOD(23-'Schedule_Inputs'!$B$8,'Schedule_Inputs'!$E$8)=0,(23-'Schedule_Inputs'!$B$8)/'Schedule_Inputs'!$E$8&lt;'Schedule_Inputs'!$D$8),$C8/'Schedule_Inputs'!$D$8,0),0))))</f>
        <v/>
      </c>
      <c r="AB8" s="231">
        <f>IF('Schedule_Inputs'!$C$8="Blueprint",$C8*IF(24-'Schedule_Inputs'!$B$8=0,'Assumptions'!$B$21,IF(24-'Schedule_Inputs'!$B$8=1,'Assumptions'!$C$21,IF(24-'Schedule_Inputs'!$B$8=2,'Assumptions'!$D$21,0))),IF('Schedule_Inputs'!$C$8="Launch",$C8*IF(24-'Schedule_Inputs'!$B$8=0,'Assumptions'!$B$22,IF(24-'Schedule_Inputs'!$B$8=1,'Assumptions'!$C$22,IF(24-'Schedule_Inputs'!$B$8=2,'Assumptions'!$D$22,IF(24-'Schedule_Inputs'!$B$8=3,'Assumptions'!$B$23,0)))),IF('Schedule_Inputs'!$C$8="Office Setup",$C8*IF(24-'Schedule_Inputs'!$B$8=0,'Assumptions'!$B$24,IF(24-'Schedule_Inputs'!$B$8=1,'Assumptions'!$C$24,IF(24-'Schedule_Inputs'!$B$8=2,'Assumptions'!$D$24,0))),IF(OR('Schedule_Inputs'!$C$8="Monthly",'Schedule_Inputs'!$C$8="Periodic"),IF(AND(24&gt;='Schedule_Inputs'!$B$8,MOD(24-'Schedule_Inputs'!$B$8,'Schedule_Inputs'!$E$8)=0,(24-'Schedule_Inputs'!$B$8)/'Schedule_Inputs'!$E$8&lt;'Schedule_Inputs'!$D$8),$C8/'Schedule_Inputs'!$D$8,0),0))))</f>
        <v/>
      </c>
      <c r="AC8" s="231">
        <f>IF('Schedule_Inputs'!$C$8="Blueprint",$C8*IF(25-'Schedule_Inputs'!$B$8=0,'Assumptions'!$B$21,IF(25-'Schedule_Inputs'!$B$8=1,'Assumptions'!$C$21,IF(25-'Schedule_Inputs'!$B$8=2,'Assumptions'!$D$21,0))),IF('Schedule_Inputs'!$C$8="Launch",$C8*IF(25-'Schedule_Inputs'!$B$8=0,'Assumptions'!$B$22,IF(25-'Schedule_Inputs'!$B$8=1,'Assumptions'!$C$22,IF(25-'Schedule_Inputs'!$B$8=2,'Assumptions'!$D$22,IF(25-'Schedule_Inputs'!$B$8=3,'Assumptions'!$B$23,0)))),IF('Schedule_Inputs'!$C$8="Office Setup",$C8*IF(25-'Schedule_Inputs'!$B$8=0,'Assumptions'!$B$24,IF(25-'Schedule_Inputs'!$B$8=1,'Assumptions'!$C$24,IF(25-'Schedule_Inputs'!$B$8=2,'Assumptions'!$D$24,0))),IF(OR('Schedule_Inputs'!$C$8="Monthly",'Schedule_Inputs'!$C$8="Periodic"),IF(AND(25&gt;='Schedule_Inputs'!$B$8,MOD(25-'Schedule_Inputs'!$B$8,'Schedule_Inputs'!$E$8)=0,(25-'Schedule_Inputs'!$B$8)/'Schedule_Inputs'!$E$8&lt;'Schedule_Inputs'!$D$8),$C8/'Schedule_Inputs'!$D$8,0),0))))</f>
        <v/>
      </c>
      <c r="AD8" s="231">
        <f>IF('Schedule_Inputs'!$C$8="Blueprint",$C8*IF(26-'Schedule_Inputs'!$B$8=0,'Assumptions'!$B$21,IF(26-'Schedule_Inputs'!$B$8=1,'Assumptions'!$C$21,IF(26-'Schedule_Inputs'!$B$8=2,'Assumptions'!$D$21,0))),IF('Schedule_Inputs'!$C$8="Launch",$C8*IF(26-'Schedule_Inputs'!$B$8=0,'Assumptions'!$B$22,IF(26-'Schedule_Inputs'!$B$8=1,'Assumptions'!$C$22,IF(26-'Schedule_Inputs'!$B$8=2,'Assumptions'!$D$22,IF(26-'Schedule_Inputs'!$B$8=3,'Assumptions'!$B$23,0)))),IF('Schedule_Inputs'!$C$8="Office Setup",$C8*IF(26-'Schedule_Inputs'!$B$8=0,'Assumptions'!$B$24,IF(26-'Schedule_Inputs'!$B$8=1,'Assumptions'!$C$24,IF(26-'Schedule_Inputs'!$B$8=2,'Assumptions'!$D$24,0))),IF(OR('Schedule_Inputs'!$C$8="Monthly",'Schedule_Inputs'!$C$8="Periodic"),IF(AND(26&gt;='Schedule_Inputs'!$B$8,MOD(26-'Schedule_Inputs'!$B$8,'Schedule_Inputs'!$E$8)=0,(26-'Schedule_Inputs'!$B$8)/'Schedule_Inputs'!$E$8&lt;'Schedule_Inputs'!$D$8),$C8/'Schedule_Inputs'!$D$8,0),0))))</f>
        <v/>
      </c>
      <c r="AE8" s="231">
        <f>IF('Schedule_Inputs'!$C$8="Blueprint",$C8*IF(27-'Schedule_Inputs'!$B$8=0,'Assumptions'!$B$21,IF(27-'Schedule_Inputs'!$B$8=1,'Assumptions'!$C$21,IF(27-'Schedule_Inputs'!$B$8=2,'Assumptions'!$D$21,0))),IF('Schedule_Inputs'!$C$8="Launch",$C8*IF(27-'Schedule_Inputs'!$B$8=0,'Assumptions'!$B$22,IF(27-'Schedule_Inputs'!$B$8=1,'Assumptions'!$C$22,IF(27-'Schedule_Inputs'!$B$8=2,'Assumptions'!$D$22,IF(27-'Schedule_Inputs'!$B$8=3,'Assumptions'!$B$23,0)))),IF('Schedule_Inputs'!$C$8="Office Setup",$C8*IF(27-'Schedule_Inputs'!$B$8=0,'Assumptions'!$B$24,IF(27-'Schedule_Inputs'!$B$8=1,'Assumptions'!$C$24,IF(27-'Schedule_Inputs'!$B$8=2,'Assumptions'!$D$24,0))),IF(OR('Schedule_Inputs'!$C$8="Monthly",'Schedule_Inputs'!$C$8="Periodic"),IF(AND(27&gt;='Schedule_Inputs'!$B$8,MOD(27-'Schedule_Inputs'!$B$8,'Schedule_Inputs'!$E$8)=0,(27-'Schedule_Inputs'!$B$8)/'Schedule_Inputs'!$E$8&lt;'Schedule_Inputs'!$D$8),$C8/'Schedule_Inputs'!$D$8,0),0))))</f>
        <v/>
      </c>
      <c r="AF8" s="231">
        <f>IF('Schedule_Inputs'!$C$8="Blueprint",$C8*IF(28-'Schedule_Inputs'!$B$8=0,'Assumptions'!$B$21,IF(28-'Schedule_Inputs'!$B$8=1,'Assumptions'!$C$21,IF(28-'Schedule_Inputs'!$B$8=2,'Assumptions'!$D$21,0))),IF('Schedule_Inputs'!$C$8="Launch",$C8*IF(28-'Schedule_Inputs'!$B$8=0,'Assumptions'!$B$22,IF(28-'Schedule_Inputs'!$B$8=1,'Assumptions'!$C$22,IF(28-'Schedule_Inputs'!$B$8=2,'Assumptions'!$D$22,IF(28-'Schedule_Inputs'!$B$8=3,'Assumptions'!$B$23,0)))),IF('Schedule_Inputs'!$C$8="Office Setup",$C8*IF(28-'Schedule_Inputs'!$B$8=0,'Assumptions'!$B$24,IF(28-'Schedule_Inputs'!$B$8=1,'Assumptions'!$C$24,IF(28-'Schedule_Inputs'!$B$8=2,'Assumptions'!$D$24,0))),IF(OR('Schedule_Inputs'!$C$8="Monthly",'Schedule_Inputs'!$C$8="Periodic"),IF(AND(28&gt;='Schedule_Inputs'!$B$8,MOD(28-'Schedule_Inputs'!$B$8,'Schedule_Inputs'!$E$8)=0,(28-'Schedule_Inputs'!$B$8)/'Schedule_Inputs'!$E$8&lt;'Schedule_Inputs'!$D$8),$C8/'Schedule_Inputs'!$D$8,0),0))))</f>
        <v/>
      </c>
      <c r="AG8" s="231">
        <f>IF('Schedule_Inputs'!$C$8="Blueprint",$C8*IF(29-'Schedule_Inputs'!$B$8=0,'Assumptions'!$B$21,IF(29-'Schedule_Inputs'!$B$8=1,'Assumptions'!$C$21,IF(29-'Schedule_Inputs'!$B$8=2,'Assumptions'!$D$21,0))),IF('Schedule_Inputs'!$C$8="Launch",$C8*IF(29-'Schedule_Inputs'!$B$8=0,'Assumptions'!$B$22,IF(29-'Schedule_Inputs'!$B$8=1,'Assumptions'!$C$22,IF(29-'Schedule_Inputs'!$B$8=2,'Assumptions'!$D$22,IF(29-'Schedule_Inputs'!$B$8=3,'Assumptions'!$B$23,0)))),IF('Schedule_Inputs'!$C$8="Office Setup",$C8*IF(29-'Schedule_Inputs'!$B$8=0,'Assumptions'!$B$24,IF(29-'Schedule_Inputs'!$B$8=1,'Assumptions'!$C$24,IF(29-'Schedule_Inputs'!$B$8=2,'Assumptions'!$D$24,0))),IF(OR('Schedule_Inputs'!$C$8="Monthly",'Schedule_Inputs'!$C$8="Periodic"),IF(AND(29&gt;='Schedule_Inputs'!$B$8,MOD(29-'Schedule_Inputs'!$B$8,'Schedule_Inputs'!$E$8)=0,(29-'Schedule_Inputs'!$B$8)/'Schedule_Inputs'!$E$8&lt;'Schedule_Inputs'!$D$8),$C8/'Schedule_Inputs'!$D$8,0),0))))</f>
        <v/>
      </c>
      <c r="AH8" s="231">
        <f>IF('Schedule_Inputs'!$C$8="Blueprint",$C8*IF(30-'Schedule_Inputs'!$B$8=0,'Assumptions'!$B$21,IF(30-'Schedule_Inputs'!$B$8=1,'Assumptions'!$C$21,IF(30-'Schedule_Inputs'!$B$8=2,'Assumptions'!$D$21,0))),IF('Schedule_Inputs'!$C$8="Launch",$C8*IF(30-'Schedule_Inputs'!$B$8=0,'Assumptions'!$B$22,IF(30-'Schedule_Inputs'!$B$8=1,'Assumptions'!$C$22,IF(30-'Schedule_Inputs'!$B$8=2,'Assumptions'!$D$22,IF(30-'Schedule_Inputs'!$B$8=3,'Assumptions'!$B$23,0)))),IF('Schedule_Inputs'!$C$8="Office Setup",$C8*IF(30-'Schedule_Inputs'!$B$8=0,'Assumptions'!$B$24,IF(30-'Schedule_Inputs'!$B$8=1,'Assumptions'!$C$24,IF(30-'Schedule_Inputs'!$B$8=2,'Assumptions'!$D$24,0))),IF(OR('Schedule_Inputs'!$C$8="Monthly",'Schedule_Inputs'!$C$8="Periodic"),IF(AND(30&gt;='Schedule_Inputs'!$B$8,MOD(30-'Schedule_Inputs'!$B$8,'Schedule_Inputs'!$E$8)=0,(30-'Schedule_Inputs'!$B$8)/'Schedule_Inputs'!$E$8&lt;'Schedule_Inputs'!$D$8),$C8/'Schedule_Inputs'!$D$8,0),0))))</f>
        <v/>
      </c>
      <c r="AI8" s="231">
        <f>IF('Schedule_Inputs'!$C$8="Blueprint",$C8*IF(31-'Schedule_Inputs'!$B$8=0,'Assumptions'!$B$21,IF(31-'Schedule_Inputs'!$B$8=1,'Assumptions'!$C$21,IF(31-'Schedule_Inputs'!$B$8=2,'Assumptions'!$D$21,0))),IF('Schedule_Inputs'!$C$8="Launch",$C8*IF(31-'Schedule_Inputs'!$B$8=0,'Assumptions'!$B$22,IF(31-'Schedule_Inputs'!$B$8=1,'Assumptions'!$C$22,IF(31-'Schedule_Inputs'!$B$8=2,'Assumptions'!$D$22,IF(31-'Schedule_Inputs'!$B$8=3,'Assumptions'!$B$23,0)))),IF('Schedule_Inputs'!$C$8="Office Setup",$C8*IF(31-'Schedule_Inputs'!$B$8=0,'Assumptions'!$B$24,IF(31-'Schedule_Inputs'!$B$8=1,'Assumptions'!$C$24,IF(31-'Schedule_Inputs'!$B$8=2,'Assumptions'!$D$24,0))),IF(OR('Schedule_Inputs'!$C$8="Monthly",'Schedule_Inputs'!$C$8="Periodic"),IF(AND(31&gt;='Schedule_Inputs'!$B$8,MOD(31-'Schedule_Inputs'!$B$8,'Schedule_Inputs'!$E$8)=0,(31-'Schedule_Inputs'!$B$8)/'Schedule_Inputs'!$E$8&lt;'Schedule_Inputs'!$D$8),$C8/'Schedule_Inputs'!$D$8,0),0))))</f>
        <v/>
      </c>
      <c r="AJ8" s="231">
        <f>IF('Schedule_Inputs'!$C$8="Blueprint",$C8*IF(32-'Schedule_Inputs'!$B$8=0,'Assumptions'!$B$21,IF(32-'Schedule_Inputs'!$B$8=1,'Assumptions'!$C$21,IF(32-'Schedule_Inputs'!$B$8=2,'Assumptions'!$D$21,0))),IF('Schedule_Inputs'!$C$8="Launch",$C8*IF(32-'Schedule_Inputs'!$B$8=0,'Assumptions'!$B$22,IF(32-'Schedule_Inputs'!$B$8=1,'Assumptions'!$C$22,IF(32-'Schedule_Inputs'!$B$8=2,'Assumptions'!$D$22,IF(32-'Schedule_Inputs'!$B$8=3,'Assumptions'!$B$23,0)))),IF('Schedule_Inputs'!$C$8="Office Setup",$C8*IF(32-'Schedule_Inputs'!$B$8=0,'Assumptions'!$B$24,IF(32-'Schedule_Inputs'!$B$8=1,'Assumptions'!$C$24,IF(32-'Schedule_Inputs'!$B$8=2,'Assumptions'!$D$24,0))),IF(OR('Schedule_Inputs'!$C$8="Monthly",'Schedule_Inputs'!$C$8="Periodic"),IF(AND(32&gt;='Schedule_Inputs'!$B$8,MOD(32-'Schedule_Inputs'!$B$8,'Schedule_Inputs'!$E$8)=0,(32-'Schedule_Inputs'!$B$8)/'Schedule_Inputs'!$E$8&lt;'Schedule_Inputs'!$D$8),$C8/'Schedule_Inputs'!$D$8,0),0))))</f>
        <v/>
      </c>
      <c r="AK8" s="231">
        <f>IF('Schedule_Inputs'!$C$8="Blueprint",$C8*IF(33-'Schedule_Inputs'!$B$8=0,'Assumptions'!$B$21,IF(33-'Schedule_Inputs'!$B$8=1,'Assumptions'!$C$21,IF(33-'Schedule_Inputs'!$B$8=2,'Assumptions'!$D$21,0))),IF('Schedule_Inputs'!$C$8="Launch",$C8*IF(33-'Schedule_Inputs'!$B$8=0,'Assumptions'!$B$22,IF(33-'Schedule_Inputs'!$B$8=1,'Assumptions'!$C$22,IF(33-'Schedule_Inputs'!$B$8=2,'Assumptions'!$D$22,IF(33-'Schedule_Inputs'!$B$8=3,'Assumptions'!$B$23,0)))),IF('Schedule_Inputs'!$C$8="Office Setup",$C8*IF(33-'Schedule_Inputs'!$B$8=0,'Assumptions'!$B$24,IF(33-'Schedule_Inputs'!$B$8=1,'Assumptions'!$C$24,IF(33-'Schedule_Inputs'!$B$8=2,'Assumptions'!$D$24,0))),IF(OR('Schedule_Inputs'!$C$8="Monthly",'Schedule_Inputs'!$C$8="Periodic"),IF(AND(33&gt;='Schedule_Inputs'!$B$8,MOD(33-'Schedule_Inputs'!$B$8,'Schedule_Inputs'!$E$8)=0,(33-'Schedule_Inputs'!$B$8)/'Schedule_Inputs'!$E$8&lt;'Schedule_Inputs'!$D$8),$C8/'Schedule_Inputs'!$D$8,0),0))))</f>
        <v/>
      </c>
      <c r="AL8" s="231">
        <f>IF('Schedule_Inputs'!$C$8="Blueprint",$C8*IF(34-'Schedule_Inputs'!$B$8=0,'Assumptions'!$B$21,IF(34-'Schedule_Inputs'!$B$8=1,'Assumptions'!$C$21,IF(34-'Schedule_Inputs'!$B$8=2,'Assumptions'!$D$21,0))),IF('Schedule_Inputs'!$C$8="Launch",$C8*IF(34-'Schedule_Inputs'!$B$8=0,'Assumptions'!$B$22,IF(34-'Schedule_Inputs'!$B$8=1,'Assumptions'!$C$22,IF(34-'Schedule_Inputs'!$B$8=2,'Assumptions'!$D$22,IF(34-'Schedule_Inputs'!$B$8=3,'Assumptions'!$B$23,0)))),IF('Schedule_Inputs'!$C$8="Office Setup",$C8*IF(34-'Schedule_Inputs'!$B$8=0,'Assumptions'!$B$24,IF(34-'Schedule_Inputs'!$B$8=1,'Assumptions'!$C$24,IF(34-'Schedule_Inputs'!$B$8=2,'Assumptions'!$D$24,0))),IF(OR('Schedule_Inputs'!$C$8="Monthly",'Schedule_Inputs'!$C$8="Periodic"),IF(AND(34&gt;='Schedule_Inputs'!$B$8,MOD(34-'Schedule_Inputs'!$B$8,'Schedule_Inputs'!$E$8)=0,(34-'Schedule_Inputs'!$B$8)/'Schedule_Inputs'!$E$8&lt;'Schedule_Inputs'!$D$8),$C8/'Schedule_Inputs'!$D$8,0),0))))</f>
        <v/>
      </c>
      <c r="AM8" s="231">
        <f>IF('Schedule_Inputs'!$C$8="Blueprint",$C8*IF(35-'Schedule_Inputs'!$B$8=0,'Assumptions'!$B$21,IF(35-'Schedule_Inputs'!$B$8=1,'Assumptions'!$C$21,IF(35-'Schedule_Inputs'!$B$8=2,'Assumptions'!$D$21,0))),IF('Schedule_Inputs'!$C$8="Launch",$C8*IF(35-'Schedule_Inputs'!$B$8=0,'Assumptions'!$B$22,IF(35-'Schedule_Inputs'!$B$8=1,'Assumptions'!$C$22,IF(35-'Schedule_Inputs'!$B$8=2,'Assumptions'!$D$22,IF(35-'Schedule_Inputs'!$B$8=3,'Assumptions'!$B$23,0)))),IF('Schedule_Inputs'!$C$8="Office Setup",$C8*IF(35-'Schedule_Inputs'!$B$8=0,'Assumptions'!$B$24,IF(35-'Schedule_Inputs'!$B$8=1,'Assumptions'!$C$24,IF(35-'Schedule_Inputs'!$B$8=2,'Assumptions'!$D$24,0))),IF(OR('Schedule_Inputs'!$C$8="Monthly",'Schedule_Inputs'!$C$8="Periodic"),IF(AND(35&gt;='Schedule_Inputs'!$B$8,MOD(35-'Schedule_Inputs'!$B$8,'Schedule_Inputs'!$E$8)=0,(35-'Schedule_Inputs'!$B$8)/'Schedule_Inputs'!$E$8&lt;'Schedule_Inputs'!$D$8),$C8/'Schedule_Inputs'!$D$8,0),0))))</f>
        <v/>
      </c>
      <c r="AN8" s="231">
        <f>IF('Schedule_Inputs'!$C$8="Blueprint",$C8*IF(36-'Schedule_Inputs'!$B$8=0,'Assumptions'!$B$21,IF(36-'Schedule_Inputs'!$B$8=1,'Assumptions'!$C$21,IF(36-'Schedule_Inputs'!$B$8=2,'Assumptions'!$D$21,0))),IF('Schedule_Inputs'!$C$8="Launch",$C8*IF(36-'Schedule_Inputs'!$B$8=0,'Assumptions'!$B$22,IF(36-'Schedule_Inputs'!$B$8=1,'Assumptions'!$C$22,IF(36-'Schedule_Inputs'!$B$8=2,'Assumptions'!$D$22,IF(36-'Schedule_Inputs'!$B$8=3,'Assumptions'!$B$23,0)))),IF('Schedule_Inputs'!$C$8="Office Setup",$C8*IF(36-'Schedule_Inputs'!$B$8=0,'Assumptions'!$B$24,IF(36-'Schedule_Inputs'!$B$8=1,'Assumptions'!$C$24,IF(36-'Schedule_Inputs'!$B$8=2,'Assumptions'!$D$24,0))),IF(OR('Schedule_Inputs'!$C$8="Monthly",'Schedule_Inputs'!$C$8="Periodic"),IF(AND(36&gt;='Schedule_Inputs'!$B$8,MOD(36-'Schedule_Inputs'!$B$8,'Schedule_Inputs'!$E$8)=0,(36-'Schedule_Inputs'!$B$8)/'Schedule_Inputs'!$E$8&lt;'Schedule_Inputs'!$D$8),$C8/'Schedule_Inputs'!$D$8,0),0))))</f>
        <v/>
      </c>
    </row>
    <row r="9">
      <c r="A9" s="106" t="inlineStr">
        <is>
          <t>Add-ons 01</t>
        </is>
      </c>
      <c r="B9" s="106" t="n">
        <v>1</v>
      </c>
      <c r="C9" s="230" t="n">
        <v>10500</v>
      </c>
      <c r="D9" s="231" t="inlineStr">
        <is>
          <t>approved scope</t>
        </is>
      </c>
      <c r="E9" s="231">
        <f>IF('Schedule_Inputs'!$C$9="Blueprint",$C9*IF(1-'Schedule_Inputs'!$B$9=0,'Assumptions'!$B$21,IF(1-'Schedule_Inputs'!$B$9=1,'Assumptions'!$C$21,IF(1-'Schedule_Inputs'!$B$9=2,'Assumptions'!$D$21,0))),IF('Schedule_Inputs'!$C$9="Launch",$C9*IF(1-'Schedule_Inputs'!$B$9=0,'Assumptions'!$B$22,IF(1-'Schedule_Inputs'!$B$9=1,'Assumptions'!$C$22,IF(1-'Schedule_Inputs'!$B$9=2,'Assumptions'!$D$22,IF(1-'Schedule_Inputs'!$B$9=3,'Assumptions'!$B$23,0)))),IF('Schedule_Inputs'!$C$9="Office Setup",$C9*IF(1-'Schedule_Inputs'!$B$9=0,'Assumptions'!$B$24,IF(1-'Schedule_Inputs'!$B$9=1,'Assumptions'!$C$24,IF(1-'Schedule_Inputs'!$B$9=2,'Assumptions'!$D$24,0))),IF(OR('Schedule_Inputs'!$C$9="Monthly",'Schedule_Inputs'!$C$9="Periodic"),IF(AND(1&gt;='Schedule_Inputs'!$B$9,MOD(1-'Schedule_Inputs'!$B$9,'Schedule_Inputs'!$E$9)=0,(1-'Schedule_Inputs'!$B$9)/'Schedule_Inputs'!$E$9&lt;'Schedule_Inputs'!$D$9),$C9/'Schedule_Inputs'!$D$9,0),0))))</f>
        <v/>
      </c>
      <c r="F9" s="231">
        <f>IF('Schedule_Inputs'!$C$9="Blueprint",$C9*IF(2-'Schedule_Inputs'!$B$9=0,'Assumptions'!$B$21,IF(2-'Schedule_Inputs'!$B$9=1,'Assumptions'!$C$21,IF(2-'Schedule_Inputs'!$B$9=2,'Assumptions'!$D$21,0))),IF('Schedule_Inputs'!$C$9="Launch",$C9*IF(2-'Schedule_Inputs'!$B$9=0,'Assumptions'!$B$22,IF(2-'Schedule_Inputs'!$B$9=1,'Assumptions'!$C$22,IF(2-'Schedule_Inputs'!$B$9=2,'Assumptions'!$D$22,IF(2-'Schedule_Inputs'!$B$9=3,'Assumptions'!$B$23,0)))),IF('Schedule_Inputs'!$C$9="Office Setup",$C9*IF(2-'Schedule_Inputs'!$B$9=0,'Assumptions'!$B$24,IF(2-'Schedule_Inputs'!$B$9=1,'Assumptions'!$C$24,IF(2-'Schedule_Inputs'!$B$9=2,'Assumptions'!$D$24,0))),IF(OR('Schedule_Inputs'!$C$9="Monthly",'Schedule_Inputs'!$C$9="Periodic"),IF(AND(2&gt;='Schedule_Inputs'!$B$9,MOD(2-'Schedule_Inputs'!$B$9,'Schedule_Inputs'!$E$9)=0,(2-'Schedule_Inputs'!$B$9)/'Schedule_Inputs'!$E$9&lt;'Schedule_Inputs'!$D$9),$C9/'Schedule_Inputs'!$D$9,0),0))))</f>
        <v/>
      </c>
      <c r="G9" s="231">
        <f>IF('Schedule_Inputs'!$C$9="Blueprint",$C9*IF(3-'Schedule_Inputs'!$B$9=0,'Assumptions'!$B$21,IF(3-'Schedule_Inputs'!$B$9=1,'Assumptions'!$C$21,IF(3-'Schedule_Inputs'!$B$9=2,'Assumptions'!$D$21,0))),IF('Schedule_Inputs'!$C$9="Launch",$C9*IF(3-'Schedule_Inputs'!$B$9=0,'Assumptions'!$B$22,IF(3-'Schedule_Inputs'!$B$9=1,'Assumptions'!$C$22,IF(3-'Schedule_Inputs'!$B$9=2,'Assumptions'!$D$22,IF(3-'Schedule_Inputs'!$B$9=3,'Assumptions'!$B$23,0)))),IF('Schedule_Inputs'!$C$9="Office Setup",$C9*IF(3-'Schedule_Inputs'!$B$9=0,'Assumptions'!$B$24,IF(3-'Schedule_Inputs'!$B$9=1,'Assumptions'!$C$24,IF(3-'Schedule_Inputs'!$B$9=2,'Assumptions'!$D$24,0))),IF(OR('Schedule_Inputs'!$C$9="Monthly",'Schedule_Inputs'!$C$9="Periodic"),IF(AND(3&gt;='Schedule_Inputs'!$B$9,MOD(3-'Schedule_Inputs'!$B$9,'Schedule_Inputs'!$E$9)=0,(3-'Schedule_Inputs'!$B$9)/'Schedule_Inputs'!$E$9&lt;'Schedule_Inputs'!$D$9),$C9/'Schedule_Inputs'!$D$9,0),0))))</f>
        <v/>
      </c>
      <c r="H9" s="231">
        <f>IF('Schedule_Inputs'!$C$9="Blueprint",$C9*IF(4-'Schedule_Inputs'!$B$9=0,'Assumptions'!$B$21,IF(4-'Schedule_Inputs'!$B$9=1,'Assumptions'!$C$21,IF(4-'Schedule_Inputs'!$B$9=2,'Assumptions'!$D$21,0))),IF('Schedule_Inputs'!$C$9="Launch",$C9*IF(4-'Schedule_Inputs'!$B$9=0,'Assumptions'!$B$22,IF(4-'Schedule_Inputs'!$B$9=1,'Assumptions'!$C$22,IF(4-'Schedule_Inputs'!$B$9=2,'Assumptions'!$D$22,IF(4-'Schedule_Inputs'!$B$9=3,'Assumptions'!$B$23,0)))),IF('Schedule_Inputs'!$C$9="Office Setup",$C9*IF(4-'Schedule_Inputs'!$B$9=0,'Assumptions'!$B$24,IF(4-'Schedule_Inputs'!$B$9=1,'Assumptions'!$C$24,IF(4-'Schedule_Inputs'!$B$9=2,'Assumptions'!$D$24,0))),IF(OR('Schedule_Inputs'!$C$9="Monthly",'Schedule_Inputs'!$C$9="Periodic"),IF(AND(4&gt;='Schedule_Inputs'!$B$9,MOD(4-'Schedule_Inputs'!$B$9,'Schedule_Inputs'!$E$9)=0,(4-'Schedule_Inputs'!$B$9)/'Schedule_Inputs'!$E$9&lt;'Schedule_Inputs'!$D$9),$C9/'Schedule_Inputs'!$D$9,0),0))))</f>
        <v/>
      </c>
      <c r="I9" s="231">
        <f>IF('Schedule_Inputs'!$C$9="Blueprint",$C9*IF(5-'Schedule_Inputs'!$B$9=0,'Assumptions'!$B$21,IF(5-'Schedule_Inputs'!$B$9=1,'Assumptions'!$C$21,IF(5-'Schedule_Inputs'!$B$9=2,'Assumptions'!$D$21,0))),IF('Schedule_Inputs'!$C$9="Launch",$C9*IF(5-'Schedule_Inputs'!$B$9=0,'Assumptions'!$B$22,IF(5-'Schedule_Inputs'!$B$9=1,'Assumptions'!$C$22,IF(5-'Schedule_Inputs'!$B$9=2,'Assumptions'!$D$22,IF(5-'Schedule_Inputs'!$B$9=3,'Assumptions'!$B$23,0)))),IF('Schedule_Inputs'!$C$9="Office Setup",$C9*IF(5-'Schedule_Inputs'!$B$9=0,'Assumptions'!$B$24,IF(5-'Schedule_Inputs'!$B$9=1,'Assumptions'!$C$24,IF(5-'Schedule_Inputs'!$B$9=2,'Assumptions'!$D$24,0))),IF(OR('Schedule_Inputs'!$C$9="Monthly",'Schedule_Inputs'!$C$9="Periodic"),IF(AND(5&gt;='Schedule_Inputs'!$B$9,MOD(5-'Schedule_Inputs'!$B$9,'Schedule_Inputs'!$E$9)=0,(5-'Schedule_Inputs'!$B$9)/'Schedule_Inputs'!$E$9&lt;'Schedule_Inputs'!$D$9),$C9/'Schedule_Inputs'!$D$9,0),0))))</f>
        <v/>
      </c>
      <c r="J9" s="231">
        <f>IF('Schedule_Inputs'!$C$9="Blueprint",$C9*IF(6-'Schedule_Inputs'!$B$9=0,'Assumptions'!$B$21,IF(6-'Schedule_Inputs'!$B$9=1,'Assumptions'!$C$21,IF(6-'Schedule_Inputs'!$B$9=2,'Assumptions'!$D$21,0))),IF('Schedule_Inputs'!$C$9="Launch",$C9*IF(6-'Schedule_Inputs'!$B$9=0,'Assumptions'!$B$22,IF(6-'Schedule_Inputs'!$B$9=1,'Assumptions'!$C$22,IF(6-'Schedule_Inputs'!$B$9=2,'Assumptions'!$D$22,IF(6-'Schedule_Inputs'!$B$9=3,'Assumptions'!$B$23,0)))),IF('Schedule_Inputs'!$C$9="Office Setup",$C9*IF(6-'Schedule_Inputs'!$B$9=0,'Assumptions'!$B$24,IF(6-'Schedule_Inputs'!$B$9=1,'Assumptions'!$C$24,IF(6-'Schedule_Inputs'!$B$9=2,'Assumptions'!$D$24,0))),IF(OR('Schedule_Inputs'!$C$9="Monthly",'Schedule_Inputs'!$C$9="Periodic"),IF(AND(6&gt;='Schedule_Inputs'!$B$9,MOD(6-'Schedule_Inputs'!$B$9,'Schedule_Inputs'!$E$9)=0,(6-'Schedule_Inputs'!$B$9)/'Schedule_Inputs'!$E$9&lt;'Schedule_Inputs'!$D$9),$C9/'Schedule_Inputs'!$D$9,0),0))))</f>
        <v/>
      </c>
      <c r="K9" s="231">
        <f>IF('Schedule_Inputs'!$C$9="Blueprint",$C9*IF(7-'Schedule_Inputs'!$B$9=0,'Assumptions'!$B$21,IF(7-'Schedule_Inputs'!$B$9=1,'Assumptions'!$C$21,IF(7-'Schedule_Inputs'!$B$9=2,'Assumptions'!$D$21,0))),IF('Schedule_Inputs'!$C$9="Launch",$C9*IF(7-'Schedule_Inputs'!$B$9=0,'Assumptions'!$B$22,IF(7-'Schedule_Inputs'!$B$9=1,'Assumptions'!$C$22,IF(7-'Schedule_Inputs'!$B$9=2,'Assumptions'!$D$22,IF(7-'Schedule_Inputs'!$B$9=3,'Assumptions'!$B$23,0)))),IF('Schedule_Inputs'!$C$9="Office Setup",$C9*IF(7-'Schedule_Inputs'!$B$9=0,'Assumptions'!$B$24,IF(7-'Schedule_Inputs'!$B$9=1,'Assumptions'!$C$24,IF(7-'Schedule_Inputs'!$B$9=2,'Assumptions'!$D$24,0))),IF(OR('Schedule_Inputs'!$C$9="Monthly",'Schedule_Inputs'!$C$9="Periodic"),IF(AND(7&gt;='Schedule_Inputs'!$B$9,MOD(7-'Schedule_Inputs'!$B$9,'Schedule_Inputs'!$E$9)=0,(7-'Schedule_Inputs'!$B$9)/'Schedule_Inputs'!$E$9&lt;'Schedule_Inputs'!$D$9),$C9/'Schedule_Inputs'!$D$9,0),0))))</f>
        <v/>
      </c>
      <c r="L9" s="231">
        <f>IF('Schedule_Inputs'!$C$9="Blueprint",$C9*IF(8-'Schedule_Inputs'!$B$9=0,'Assumptions'!$B$21,IF(8-'Schedule_Inputs'!$B$9=1,'Assumptions'!$C$21,IF(8-'Schedule_Inputs'!$B$9=2,'Assumptions'!$D$21,0))),IF('Schedule_Inputs'!$C$9="Launch",$C9*IF(8-'Schedule_Inputs'!$B$9=0,'Assumptions'!$B$22,IF(8-'Schedule_Inputs'!$B$9=1,'Assumptions'!$C$22,IF(8-'Schedule_Inputs'!$B$9=2,'Assumptions'!$D$22,IF(8-'Schedule_Inputs'!$B$9=3,'Assumptions'!$B$23,0)))),IF('Schedule_Inputs'!$C$9="Office Setup",$C9*IF(8-'Schedule_Inputs'!$B$9=0,'Assumptions'!$B$24,IF(8-'Schedule_Inputs'!$B$9=1,'Assumptions'!$C$24,IF(8-'Schedule_Inputs'!$B$9=2,'Assumptions'!$D$24,0))),IF(OR('Schedule_Inputs'!$C$9="Monthly",'Schedule_Inputs'!$C$9="Periodic"),IF(AND(8&gt;='Schedule_Inputs'!$B$9,MOD(8-'Schedule_Inputs'!$B$9,'Schedule_Inputs'!$E$9)=0,(8-'Schedule_Inputs'!$B$9)/'Schedule_Inputs'!$E$9&lt;'Schedule_Inputs'!$D$9),$C9/'Schedule_Inputs'!$D$9,0),0))))</f>
        <v/>
      </c>
      <c r="M9" s="231">
        <f>IF('Schedule_Inputs'!$C$9="Blueprint",$C9*IF(9-'Schedule_Inputs'!$B$9=0,'Assumptions'!$B$21,IF(9-'Schedule_Inputs'!$B$9=1,'Assumptions'!$C$21,IF(9-'Schedule_Inputs'!$B$9=2,'Assumptions'!$D$21,0))),IF('Schedule_Inputs'!$C$9="Launch",$C9*IF(9-'Schedule_Inputs'!$B$9=0,'Assumptions'!$B$22,IF(9-'Schedule_Inputs'!$B$9=1,'Assumptions'!$C$22,IF(9-'Schedule_Inputs'!$B$9=2,'Assumptions'!$D$22,IF(9-'Schedule_Inputs'!$B$9=3,'Assumptions'!$B$23,0)))),IF('Schedule_Inputs'!$C$9="Office Setup",$C9*IF(9-'Schedule_Inputs'!$B$9=0,'Assumptions'!$B$24,IF(9-'Schedule_Inputs'!$B$9=1,'Assumptions'!$C$24,IF(9-'Schedule_Inputs'!$B$9=2,'Assumptions'!$D$24,0))),IF(OR('Schedule_Inputs'!$C$9="Monthly",'Schedule_Inputs'!$C$9="Periodic"),IF(AND(9&gt;='Schedule_Inputs'!$B$9,MOD(9-'Schedule_Inputs'!$B$9,'Schedule_Inputs'!$E$9)=0,(9-'Schedule_Inputs'!$B$9)/'Schedule_Inputs'!$E$9&lt;'Schedule_Inputs'!$D$9),$C9/'Schedule_Inputs'!$D$9,0),0))))</f>
        <v/>
      </c>
      <c r="N9" s="231">
        <f>IF('Schedule_Inputs'!$C$9="Blueprint",$C9*IF(10-'Schedule_Inputs'!$B$9=0,'Assumptions'!$B$21,IF(10-'Schedule_Inputs'!$B$9=1,'Assumptions'!$C$21,IF(10-'Schedule_Inputs'!$B$9=2,'Assumptions'!$D$21,0))),IF('Schedule_Inputs'!$C$9="Launch",$C9*IF(10-'Schedule_Inputs'!$B$9=0,'Assumptions'!$B$22,IF(10-'Schedule_Inputs'!$B$9=1,'Assumptions'!$C$22,IF(10-'Schedule_Inputs'!$B$9=2,'Assumptions'!$D$22,IF(10-'Schedule_Inputs'!$B$9=3,'Assumptions'!$B$23,0)))),IF('Schedule_Inputs'!$C$9="Office Setup",$C9*IF(10-'Schedule_Inputs'!$B$9=0,'Assumptions'!$B$24,IF(10-'Schedule_Inputs'!$B$9=1,'Assumptions'!$C$24,IF(10-'Schedule_Inputs'!$B$9=2,'Assumptions'!$D$24,0))),IF(OR('Schedule_Inputs'!$C$9="Monthly",'Schedule_Inputs'!$C$9="Periodic"),IF(AND(10&gt;='Schedule_Inputs'!$B$9,MOD(10-'Schedule_Inputs'!$B$9,'Schedule_Inputs'!$E$9)=0,(10-'Schedule_Inputs'!$B$9)/'Schedule_Inputs'!$E$9&lt;'Schedule_Inputs'!$D$9),$C9/'Schedule_Inputs'!$D$9,0),0))))</f>
        <v/>
      </c>
      <c r="O9" s="231">
        <f>IF('Schedule_Inputs'!$C$9="Blueprint",$C9*IF(11-'Schedule_Inputs'!$B$9=0,'Assumptions'!$B$21,IF(11-'Schedule_Inputs'!$B$9=1,'Assumptions'!$C$21,IF(11-'Schedule_Inputs'!$B$9=2,'Assumptions'!$D$21,0))),IF('Schedule_Inputs'!$C$9="Launch",$C9*IF(11-'Schedule_Inputs'!$B$9=0,'Assumptions'!$B$22,IF(11-'Schedule_Inputs'!$B$9=1,'Assumptions'!$C$22,IF(11-'Schedule_Inputs'!$B$9=2,'Assumptions'!$D$22,IF(11-'Schedule_Inputs'!$B$9=3,'Assumptions'!$B$23,0)))),IF('Schedule_Inputs'!$C$9="Office Setup",$C9*IF(11-'Schedule_Inputs'!$B$9=0,'Assumptions'!$B$24,IF(11-'Schedule_Inputs'!$B$9=1,'Assumptions'!$C$24,IF(11-'Schedule_Inputs'!$B$9=2,'Assumptions'!$D$24,0))),IF(OR('Schedule_Inputs'!$C$9="Monthly",'Schedule_Inputs'!$C$9="Periodic"),IF(AND(11&gt;='Schedule_Inputs'!$B$9,MOD(11-'Schedule_Inputs'!$B$9,'Schedule_Inputs'!$E$9)=0,(11-'Schedule_Inputs'!$B$9)/'Schedule_Inputs'!$E$9&lt;'Schedule_Inputs'!$D$9),$C9/'Schedule_Inputs'!$D$9,0),0))))</f>
        <v/>
      </c>
      <c r="P9" s="231">
        <f>IF('Schedule_Inputs'!$C$9="Blueprint",$C9*IF(12-'Schedule_Inputs'!$B$9=0,'Assumptions'!$B$21,IF(12-'Schedule_Inputs'!$B$9=1,'Assumptions'!$C$21,IF(12-'Schedule_Inputs'!$B$9=2,'Assumptions'!$D$21,0))),IF('Schedule_Inputs'!$C$9="Launch",$C9*IF(12-'Schedule_Inputs'!$B$9=0,'Assumptions'!$B$22,IF(12-'Schedule_Inputs'!$B$9=1,'Assumptions'!$C$22,IF(12-'Schedule_Inputs'!$B$9=2,'Assumptions'!$D$22,IF(12-'Schedule_Inputs'!$B$9=3,'Assumptions'!$B$23,0)))),IF('Schedule_Inputs'!$C$9="Office Setup",$C9*IF(12-'Schedule_Inputs'!$B$9=0,'Assumptions'!$B$24,IF(12-'Schedule_Inputs'!$B$9=1,'Assumptions'!$C$24,IF(12-'Schedule_Inputs'!$B$9=2,'Assumptions'!$D$24,0))),IF(OR('Schedule_Inputs'!$C$9="Monthly",'Schedule_Inputs'!$C$9="Periodic"),IF(AND(12&gt;='Schedule_Inputs'!$B$9,MOD(12-'Schedule_Inputs'!$B$9,'Schedule_Inputs'!$E$9)=0,(12-'Schedule_Inputs'!$B$9)/'Schedule_Inputs'!$E$9&lt;'Schedule_Inputs'!$D$9),$C9/'Schedule_Inputs'!$D$9,0),0))))</f>
        <v/>
      </c>
      <c r="Q9" s="231">
        <f>IF('Schedule_Inputs'!$C$9="Blueprint",$C9*IF(13-'Schedule_Inputs'!$B$9=0,'Assumptions'!$B$21,IF(13-'Schedule_Inputs'!$B$9=1,'Assumptions'!$C$21,IF(13-'Schedule_Inputs'!$B$9=2,'Assumptions'!$D$21,0))),IF('Schedule_Inputs'!$C$9="Launch",$C9*IF(13-'Schedule_Inputs'!$B$9=0,'Assumptions'!$B$22,IF(13-'Schedule_Inputs'!$B$9=1,'Assumptions'!$C$22,IF(13-'Schedule_Inputs'!$B$9=2,'Assumptions'!$D$22,IF(13-'Schedule_Inputs'!$B$9=3,'Assumptions'!$B$23,0)))),IF('Schedule_Inputs'!$C$9="Office Setup",$C9*IF(13-'Schedule_Inputs'!$B$9=0,'Assumptions'!$B$24,IF(13-'Schedule_Inputs'!$B$9=1,'Assumptions'!$C$24,IF(13-'Schedule_Inputs'!$B$9=2,'Assumptions'!$D$24,0))),IF(OR('Schedule_Inputs'!$C$9="Monthly",'Schedule_Inputs'!$C$9="Periodic"),IF(AND(13&gt;='Schedule_Inputs'!$B$9,MOD(13-'Schedule_Inputs'!$B$9,'Schedule_Inputs'!$E$9)=0,(13-'Schedule_Inputs'!$B$9)/'Schedule_Inputs'!$E$9&lt;'Schedule_Inputs'!$D$9),$C9/'Schedule_Inputs'!$D$9,0),0))))</f>
        <v/>
      </c>
      <c r="R9" s="231">
        <f>IF('Schedule_Inputs'!$C$9="Blueprint",$C9*IF(14-'Schedule_Inputs'!$B$9=0,'Assumptions'!$B$21,IF(14-'Schedule_Inputs'!$B$9=1,'Assumptions'!$C$21,IF(14-'Schedule_Inputs'!$B$9=2,'Assumptions'!$D$21,0))),IF('Schedule_Inputs'!$C$9="Launch",$C9*IF(14-'Schedule_Inputs'!$B$9=0,'Assumptions'!$B$22,IF(14-'Schedule_Inputs'!$B$9=1,'Assumptions'!$C$22,IF(14-'Schedule_Inputs'!$B$9=2,'Assumptions'!$D$22,IF(14-'Schedule_Inputs'!$B$9=3,'Assumptions'!$B$23,0)))),IF('Schedule_Inputs'!$C$9="Office Setup",$C9*IF(14-'Schedule_Inputs'!$B$9=0,'Assumptions'!$B$24,IF(14-'Schedule_Inputs'!$B$9=1,'Assumptions'!$C$24,IF(14-'Schedule_Inputs'!$B$9=2,'Assumptions'!$D$24,0))),IF(OR('Schedule_Inputs'!$C$9="Monthly",'Schedule_Inputs'!$C$9="Periodic"),IF(AND(14&gt;='Schedule_Inputs'!$B$9,MOD(14-'Schedule_Inputs'!$B$9,'Schedule_Inputs'!$E$9)=0,(14-'Schedule_Inputs'!$B$9)/'Schedule_Inputs'!$E$9&lt;'Schedule_Inputs'!$D$9),$C9/'Schedule_Inputs'!$D$9,0),0))))</f>
        <v/>
      </c>
      <c r="S9" s="231">
        <f>IF('Schedule_Inputs'!$C$9="Blueprint",$C9*IF(15-'Schedule_Inputs'!$B$9=0,'Assumptions'!$B$21,IF(15-'Schedule_Inputs'!$B$9=1,'Assumptions'!$C$21,IF(15-'Schedule_Inputs'!$B$9=2,'Assumptions'!$D$21,0))),IF('Schedule_Inputs'!$C$9="Launch",$C9*IF(15-'Schedule_Inputs'!$B$9=0,'Assumptions'!$B$22,IF(15-'Schedule_Inputs'!$B$9=1,'Assumptions'!$C$22,IF(15-'Schedule_Inputs'!$B$9=2,'Assumptions'!$D$22,IF(15-'Schedule_Inputs'!$B$9=3,'Assumptions'!$B$23,0)))),IF('Schedule_Inputs'!$C$9="Office Setup",$C9*IF(15-'Schedule_Inputs'!$B$9=0,'Assumptions'!$B$24,IF(15-'Schedule_Inputs'!$B$9=1,'Assumptions'!$C$24,IF(15-'Schedule_Inputs'!$B$9=2,'Assumptions'!$D$24,0))),IF(OR('Schedule_Inputs'!$C$9="Monthly",'Schedule_Inputs'!$C$9="Periodic"),IF(AND(15&gt;='Schedule_Inputs'!$B$9,MOD(15-'Schedule_Inputs'!$B$9,'Schedule_Inputs'!$E$9)=0,(15-'Schedule_Inputs'!$B$9)/'Schedule_Inputs'!$E$9&lt;'Schedule_Inputs'!$D$9),$C9/'Schedule_Inputs'!$D$9,0),0))))</f>
        <v/>
      </c>
      <c r="T9" s="231">
        <f>IF('Schedule_Inputs'!$C$9="Blueprint",$C9*IF(16-'Schedule_Inputs'!$B$9=0,'Assumptions'!$B$21,IF(16-'Schedule_Inputs'!$B$9=1,'Assumptions'!$C$21,IF(16-'Schedule_Inputs'!$B$9=2,'Assumptions'!$D$21,0))),IF('Schedule_Inputs'!$C$9="Launch",$C9*IF(16-'Schedule_Inputs'!$B$9=0,'Assumptions'!$B$22,IF(16-'Schedule_Inputs'!$B$9=1,'Assumptions'!$C$22,IF(16-'Schedule_Inputs'!$B$9=2,'Assumptions'!$D$22,IF(16-'Schedule_Inputs'!$B$9=3,'Assumptions'!$B$23,0)))),IF('Schedule_Inputs'!$C$9="Office Setup",$C9*IF(16-'Schedule_Inputs'!$B$9=0,'Assumptions'!$B$24,IF(16-'Schedule_Inputs'!$B$9=1,'Assumptions'!$C$24,IF(16-'Schedule_Inputs'!$B$9=2,'Assumptions'!$D$24,0))),IF(OR('Schedule_Inputs'!$C$9="Monthly",'Schedule_Inputs'!$C$9="Periodic"),IF(AND(16&gt;='Schedule_Inputs'!$B$9,MOD(16-'Schedule_Inputs'!$B$9,'Schedule_Inputs'!$E$9)=0,(16-'Schedule_Inputs'!$B$9)/'Schedule_Inputs'!$E$9&lt;'Schedule_Inputs'!$D$9),$C9/'Schedule_Inputs'!$D$9,0),0))))</f>
        <v/>
      </c>
      <c r="U9" s="231">
        <f>IF('Schedule_Inputs'!$C$9="Blueprint",$C9*IF(17-'Schedule_Inputs'!$B$9=0,'Assumptions'!$B$21,IF(17-'Schedule_Inputs'!$B$9=1,'Assumptions'!$C$21,IF(17-'Schedule_Inputs'!$B$9=2,'Assumptions'!$D$21,0))),IF('Schedule_Inputs'!$C$9="Launch",$C9*IF(17-'Schedule_Inputs'!$B$9=0,'Assumptions'!$B$22,IF(17-'Schedule_Inputs'!$B$9=1,'Assumptions'!$C$22,IF(17-'Schedule_Inputs'!$B$9=2,'Assumptions'!$D$22,IF(17-'Schedule_Inputs'!$B$9=3,'Assumptions'!$B$23,0)))),IF('Schedule_Inputs'!$C$9="Office Setup",$C9*IF(17-'Schedule_Inputs'!$B$9=0,'Assumptions'!$B$24,IF(17-'Schedule_Inputs'!$B$9=1,'Assumptions'!$C$24,IF(17-'Schedule_Inputs'!$B$9=2,'Assumptions'!$D$24,0))),IF(OR('Schedule_Inputs'!$C$9="Monthly",'Schedule_Inputs'!$C$9="Periodic"),IF(AND(17&gt;='Schedule_Inputs'!$B$9,MOD(17-'Schedule_Inputs'!$B$9,'Schedule_Inputs'!$E$9)=0,(17-'Schedule_Inputs'!$B$9)/'Schedule_Inputs'!$E$9&lt;'Schedule_Inputs'!$D$9),$C9/'Schedule_Inputs'!$D$9,0),0))))</f>
        <v/>
      </c>
      <c r="V9" s="231">
        <f>IF('Schedule_Inputs'!$C$9="Blueprint",$C9*IF(18-'Schedule_Inputs'!$B$9=0,'Assumptions'!$B$21,IF(18-'Schedule_Inputs'!$B$9=1,'Assumptions'!$C$21,IF(18-'Schedule_Inputs'!$B$9=2,'Assumptions'!$D$21,0))),IF('Schedule_Inputs'!$C$9="Launch",$C9*IF(18-'Schedule_Inputs'!$B$9=0,'Assumptions'!$B$22,IF(18-'Schedule_Inputs'!$B$9=1,'Assumptions'!$C$22,IF(18-'Schedule_Inputs'!$B$9=2,'Assumptions'!$D$22,IF(18-'Schedule_Inputs'!$B$9=3,'Assumptions'!$B$23,0)))),IF('Schedule_Inputs'!$C$9="Office Setup",$C9*IF(18-'Schedule_Inputs'!$B$9=0,'Assumptions'!$B$24,IF(18-'Schedule_Inputs'!$B$9=1,'Assumptions'!$C$24,IF(18-'Schedule_Inputs'!$B$9=2,'Assumptions'!$D$24,0))),IF(OR('Schedule_Inputs'!$C$9="Monthly",'Schedule_Inputs'!$C$9="Periodic"),IF(AND(18&gt;='Schedule_Inputs'!$B$9,MOD(18-'Schedule_Inputs'!$B$9,'Schedule_Inputs'!$E$9)=0,(18-'Schedule_Inputs'!$B$9)/'Schedule_Inputs'!$E$9&lt;'Schedule_Inputs'!$D$9),$C9/'Schedule_Inputs'!$D$9,0),0))))</f>
        <v/>
      </c>
      <c r="W9" s="231">
        <f>IF('Schedule_Inputs'!$C$9="Blueprint",$C9*IF(19-'Schedule_Inputs'!$B$9=0,'Assumptions'!$B$21,IF(19-'Schedule_Inputs'!$B$9=1,'Assumptions'!$C$21,IF(19-'Schedule_Inputs'!$B$9=2,'Assumptions'!$D$21,0))),IF('Schedule_Inputs'!$C$9="Launch",$C9*IF(19-'Schedule_Inputs'!$B$9=0,'Assumptions'!$B$22,IF(19-'Schedule_Inputs'!$B$9=1,'Assumptions'!$C$22,IF(19-'Schedule_Inputs'!$B$9=2,'Assumptions'!$D$22,IF(19-'Schedule_Inputs'!$B$9=3,'Assumptions'!$B$23,0)))),IF('Schedule_Inputs'!$C$9="Office Setup",$C9*IF(19-'Schedule_Inputs'!$B$9=0,'Assumptions'!$B$24,IF(19-'Schedule_Inputs'!$B$9=1,'Assumptions'!$C$24,IF(19-'Schedule_Inputs'!$B$9=2,'Assumptions'!$D$24,0))),IF(OR('Schedule_Inputs'!$C$9="Monthly",'Schedule_Inputs'!$C$9="Periodic"),IF(AND(19&gt;='Schedule_Inputs'!$B$9,MOD(19-'Schedule_Inputs'!$B$9,'Schedule_Inputs'!$E$9)=0,(19-'Schedule_Inputs'!$B$9)/'Schedule_Inputs'!$E$9&lt;'Schedule_Inputs'!$D$9),$C9/'Schedule_Inputs'!$D$9,0),0))))</f>
        <v/>
      </c>
      <c r="X9" s="231">
        <f>IF('Schedule_Inputs'!$C$9="Blueprint",$C9*IF(20-'Schedule_Inputs'!$B$9=0,'Assumptions'!$B$21,IF(20-'Schedule_Inputs'!$B$9=1,'Assumptions'!$C$21,IF(20-'Schedule_Inputs'!$B$9=2,'Assumptions'!$D$21,0))),IF('Schedule_Inputs'!$C$9="Launch",$C9*IF(20-'Schedule_Inputs'!$B$9=0,'Assumptions'!$B$22,IF(20-'Schedule_Inputs'!$B$9=1,'Assumptions'!$C$22,IF(20-'Schedule_Inputs'!$B$9=2,'Assumptions'!$D$22,IF(20-'Schedule_Inputs'!$B$9=3,'Assumptions'!$B$23,0)))),IF('Schedule_Inputs'!$C$9="Office Setup",$C9*IF(20-'Schedule_Inputs'!$B$9=0,'Assumptions'!$B$24,IF(20-'Schedule_Inputs'!$B$9=1,'Assumptions'!$C$24,IF(20-'Schedule_Inputs'!$B$9=2,'Assumptions'!$D$24,0))),IF(OR('Schedule_Inputs'!$C$9="Monthly",'Schedule_Inputs'!$C$9="Periodic"),IF(AND(20&gt;='Schedule_Inputs'!$B$9,MOD(20-'Schedule_Inputs'!$B$9,'Schedule_Inputs'!$E$9)=0,(20-'Schedule_Inputs'!$B$9)/'Schedule_Inputs'!$E$9&lt;'Schedule_Inputs'!$D$9),$C9/'Schedule_Inputs'!$D$9,0),0))))</f>
        <v/>
      </c>
      <c r="Y9" s="231">
        <f>IF('Schedule_Inputs'!$C$9="Blueprint",$C9*IF(21-'Schedule_Inputs'!$B$9=0,'Assumptions'!$B$21,IF(21-'Schedule_Inputs'!$B$9=1,'Assumptions'!$C$21,IF(21-'Schedule_Inputs'!$B$9=2,'Assumptions'!$D$21,0))),IF('Schedule_Inputs'!$C$9="Launch",$C9*IF(21-'Schedule_Inputs'!$B$9=0,'Assumptions'!$B$22,IF(21-'Schedule_Inputs'!$B$9=1,'Assumptions'!$C$22,IF(21-'Schedule_Inputs'!$B$9=2,'Assumptions'!$D$22,IF(21-'Schedule_Inputs'!$B$9=3,'Assumptions'!$B$23,0)))),IF('Schedule_Inputs'!$C$9="Office Setup",$C9*IF(21-'Schedule_Inputs'!$B$9=0,'Assumptions'!$B$24,IF(21-'Schedule_Inputs'!$B$9=1,'Assumptions'!$C$24,IF(21-'Schedule_Inputs'!$B$9=2,'Assumptions'!$D$24,0))),IF(OR('Schedule_Inputs'!$C$9="Monthly",'Schedule_Inputs'!$C$9="Periodic"),IF(AND(21&gt;='Schedule_Inputs'!$B$9,MOD(21-'Schedule_Inputs'!$B$9,'Schedule_Inputs'!$E$9)=0,(21-'Schedule_Inputs'!$B$9)/'Schedule_Inputs'!$E$9&lt;'Schedule_Inputs'!$D$9),$C9/'Schedule_Inputs'!$D$9,0),0))))</f>
        <v/>
      </c>
      <c r="Z9" s="231">
        <f>IF('Schedule_Inputs'!$C$9="Blueprint",$C9*IF(22-'Schedule_Inputs'!$B$9=0,'Assumptions'!$B$21,IF(22-'Schedule_Inputs'!$B$9=1,'Assumptions'!$C$21,IF(22-'Schedule_Inputs'!$B$9=2,'Assumptions'!$D$21,0))),IF('Schedule_Inputs'!$C$9="Launch",$C9*IF(22-'Schedule_Inputs'!$B$9=0,'Assumptions'!$B$22,IF(22-'Schedule_Inputs'!$B$9=1,'Assumptions'!$C$22,IF(22-'Schedule_Inputs'!$B$9=2,'Assumptions'!$D$22,IF(22-'Schedule_Inputs'!$B$9=3,'Assumptions'!$B$23,0)))),IF('Schedule_Inputs'!$C$9="Office Setup",$C9*IF(22-'Schedule_Inputs'!$B$9=0,'Assumptions'!$B$24,IF(22-'Schedule_Inputs'!$B$9=1,'Assumptions'!$C$24,IF(22-'Schedule_Inputs'!$B$9=2,'Assumptions'!$D$24,0))),IF(OR('Schedule_Inputs'!$C$9="Monthly",'Schedule_Inputs'!$C$9="Periodic"),IF(AND(22&gt;='Schedule_Inputs'!$B$9,MOD(22-'Schedule_Inputs'!$B$9,'Schedule_Inputs'!$E$9)=0,(22-'Schedule_Inputs'!$B$9)/'Schedule_Inputs'!$E$9&lt;'Schedule_Inputs'!$D$9),$C9/'Schedule_Inputs'!$D$9,0),0))))</f>
        <v/>
      </c>
      <c r="AA9" s="231">
        <f>IF('Schedule_Inputs'!$C$9="Blueprint",$C9*IF(23-'Schedule_Inputs'!$B$9=0,'Assumptions'!$B$21,IF(23-'Schedule_Inputs'!$B$9=1,'Assumptions'!$C$21,IF(23-'Schedule_Inputs'!$B$9=2,'Assumptions'!$D$21,0))),IF('Schedule_Inputs'!$C$9="Launch",$C9*IF(23-'Schedule_Inputs'!$B$9=0,'Assumptions'!$B$22,IF(23-'Schedule_Inputs'!$B$9=1,'Assumptions'!$C$22,IF(23-'Schedule_Inputs'!$B$9=2,'Assumptions'!$D$22,IF(23-'Schedule_Inputs'!$B$9=3,'Assumptions'!$B$23,0)))),IF('Schedule_Inputs'!$C$9="Office Setup",$C9*IF(23-'Schedule_Inputs'!$B$9=0,'Assumptions'!$B$24,IF(23-'Schedule_Inputs'!$B$9=1,'Assumptions'!$C$24,IF(23-'Schedule_Inputs'!$B$9=2,'Assumptions'!$D$24,0))),IF(OR('Schedule_Inputs'!$C$9="Monthly",'Schedule_Inputs'!$C$9="Periodic"),IF(AND(23&gt;='Schedule_Inputs'!$B$9,MOD(23-'Schedule_Inputs'!$B$9,'Schedule_Inputs'!$E$9)=0,(23-'Schedule_Inputs'!$B$9)/'Schedule_Inputs'!$E$9&lt;'Schedule_Inputs'!$D$9),$C9/'Schedule_Inputs'!$D$9,0),0))))</f>
        <v/>
      </c>
      <c r="AB9" s="231">
        <f>IF('Schedule_Inputs'!$C$9="Blueprint",$C9*IF(24-'Schedule_Inputs'!$B$9=0,'Assumptions'!$B$21,IF(24-'Schedule_Inputs'!$B$9=1,'Assumptions'!$C$21,IF(24-'Schedule_Inputs'!$B$9=2,'Assumptions'!$D$21,0))),IF('Schedule_Inputs'!$C$9="Launch",$C9*IF(24-'Schedule_Inputs'!$B$9=0,'Assumptions'!$B$22,IF(24-'Schedule_Inputs'!$B$9=1,'Assumptions'!$C$22,IF(24-'Schedule_Inputs'!$B$9=2,'Assumptions'!$D$22,IF(24-'Schedule_Inputs'!$B$9=3,'Assumptions'!$B$23,0)))),IF('Schedule_Inputs'!$C$9="Office Setup",$C9*IF(24-'Schedule_Inputs'!$B$9=0,'Assumptions'!$B$24,IF(24-'Schedule_Inputs'!$B$9=1,'Assumptions'!$C$24,IF(24-'Schedule_Inputs'!$B$9=2,'Assumptions'!$D$24,0))),IF(OR('Schedule_Inputs'!$C$9="Monthly",'Schedule_Inputs'!$C$9="Periodic"),IF(AND(24&gt;='Schedule_Inputs'!$B$9,MOD(24-'Schedule_Inputs'!$B$9,'Schedule_Inputs'!$E$9)=0,(24-'Schedule_Inputs'!$B$9)/'Schedule_Inputs'!$E$9&lt;'Schedule_Inputs'!$D$9),$C9/'Schedule_Inputs'!$D$9,0),0))))</f>
        <v/>
      </c>
      <c r="AC9" s="231">
        <f>IF('Schedule_Inputs'!$C$9="Blueprint",$C9*IF(25-'Schedule_Inputs'!$B$9=0,'Assumptions'!$B$21,IF(25-'Schedule_Inputs'!$B$9=1,'Assumptions'!$C$21,IF(25-'Schedule_Inputs'!$B$9=2,'Assumptions'!$D$21,0))),IF('Schedule_Inputs'!$C$9="Launch",$C9*IF(25-'Schedule_Inputs'!$B$9=0,'Assumptions'!$B$22,IF(25-'Schedule_Inputs'!$B$9=1,'Assumptions'!$C$22,IF(25-'Schedule_Inputs'!$B$9=2,'Assumptions'!$D$22,IF(25-'Schedule_Inputs'!$B$9=3,'Assumptions'!$B$23,0)))),IF('Schedule_Inputs'!$C$9="Office Setup",$C9*IF(25-'Schedule_Inputs'!$B$9=0,'Assumptions'!$B$24,IF(25-'Schedule_Inputs'!$B$9=1,'Assumptions'!$C$24,IF(25-'Schedule_Inputs'!$B$9=2,'Assumptions'!$D$24,0))),IF(OR('Schedule_Inputs'!$C$9="Monthly",'Schedule_Inputs'!$C$9="Periodic"),IF(AND(25&gt;='Schedule_Inputs'!$B$9,MOD(25-'Schedule_Inputs'!$B$9,'Schedule_Inputs'!$E$9)=0,(25-'Schedule_Inputs'!$B$9)/'Schedule_Inputs'!$E$9&lt;'Schedule_Inputs'!$D$9),$C9/'Schedule_Inputs'!$D$9,0),0))))</f>
        <v/>
      </c>
      <c r="AD9" s="231">
        <f>IF('Schedule_Inputs'!$C$9="Blueprint",$C9*IF(26-'Schedule_Inputs'!$B$9=0,'Assumptions'!$B$21,IF(26-'Schedule_Inputs'!$B$9=1,'Assumptions'!$C$21,IF(26-'Schedule_Inputs'!$B$9=2,'Assumptions'!$D$21,0))),IF('Schedule_Inputs'!$C$9="Launch",$C9*IF(26-'Schedule_Inputs'!$B$9=0,'Assumptions'!$B$22,IF(26-'Schedule_Inputs'!$B$9=1,'Assumptions'!$C$22,IF(26-'Schedule_Inputs'!$B$9=2,'Assumptions'!$D$22,IF(26-'Schedule_Inputs'!$B$9=3,'Assumptions'!$B$23,0)))),IF('Schedule_Inputs'!$C$9="Office Setup",$C9*IF(26-'Schedule_Inputs'!$B$9=0,'Assumptions'!$B$24,IF(26-'Schedule_Inputs'!$B$9=1,'Assumptions'!$C$24,IF(26-'Schedule_Inputs'!$B$9=2,'Assumptions'!$D$24,0))),IF(OR('Schedule_Inputs'!$C$9="Monthly",'Schedule_Inputs'!$C$9="Periodic"),IF(AND(26&gt;='Schedule_Inputs'!$B$9,MOD(26-'Schedule_Inputs'!$B$9,'Schedule_Inputs'!$E$9)=0,(26-'Schedule_Inputs'!$B$9)/'Schedule_Inputs'!$E$9&lt;'Schedule_Inputs'!$D$9),$C9/'Schedule_Inputs'!$D$9,0),0))))</f>
        <v/>
      </c>
      <c r="AE9" s="231">
        <f>IF('Schedule_Inputs'!$C$9="Blueprint",$C9*IF(27-'Schedule_Inputs'!$B$9=0,'Assumptions'!$B$21,IF(27-'Schedule_Inputs'!$B$9=1,'Assumptions'!$C$21,IF(27-'Schedule_Inputs'!$B$9=2,'Assumptions'!$D$21,0))),IF('Schedule_Inputs'!$C$9="Launch",$C9*IF(27-'Schedule_Inputs'!$B$9=0,'Assumptions'!$B$22,IF(27-'Schedule_Inputs'!$B$9=1,'Assumptions'!$C$22,IF(27-'Schedule_Inputs'!$B$9=2,'Assumptions'!$D$22,IF(27-'Schedule_Inputs'!$B$9=3,'Assumptions'!$B$23,0)))),IF('Schedule_Inputs'!$C$9="Office Setup",$C9*IF(27-'Schedule_Inputs'!$B$9=0,'Assumptions'!$B$24,IF(27-'Schedule_Inputs'!$B$9=1,'Assumptions'!$C$24,IF(27-'Schedule_Inputs'!$B$9=2,'Assumptions'!$D$24,0))),IF(OR('Schedule_Inputs'!$C$9="Monthly",'Schedule_Inputs'!$C$9="Periodic"),IF(AND(27&gt;='Schedule_Inputs'!$B$9,MOD(27-'Schedule_Inputs'!$B$9,'Schedule_Inputs'!$E$9)=0,(27-'Schedule_Inputs'!$B$9)/'Schedule_Inputs'!$E$9&lt;'Schedule_Inputs'!$D$9),$C9/'Schedule_Inputs'!$D$9,0),0))))</f>
        <v/>
      </c>
      <c r="AF9" s="231">
        <f>IF('Schedule_Inputs'!$C$9="Blueprint",$C9*IF(28-'Schedule_Inputs'!$B$9=0,'Assumptions'!$B$21,IF(28-'Schedule_Inputs'!$B$9=1,'Assumptions'!$C$21,IF(28-'Schedule_Inputs'!$B$9=2,'Assumptions'!$D$21,0))),IF('Schedule_Inputs'!$C$9="Launch",$C9*IF(28-'Schedule_Inputs'!$B$9=0,'Assumptions'!$B$22,IF(28-'Schedule_Inputs'!$B$9=1,'Assumptions'!$C$22,IF(28-'Schedule_Inputs'!$B$9=2,'Assumptions'!$D$22,IF(28-'Schedule_Inputs'!$B$9=3,'Assumptions'!$B$23,0)))),IF('Schedule_Inputs'!$C$9="Office Setup",$C9*IF(28-'Schedule_Inputs'!$B$9=0,'Assumptions'!$B$24,IF(28-'Schedule_Inputs'!$B$9=1,'Assumptions'!$C$24,IF(28-'Schedule_Inputs'!$B$9=2,'Assumptions'!$D$24,0))),IF(OR('Schedule_Inputs'!$C$9="Monthly",'Schedule_Inputs'!$C$9="Periodic"),IF(AND(28&gt;='Schedule_Inputs'!$B$9,MOD(28-'Schedule_Inputs'!$B$9,'Schedule_Inputs'!$E$9)=0,(28-'Schedule_Inputs'!$B$9)/'Schedule_Inputs'!$E$9&lt;'Schedule_Inputs'!$D$9),$C9/'Schedule_Inputs'!$D$9,0),0))))</f>
        <v/>
      </c>
      <c r="AG9" s="231">
        <f>IF('Schedule_Inputs'!$C$9="Blueprint",$C9*IF(29-'Schedule_Inputs'!$B$9=0,'Assumptions'!$B$21,IF(29-'Schedule_Inputs'!$B$9=1,'Assumptions'!$C$21,IF(29-'Schedule_Inputs'!$B$9=2,'Assumptions'!$D$21,0))),IF('Schedule_Inputs'!$C$9="Launch",$C9*IF(29-'Schedule_Inputs'!$B$9=0,'Assumptions'!$B$22,IF(29-'Schedule_Inputs'!$B$9=1,'Assumptions'!$C$22,IF(29-'Schedule_Inputs'!$B$9=2,'Assumptions'!$D$22,IF(29-'Schedule_Inputs'!$B$9=3,'Assumptions'!$B$23,0)))),IF('Schedule_Inputs'!$C$9="Office Setup",$C9*IF(29-'Schedule_Inputs'!$B$9=0,'Assumptions'!$B$24,IF(29-'Schedule_Inputs'!$B$9=1,'Assumptions'!$C$24,IF(29-'Schedule_Inputs'!$B$9=2,'Assumptions'!$D$24,0))),IF(OR('Schedule_Inputs'!$C$9="Monthly",'Schedule_Inputs'!$C$9="Periodic"),IF(AND(29&gt;='Schedule_Inputs'!$B$9,MOD(29-'Schedule_Inputs'!$B$9,'Schedule_Inputs'!$E$9)=0,(29-'Schedule_Inputs'!$B$9)/'Schedule_Inputs'!$E$9&lt;'Schedule_Inputs'!$D$9),$C9/'Schedule_Inputs'!$D$9,0),0))))</f>
        <v/>
      </c>
      <c r="AH9" s="231">
        <f>IF('Schedule_Inputs'!$C$9="Blueprint",$C9*IF(30-'Schedule_Inputs'!$B$9=0,'Assumptions'!$B$21,IF(30-'Schedule_Inputs'!$B$9=1,'Assumptions'!$C$21,IF(30-'Schedule_Inputs'!$B$9=2,'Assumptions'!$D$21,0))),IF('Schedule_Inputs'!$C$9="Launch",$C9*IF(30-'Schedule_Inputs'!$B$9=0,'Assumptions'!$B$22,IF(30-'Schedule_Inputs'!$B$9=1,'Assumptions'!$C$22,IF(30-'Schedule_Inputs'!$B$9=2,'Assumptions'!$D$22,IF(30-'Schedule_Inputs'!$B$9=3,'Assumptions'!$B$23,0)))),IF('Schedule_Inputs'!$C$9="Office Setup",$C9*IF(30-'Schedule_Inputs'!$B$9=0,'Assumptions'!$B$24,IF(30-'Schedule_Inputs'!$B$9=1,'Assumptions'!$C$24,IF(30-'Schedule_Inputs'!$B$9=2,'Assumptions'!$D$24,0))),IF(OR('Schedule_Inputs'!$C$9="Monthly",'Schedule_Inputs'!$C$9="Periodic"),IF(AND(30&gt;='Schedule_Inputs'!$B$9,MOD(30-'Schedule_Inputs'!$B$9,'Schedule_Inputs'!$E$9)=0,(30-'Schedule_Inputs'!$B$9)/'Schedule_Inputs'!$E$9&lt;'Schedule_Inputs'!$D$9),$C9/'Schedule_Inputs'!$D$9,0),0))))</f>
        <v/>
      </c>
      <c r="AI9" s="231">
        <f>IF('Schedule_Inputs'!$C$9="Blueprint",$C9*IF(31-'Schedule_Inputs'!$B$9=0,'Assumptions'!$B$21,IF(31-'Schedule_Inputs'!$B$9=1,'Assumptions'!$C$21,IF(31-'Schedule_Inputs'!$B$9=2,'Assumptions'!$D$21,0))),IF('Schedule_Inputs'!$C$9="Launch",$C9*IF(31-'Schedule_Inputs'!$B$9=0,'Assumptions'!$B$22,IF(31-'Schedule_Inputs'!$B$9=1,'Assumptions'!$C$22,IF(31-'Schedule_Inputs'!$B$9=2,'Assumptions'!$D$22,IF(31-'Schedule_Inputs'!$B$9=3,'Assumptions'!$B$23,0)))),IF('Schedule_Inputs'!$C$9="Office Setup",$C9*IF(31-'Schedule_Inputs'!$B$9=0,'Assumptions'!$B$24,IF(31-'Schedule_Inputs'!$B$9=1,'Assumptions'!$C$24,IF(31-'Schedule_Inputs'!$B$9=2,'Assumptions'!$D$24,0))),IF(OR('Schedule_Inputs'!$C$9="Monthly",'Schedule_Inputs'!$C$9="Periodic"),IF(AND(31&gt;='Schedule_Inputs'!$B$9,MOD(31-'Schedule_Inputs'!$B$9,'Schedule_Inputs'!$E$9)=0,(31-'Schedule_Inputs'!$B$9)/'Schedule_Inputs'!$E$9&lt;'Schedule_Inputs'!$D$9),$C9/'Schedule_Inputs'!$D$9,0),0))))</f>
        <v/>
      </c>
      <c r="AJ9" s="231">
        <f>IF('Schedule_Inputs'!$C$9="Blueprint",$C9*IF(32-'Schedule_Inputs'!$B$9=0,'Assumptions'!$B$21,IF(32-'Schedule_Inputs'!$B$9=1,'Assumptions'!$C$21,IF(32-'Schedule_Inputs'!$B$9=2,'Assumptions'!$D$21,0))),IF('Schedule_Inputs'!$C$9="Launch",$C9*IF(32-'Schedule_Inputs'!$B$9=0,'Assumptions'!$B$22,IF(32-'Schedule_Inputs'!$B$9=1,'Assumptions'!$C$22,IF(32-'Schedule_Inputs'!$B$9=2,'Assumptions'!$D$22,IF(32-'Schedule_Inputs'!$B$9=3,'Assumptions'!$B$23,0)))),IF('Schedule_Inputs'!$C$9="Office Setup",$C9*IF(32-'Schedule_Inputs'!$B$9=0,'Assumptions'!$B$24,IF(32-'Schedule_Inputs'!$B$9=1,'Assumptions'!$C$24,IF(32-'Schedule_Inputs'!$B$9=2,'Assumptions'!$D$24,0))),IF(OR('Schedule_Inputs'!$C$9="Monthly",'Schedule_Inputs'!$C$9="Periodic"),IF(AND(32&gt;='Schedule_Inputs'!$B$9,MOD(32-'Schedule_Inputs'!$B$9,'Schedule_Inputs'!$E$9)=0,(32-'Schedule_Inputs'!$B$9)/'Schedule_Inputs'!$E$9&lt;'Schedule_Inputs'!$D$9),$C9/'Schedule_Inputs'!$D$9,0),0))))</f>
        <v/>
      </c>
      <c r="AK9" s="231">
        <f>IF('Schedule_Inputs'!$C$9="Blueprint",$C9*IF(33-'Schedule_Inputs'!$B$9=0,'Assumptions'!$B$21,IF(33-'Schedule_Inputs'!$B$9=1,'Assumptions'!$C$21,IF(33-'Schedule_Inputs'!$B$9=2,'Assumptions'!$D$21,0))),IF('Schedule_Inputs'!$C$9="Launch",$C9*IF(33-'Schedule_Inputs'!$B$9=0,'Assumptions'!$B$22,IF(33-'Schedule_Inputs'!$B$9=1,'Assumptions'!$C$22,IF(33-'Schedule_Inputs'!$B$9=2,'Assumptions'!$D$22,IF(33-'Schedule_Inputs'!$B$9=3,'Assumptions'!$B$23,0)))),IF('Schedule_Inputs'!$C$9="Office Setup",$C9*IF(33-'Schedule_Inputs'!$B$9=0,'Assumptions'!$B$24,IF(33-'Schedule_Inputs'!$B$9=1,'Assumptions'!$C$24,IF(33-'Schedule_Inputs'!$B$9=2,'Assumptions'!$D$24,0))),IF(OR('Schedule_Inputs'!$C$9="Monthly",'Schedule_Inputs'!$C$9="Periodic"),IF(AND(33&gt;='Schedule_Inputs'!$B$9,MOD(33-'Schedule_Inputs'!$B$9,'Schedule_Inputs'!$E$9)=0,(33-'Schedule_Inputs'!$B$9)/'Schedule_Inputs'!$E$9&lt;'Schedule_Inputs'!$D$9),$C9/'Schedule_Inputs'!$D$9,0),0))))</f>
        <v/>
      </c>
      <c r="AL9" s="231">
        <f>IF('Schedule_Inputs'!$C$9="Blueprint",$C9*IF(34-'Schedule_Inputs'!$B$9=0,'Assumptions'!$B$21,IF(34-'Schedule_Inputs'!$B$9=1,'Assumptions'!$C$21,IF(34-'Schedule_Inputs'!$B$9=2,'Assumptions'!$D$21,0))),IF('Schedule_Inputs'!$C$9="Launch",$C9*IF(34-'Schedule_Inputs'!$B$9=0,'Assumptions'!$B$22,IF(34-'Schedule_Inputs'!$B$9=1,'Assumptions'!$C$22,IF(34-'Schedule_Inputs'!$B$9=2,'Assumptions'!$D$22,IF(34-'Schedule_Inputs'!$B$9=3,'Assumptions'!$B$23,0)))),IF('Schedule_Inputs'!$C$9="Office Setup",$C9*IF(34-'Schedule_Inputs'!$B$9=0,'Assumptions'!$B$24,IF(34-'Schedule_Inputs'!$B$9=1,'Assumptions'!$C$24,IF(34-'Schedule_Inputs'!$B$9=2,'Assumptions'!$D$24,0))),IF(OR('Schedule_Inputs'!$C$9="Monthly",'Schedule_Inputs'!$C$9="Periodic"),IF(AND(34&gt;='Schedule_Inputs'!$B$9,MOD(34-'Schedule_Inputs'!$B$9,'Schedule_Inputs'!$E$9)=0,(34-'Schedule_Inputs'!$B$9)/'Schedule_Inputs'!$E$9&lt;'Schedule_Inputs'!$D$9),$C9/'Schedule_Inputs'!$D$9,0),0))))</f>
        <v/>
      </c>
      <c r="AM9" s="231">
        <f>IF('Schedule_Inputs'!$C$9="Blueprint",$C9*IF(35-'Schedule_Inputs'!$B$9=0,'Assumptions'!$B$21,IF(35-'Schedule_Inputs'!$B$9=1,'Assumptions'!$C$21,IF(35-'Schedule_Inputs'!$B$9=2,'Assumptions'!$D$21,0))),IF('Schedule_Inputs'!$C$9="Launch",$C9*IF(35-'Schedule_Inputs'!$B$9=0,'Assumptions'!$B$22,IF(35-'Schedule_Inputs'!$B$9=1,'Assumptions'!$C$22,IF(35-'Schedule_Inputs'!$B$9=2,'Assumptions'!$D$22,IF(35-'Schedule_Inputs'!$B$9=3,'Assumptions'!$B$23,0)))),IF('Schedule_Inputs'!$C$9="Office Setup",$C9*IF(35-'Schedule_Inputs'!$B$9=0,'Assumptions'!$B$24,IF(35-'Schedule_Inputs'!$B$9=1,'Assumptions'!$C$24,IF(35-'Schedule_Inputs'!$B$9=2,'Assumptions'!$D$24,0))),IF(OR('Schedule_Inputs'!$C$9="Monthly",'Schedule_Inputs'!$C$9="Periodic"),IF(AND(35&gt;='Schedule_Inputs'!$B$9,MOD(35-'Schedule_Inputs'!$B$9,'Schedule_Inputs'!$E$9)=0,(35-'Schedule_Inputs'!$B$9)/'Schedule_Inputs'!$E$9&lt;'Schedule_Inputs'!$D$9),$C9/'Schedule_Inputs'!$D$9,0),0))))</f>
        <v/>
      </c>
      <c r="AN9" s="231">
        <f>IF('Schedule_Inputs'!$C$9="Blueprint",$C9*IF(36-'Schedule_Inputs'!$B$9=0,'Assumptions'!$B$21,IF(36-'Schedule_Inputs'!$B$9=1,'Assumptions'!$C$21,IF(36-'Schedule_Inputs'!$B$9=2,'Assumptions'!$D$21,0))),IF('Schedule_Inputs'!$C$9="Launch",$C9*IF(36-'Schedule_Inputs'!$B$9=0,'Assumptions'!$B$22,IF(36-'Schedule_Inputs'!$B$9=1,'Assumptions'!$C$22,IF(36-'Schedule_Inputs'!$B$9=2,'Assumptions'!$D$22,IF(36-'Schedule_Inputs'!$B$9=3,'Assumptions'!$B$23,0)))),IF('Schedule_Inputs'!$C$9="Office Setup",$C9*IF(36-'Schedule_Inputs'!$B$9=0,'Assumptions'!$B$24,IF(36-'Schedule_Inputs'!$B$9=1,'Assumptions'!$C$24,IF(36-'Schedule_Inputs'!$B$9=2,'Assumptions'!$D$24,0))),IF(OR('Schedule_Inputs'!$C$9="Monthly",'Schedule_Inputs'!$C$9="Periodic"),IF(AND(36&gt;='Schedule_Inputs'!$B$9,MOD(36-'Schedule_Inputs'!$B$9,'Schedule_Inputs'!$E$9)=0,(36-'Schedule_Inputs'!$B$9)/'Schedule_Inputs'!$E$9&lt;'Schedule_Inputs'!$D$9),$C9/'Schedule_Inputs'!$D$9,0),0))))</f>
        <v/>
      </c>
    </row>
    <row r="10">
      <c r="A10" s="106" t="inlineStr">
        <is>
          <t>Blueprint 03</t>
        </is>
      </c>
      <c r="B10" s="106" t="n">
        <v>2</v>
      </c>
      <c r="C10" s="230" t="n">
        <v>21000</v>
      </c>
      <c r="D10" s="231" t="inlineStr">
        <is>
          <t>40 / 40 / 20</t>
        </is>
      </c>
      <c r="E10" s="231">
        <f>IF('Schedule_Inputs'!$C$10="Blueprint",$C10*IF(1-'Schedule_Inputs'!$B$10=0,'Assumptions'!$B$21,IF(1-'Schedule_Inputs'!$B$10=1,'Assumptions'!$C$21,IF(1-'Schedule_Inputs'!$B$10=2,'Assumptions'!$D$21,0))),IF('Schedule_Inputs'!$C$10="Launch",$C10*IF(1-'Schedule_Inputs'!$B$10=0,'Assumptions'!$B$22,IF(1-'Schedule_Inputs'!$B$10=1,'Assumptions'!$C$22,IF(1-'Schedule_Inputs'!$B$10=2,'Assumptions'!$D$22,IF(1-'Schedule_Inputs'!$B$10=3,'Assumptions'!$B$23,0)))),IF('Schedule_Inputs'!$C$10="Office Setup",$C10*IF(1-'Schedule_Inputs'!$B$10=0,'Assumptions'!$B$24,IF(1-'Schedule_Inputs'!$B$10=1,'Assumptions'!$C$24,IF(1-'Schedule_Inputs'!$B$10=2,'Assumptions'!$D$24,0))),IF(OR('Schedule_Inputs'!$C$10="Monthly",'Schedule_Inputs'!$C$10="Periodic"),IF(AND(1&gt;='Schedule_Inputs'!$B$10,MOD(1-'Schedule_Inputs'!$B$10,'Schedule_Inputs'!$E$10)=0,(1-'Schedule_Inputs'!$B$10)/'Schedule_Inputs'!$E$10&lt;'Schedule_Inputs'!$D$10),$C10/'Schedule_Inputs'!$D$10,0),0))))</f>
        <v/>
      </c>
      <c r="F10" s="231">
        <f>IF('Schedule_Inputs'!$C$10="Blueprint",$C10*IF(2-'Schedule_Inputs'!$B$10=0,'Assumptions'!$B$21,IF(2-'Schedule_Inputs'!$B$10=1,'Assumptions'!$C$21,IF(2-'Schedule_Inputs'!$B$10=2,'Assumptions'!$D$21,0))),IF('Schedule_Inputs'!$C$10="Launch",$C10*IF(2-'Schedule_Inputs'!$B$10=0,'Assumptions'!$B$22,IF(2-'Schedule_Inputs'!$B$10=1,'Assumptions'!$C$22,IF(2-'Schedule_Inputs'!$B$10=2,'Assumptions'!$D$22,IF(2-'Schedule_Inputs'!$B$10=3,'Assumptions'!$B$23,0)))),IF('Schedule_Inputs'!$C$10="Office Setup",$C10*IF(2-'Schedule_Inputs'!$B$10=0,'Assumptions'!$B$24,IF(2-'Schedule_Inputs'!$B$10=1,'Assumptions'!$C$24,IF(2-'Schedule_Inputs'!$B$10=2,'Assumptions'!$D$24,0))),IF(OR('Schedule_Inputs'!$C$10="Monthly",'Schedule_Inputs'!$C$10="Periodic"),IF(AND(2&gt;='Schedule_Inputs'!$B$10,MOD(2-'Schedule_Inputs'!$B$10,'Schedule_Inputs'!$E$10)=0,(2-'Schedule_Inputs'!$B$10)/'Schedule_Inputs'!$E$10&lt;'Schedule_Inputs'!$D$10),$C10/'Schedule_Inputs'!$D$10,0),0))))</f>
        <v/>
      </c>
      <c r="G10" s="231">
        <f>IF('Schedule_Inputs'!$C$10="Blueprint",$C10*IF(3-'Schedule_Inputs'!$B$10=0,'Assumptions'!$B$21,IF(3-'Schedule_Inputs'!$B$10=1,'Assumptions'!$C$21,IF(3-'Schedule_Inputs'!$B$10=2,'Assumptions'!$D$21,0))),IF('Schedule_Inputs'!$C$10="Launch",$C10*IF(3-'Schedule_Inputs'!$B$10=0,'Assumptions'!$B$22,IF(3-'Schedule_Inputs'!$B$10=1,'Assumptions'!$C$22,IF(3-'Schedule_Inputs'!$B$10=2,'Assumptions'!$D$22,IF(3-'Schedule_Inputs'!$B$10=3,'Assumptions'!$B$23,0)))),IF('Schedule_Inputs'!$C$10="Office Setup",$C10*IF(3-'Schedule_Inputs'!$B$10=0,'Assumptions'!$B$24,IF(3-'Schedule_Inputs'!$B$10=1,'Assumptions'!$C$24,IF(3-'Schedule_Inputs'!$B$10=2,'Assumptions'!$D$24,0))),IF(OR('Schedule_Inputs'!$C$10="Monthly",'Schedule_Inputs'!$C$10="Periodic"),IF(AND(3&gt;='Schedule_Inputs'!$B$10,MOD(3-'Schedule_Inputs'!$B$10,'Schedule_Inputs'!$E$10)=0,(3-'Schedule_Inputs'!$B$10)/'Schedule_Inputs'!$E$10&lt;'Schedule_Inputs'!$D$10),$C10/'Schedule_Inputs'!$D$10,0),0))))</f>
        <v/>
      </c>
      <c r="H10" s="231">
        <f>IF('Schedule_Inputs'!$C$10="Blueprint",$C10*IF(4-'Schedule_Inputs'!$B$10=0,'Assumptions'!$B$21,IF(4-'Schedule_Inputs'!$B$10=1,'Assumptions'!$C$21,IF(4-'Schedule_Inputs'!$B$10=2,'Assumptions'!$D$21,0))),IF('Schedule_Inputs'!$C$10="Launch",$C10*IF(4-'Schedule_Inputs'!$B$10=0,'Assumptions'!$B$22,IF(4-'Schedule_Inputs'!$B$10=1,'Assumptions'!$C$22,IF(4-'Schedule_Inputs'!$B$10=2,'Assumptions'!$D$22,IF(4-'Schedule_Inputs'!$B$10=3,'Assumptions'!$B$23,0)))),IF('Schedule_Inputs'!$C$10="Office Setup",$C10*IF(4-'Schedule_Inputs'!$B$10=0,'Assumptions'!$B$24,IF(4-'Schedule_Inputs'!$B$10=1,'Assumptions'!$C$24,IF(4-'Schedule_Inputs'!$B$10=2,'Assumptions'!$D$24,0))),IF(OR('Schedule_Inputs'!$C$10="Monthly",'Schedule_Inputs'!$C$10="Periodic"),IF(AND(4&gt;='Schedule_Inputs'!$B$10,MOD(4-'Schedule_Inputs'!$B$10,'Schedule_Inputs'!$E$10)=0,(4-'Schedule_Inputs'!$B$10)/'Schedule_Inputs'!$E$10&lt;'Schedule_Inputs'!$D$10),$C10/'Schedule_Inputs'!$D$10,0),0))))</f>
        <v/>
      </c>
      <c r="I10" s="231">
        <f>IF('Schedule_Inputs'!$C$10="Blueprint",$C10*IF(5-'Schedule_Inputs'!$B$10=0,'Assumptions'!$B$21,IF(5-'Schedule_Inputs'!$B$10=1,'Assumptions'!$C$21,IF(5-'Schedule_Inputs'!$B$10=2,'Assumptions'!$D$21,0))),IF('Schedule_Inputs'!$C$10="Launch",$C10*IF(5-'Schedule_Inputs'!$B$10=0,'Assumptions'!$B$22,IF(5-'Schedule_Inputs'!$B$10=1,'Assumptions'!$C$22,IF(5-'Schedule_Inputs'!$B$10=2,'Assumptions'!$D$22,IF(5-'Schedule_Inputs'!$B$10=3,'Assumptions'!$B$23,0)))),IF('Schedule_Inputs'!$C$10="Office Setup",$C10*IF(5-'Schedule_Inputs'!$B$10=0,'Assumptions'!$B$24,IF(5-'Schedule_Inputs'!$B$10=1,'Assumptions'!$C$24,IF(5-'Schedule_Inputs'!$B$10=2,'Assumptions'!$D$24,0))),IF(OR('Schedule_Inputs'!$C$10="Monthly",'Schedule_Inputs'!$C$10="Periodic"),IF(AND(5&gt;='Schedule_Inputs'!$B$10,MOD(5-'Schedule_Inputs'!$B$10,'Schedule_Inputs'!$E$10)=0,(5-'Schedule_Inputs'!$B$10)/'Schedule_Inputs'!$E$10&lt;'Schedule_Inputs'!$D$10),$C10/'Schedule_Inputs'!$D$10,0),0))))</f>
        <v/>
      </c>
      <c r="J10" s="231">
        <f>IF('Schedule_Inputs'!$C$10="Blueprint",$C10*IF(6-'Schedule_Inputs'!$B$10=0,'Assumptions'!$B$21,IF(6-'Schedule_Inputs'!$B$10=1,'Assumptions'!$C$21,IF(6-'Schedule_Inputs'!$B$10=2,'Assumptions'!$D$21,0))),IF('Schedule_Inputs'!$C$10="Launch",$C10*IF(6-'Schedule_Inputs'!$B$10=0,'Assumptions'!$B$22,IF(6-'Schedule_Inputs'!$B$10=1,'Assumptions'!$C$22,IF(6-'Schedule_Inputs'!$B$10=2,'Assumptions'!$D$22,IF(6-'Schedule_Inputs'!$B$10=3,'Assumptions'!$B$23,0)))),IF('Schedule_Inputs'!$C$10="Office Setup",$C10*IF(6-'Schedule_Inputs'!$B$10=0,'Assumptions'!$B$24,IF(6-'Schedule_Inputs'!$B$10=1,'Assumptions'!$C$24,IF(6-'Schedule_Inputs'!$B$10=2,'Assumptions'!$D$24,0))),IF(OR('Schedule_Inputs'!$C$10="Monthly",'Schedule_Inputs'!$C$10="Periodic"),IF(AND(6&gt;='Schedule_Inputs'!$B$10,MOD(6-'Schedule_Inputs'!$B$10,'Schedule_Inputs'!$E$10)=0,(6-'Schedule_Inputs'!$B$10)/'Schedule_Inputs'!$E$10&lt;'Schedule_Inputs'!$D$10),$C10/'Schedule_Inputs'!$D$10,0),0))))</f>
        <v/>
      </c>
      <c r="K10" s="231">
        <f>IF('Schedule_Inputs'!$C$10="Blueprint",$C10*IF(7-'Schedule_Inputs'!$B$10=0,'Assumptions'!$B$21,IF(7-'Schedule_Inputs'!$B$10=1,'Assumptions'!$C$21,IF(7-'Schedule_Inputs'!$B$10=2,'Assumptions'!$D$21,0))),IF('Schedule_Inputs'!$C$10="Launch",$C10*IF(7-'Schedule_Inputs'!$B$10=0,'Assumptions'!$B$22,IF(7-'Schedule_Inputs'!$B$10=1,'Assumptions'!$C$22,IF(7-'Schedule_Inputs'!$B$10=2,'Assumptions'!$D$22,IF(7-'Schedule_Inputs'!$B$10=3,'Assumptions'!$B$23,0)))),IF('Schedule_Inputs'!$C$10="Office Setup",$C10*IF(7-'Schedule_Inputs'!$B$10=0,'Assumptions'!$B$24,IF(7-'Schedule_Inputs'!$B$10=1,'Assumptions'!$C$24,IF(7-'Schedule_Inputs'!$B$10=2,'Assumptions'!$D$24,0))),IF(OR('Schedule_Inputs'!$C$10="Monthly",'Schedule_Inputs'!$C$10="Periodic"),IF(AND(7&gt;='Schedule_Inputs'!$B$10,MOD(7-'Schedule_Inputs'!$B$10,'Schedule_Inputs'!$E$10)=0,(7-'Schedule_Inputs'!$B$10)/'Schedule_Inputs'!$E$10&lt;'Schedule_Inputs'!$D$10),$C10/'Schedule_Inputs'!$D$10,0),0))))</f>
        <v/>
      </c>
      <c r="L10" s="231">
        <f>IF('Schedule_Inputs'!$C$10="Blueprint",$C10*IF(8-'Schedule_Inputs'!$B$10=0,'Assumptions'!$B$21,IF(8-'Schedule_Inputs'!$B$10=1,'Assumptions'!$C$21,IF(8-'Schedule_Inputs'!$B$10=2,'Assumptions'!$D$21,0))),IF('Schedule_Inputs'!$C$10="Launch",$C10*IF(8-'Schedule_Inputs'!$B$10=0,'Assumptions'!$B$22,IF(8-'Schedule_Inputs'!$B$10=1,'Assumptions'!$C$22,IF(8-'Schedule_Inputs'!$B$10=2,'Assumptions'!$D$22,IF(8-'Schedule_Inputs'!$B$10=3,'Assumptions'!$B$23,0)))),IF('Schedule_Inputs'!$C$10="Office Setup",$C10*IF(8-'Schedule_Inputs'!$B$10=0,'Assumptions'!$B$24,IF(8-'Schedule_Inputs'!$B$10=1,'Assumptions'!$C$24,IF(8-'Schedule_Inputs'!$B$10=2,'Assumptions'!$D$24,0))),IF(OR('Schedule_Inputs'!$C$10="Monthly",'Schedule_Inputs'!$C$10="Periodic"),IF(AND(8&gt;='Schedule_Inputs'!$B$10,MOD(8-'Schedule_Inputs'!$B$10,'Schedule_Inputs'!$E$10)=0,(8-'Schedule_Inputs'!$B$10)/'Schedule_Inputs'!$E$10&lt;'Schedule_Inputs'!$D$10),$C10/'Schedule_Inputs'!$D$10,0),0))))</f>
        <v/>
      </c>
      <c r="M10" s="231">
        <f>IF('Schedule_Inputs'!$C$10="Blueprint",$C10*IF(9-'Schedule_Inputs'!$B$10=0,'Assumptions'!$B$21,IF(9-'Schedule_Inputs'!$B$10=1,'Assumptions'!$C$21,IF(9-'Schedule_Inputs'!$B$10=2,'Assumptions'!$D$21,0))),IF('Schedule_Inputs'!$C$10="Launch",$C10*IF(9-'Schedule_Inputs'!$B$10=0,'Assumptions'!$B$22,IF(9-'Schedule_Inputs'!$B$10=1,'Assumptions'!$C$22,IF(9-'Schedule_Inputs'!$B$10=2,'Assumptions'!$D$22,IF(9-'Schedule_Inputs'!$B$10=3,'Assumptions'!$B$23,0)))),IF('Schedule_Inputs'!$C$10="Office Setup",$C10*IF(9-'Schedule_Inputs'!$B$10=0,'Assumptions'!$B$24,IF(9-'Schedule_Inputs'!$B$10=1,'Assumptions'!$C$24,IF(9-'Schedule_Inputs'!$B$10=2,'Assumptions'!$D$24,0))),IF(OR('Schedule_Inputs'!$C$10="Monthly",'Schedule_Inputs'!$C$10="Periodic"),IF(AND(9&gt;='Schedule_Inputs'!$B$10,MOD(9-'Schedule_Inputs'!$B$10,'Schedule_Inputs'!$E$10)=0,(9-'Schedule_Inputs'!$B$10)/'Schedule_Inputs'!$E$10&lt;'Schedule_Inputs'!$D$10),$C10/'Schedule_Inputs'!$D$10,0),0))))</f>
        <v/>
      </c>
      <c r="N10" s="231">
        <f>IF('Schedule_Inputs'!$C$10="Blueprint",$C10*IF(10-'Schedule_Inputs'!$B$10=0,'Assumptions'!$B$21,IF(10-'Schedule_Inputs'!$B$10=1,'Assumptions'!$C$21,IF(10-'Schedule_Inputs'!$B$10=2,'Assumptions'!$D$21,0))),IF('Schedule_Inputs'!$C$10="Launch",$C10*IF(10-'Schedule_Inputs'!$B$10=0,'Assumptions'!$B$22,IF(10-'Schedule_Inputs'!$B$10=1,'Assumptions'!$C$22,IF(10-'Schedule_Inputs'!$B$10=2,'Assumptions'!$D$22,IF(10-'Schedule_Inputs'!$B$10=3,'Assumptions'!$B$23,0)))),IF('Schedule_Inputs'!$C$10="Office Setup",$C10*IF(10-'Schedule_Inputs'!$B$10=0,'Assumptions'!$B$24,IF(10-'Schedule_Inputs'!$B$10=1,'Assumptions'!$C$24,IF(10-'Schedule_Inputs'!$B$10=2,'Assumptions'!$D$24,0))),IF(OR('Schedule_Inputs'!$C$10="Monthly",'Schedule_Inputs'!$C$10="Periodic"),IF(AND(10&gt;='Schedule_Inputs'!$B$10,MOD(10-'Schedule_Inputs'!$B$10,'Schedule_Inputs'!$E$10)=0,(10-'Schedule_Inputs'!$B$10)/'Schedule_Inputs'!$E$10&lt;'Schedule_Inputs'!$D$10),$C10/'Schedule_Inputs'!$D$10,0),0))))</f>
        <v/>
      </c>
      <c r="O10" s="231">
        <f>IF('Schedule_Inputs'!$C$10="Blueprint",$C10*IF(11-'Schedule_Inputs'!$B$10=0,'Assumptions'!$B$21,IF(11-'Schedule_Inputs'!$B$10=1,'Assumptions'!$C$21,IF(11-'Schedule_Inputs'!$B$10=2,'Assumptions'!$D$21,0))),IF('Schedule_Inputs'!$C$10="Launch",$C10*IF(11-'Schedule_Inputs'!$B$10=0,'Assumptions'!$B$22,IF(11-'Schedule_Inputs'!$B$10=1,'Assumptions'!$C$22,IF(11-'Schedule_Inputs'!$B$10=2,'Assumptions'!$D$22,IF(11-'Schedule_Inputs'!$B$10=3,'Assumptions'!$B$23,0)))),IF('Schedule_Inputs'!$C$10="Office Setup",$C10*IF(11-'Schedule_Inputs'!$B$10=0,'Assumptions'!$B$24,IF(11-'Schedule_Inputs'!$B$10=1,'Assumptions'!$C$24,IF(11-'Schedule_Inputs'!$B$10=2,'Assumptions'!$D$24,0))),IF(OR('Schedule_Inputs'!$C$10="Monthly",'Schedule_Inputs'!$C$10="Periodic"),IF(AND(11&gt;='Schedule_Inputs'!$B$10,MOD(11-'Schedule_Inputs'!$B$10,'Schedule_Inputs'!$E$10)=0,(11-'Schedule_Inputs'!$B$10)/'Schedule_Inputs'!$E$10&lt;'Schedule_Inputs'!$D$10),$C10/'Schedule_Inputs'!$D$10,0),0))))</f>
        <v/>
      </c>
      <c r="P10" s="231">
        <f>IF('Schedule_Inputs'!$C$10="Blueprint",$C10*IF(12-'Schedule_Inputs'!$B$10=0,'Assumptions'!$B$21,IF(12-'Schedule_Inputs'!$B$10=1,'Assumptions'!$C$21,IF(12-'Schedule_Inputs'!$B$10=2,'Assumptions'!$D$21,0))),IF('Schedule_Inputs'!$C$10="Launch",$C10*IF(12-'Schedule_Inputs'!$B$10=0,'Assumptions'!$B$22,IF(12-'Schedule_Inputs'!$B$10=1,'Assumptions'!$C$22,IF(12-'Schedule_Inputs'!$B$10=2,'Assumptions'!$D$22,IF(12-'Schedule_Inputs'!$B$10=3,'Assumptions'!$B$23,0)))),IF('Schedule_Inputs'!$C$10="Office Setup",$C10*IF(12-'Schedule_Inputs'!$B$10=0,'Assumptions'!$B$24,IF(12-'Schedule_Inputs'!$B$10=1,'Assumptions'!$C$24,IF(12-'Schedule_Inputs'!$B$10=2,'Assumptions'!$D$24,0))),IF(OR('Schedule_Inputs'!$C$10="Monthly",'Schedule_Inputs'!$C$10="Periodic"),IF(AND(12&gt;='Schedule_Inputs'!$B$10,MOD(12-'Schedule_Inputs'!$B$10,'Schedule_Inputs'!$E$10)=0,(12-'Schedule_Inputs'!$B$10)/'Schedule_Inputs'!$E$10&lt;'Schedule_Inputs'!$D$10),$C10/'Schedule_Inputs'!$D$10,0),0))))</f>
        <v/>
      </c>
      <c r="Q10" s="231">
        <f>IF('Schedule_Inputs'!$C$10="Blueprint",$C10*IF(13-'Schedule_Inputs'!$B$10=0,'Assumptions'!$B$21,IF(13-'Schedule_Inputs'!$B$10=1,'Assumptions'!$C$21,IF(13-'Schedule_Inputs'!$B$10=2,'Assumptions'!$D$21,0))),IF('Schedule_Inputs'!$C$10="Launch",$C10*IF(13-'Schedule_Inputs'!$B$10=0,'Assumptions'!$B$22,IF(13-'Schedule_Inputs'!$B$10=1,'Assumptions'!$C$22,IF(13-'Schedule_Inputs'!$B$10=2,'Assumptions'!$D$22,IF(13-'Schedule_Inputs'!$B$10=3,'Assumptions'!$B$23,0)))),IF('Schedule_Inputs'!$C$10="Office Setup",$C10*IF(13-'Schedule_Inputs'!$B$10=0,'Assumptions'!$B$24,IF(13-'Schedule_Inputs'!$B$10=1,'Assumptions'!$C$24,IF(13-'Schedule_Inputs'!$B$10=2,'Assumptions'!$D$24,0))),IF(OR('Schedule_Inputs'!$C$10="Monthly",'Schedule_Inputs'!$C$10="Periodic"),IF(AND(13&gt;='Schedule_Inputs'!$B$10,MOD(13-'Schedule_Inputs'!$B$10,'Schedule_Inputs'!$E$10)=0,(13-'Schedule_Inputs'!$B$10)/'Schedule_Inputs'!$E$10&lt;'Schedule_Inputs'!$D$10),$C10/'Schedule_Inputs'!$D$10,0),0))))</f>
        <v/>
      </c>
      <c r="R10" s="231">
        <f>IF('Schedule_Inputs'!$C$10="Blueprint",$C10*IF(14-'Schedule_Inputs'!$B$10=0,'Assumptions'!$B$21,IF(14-'Schedule_Inputs'!$B$10=1,'Assumptions'!$C$21,IF(14-'Schedule_Inputs'!$B$10=2,'Assumptions'!$D$21,0))),IF('Schedule_Inputs'!$C$10="Launch",$C10*IF(14-'Schedule_Inputs'!$B$10=0,'Assumptions'!$B$22,IF(14-'Schedule_Inputs'!$B$10=1,'Assumptions'!$C$22,IF(14-'Schedule_Inputs'!$B$10=2,'Assumptions'!$D$22,IF(14-'Schedule_Inputs'!$B$10=3,'Assumptions'!$B$23,0)))),IF('Schedule_Inputs'!$C$10="Office Setup",$C10*IF(14-'Schedule_Inputs'!$B$10=0,'Assumptions'!$B$24,IF(14-'Schedule_Inputs'!$B$10=1,'Assumptions'!$C$24,IF(14-'Schedule_Inputs'!$B$10=2,'Assumptions'!$D$24,0))),IF(OR('Schedule_Inputs'!$C$10="Monthly",'Schedule_Inputs'!$C$10="Periodic"),IF(AND(14&gt;='Schedule_Inputs'!$B$10,MOD(14-'Schedule_Inputs'!$B$10,'Schedule_Inputs'!$E$10)=0,(14-'Schedule_Inputs'!$B$10)/'Schedule_Inputs'!$E$10&lt;'Schedule_Inputs'!$D$10),$C10/'Schedule_Inputs'!$D$10,0),0))))</f>
        <v/>
      </c>
      <c r="S10" s="231">
        <f>IF('Schedule_Inputs'!$C$10="Blueprint",$C10*IF(15-'Schedule_Inputs'!$B$10=0,'Assumptions'!$B$21,IF(15-'Schedule_Inputs'!$B$10=1,'Assumptions'!$C$21,IF(15-'Schedule_Inputs'!$B$10=2,'Assumptions'!$D$21,0))),IF('Schedule_Inputs'!$C$10="Launch",$C10*IF(15-'Schedule_Inputs'!$B$10=0,'Assumptions'!$B$22,IF(15-'Schedule_Inputs'!$B$10=1,'Assumptions'!$C$22,IF(15-'Schedule_Inputs'!$B$10=2,'Assumptions'!$D$22,IF(15-'Schedule_Inputs'!$B$10=3,'Assumptions'!$B$23,0)))),IF('Schedule_Inputs'!$C$10="Office Setup",$C10*IF(15-'Schedule_Inputs'!$B$10=0,'Assumptions'!$B$24,IF(15-'Schedule_Inputs'!$B$10=1,'Assumptions'!$C$24,IF(15-'Schedule_Inputs'!$B$10=2,'Assumptions'!$D$24,0))),IF(OR('Schedule_Inputs'!$C$10="Monthly",'Schedule_Inputs'!$C$10="Periodic"),IF(AND(15&gt;='Schedule_Inputs'!$B$10,MOD(15-'Schedule_Inputs'!$B$10,'Schedule_Inputs'!$E$10)=0,(15-'Schedule_Inputs'!$B$10)/'Schedule_Inputs'!$E$10&lt;'Schedule_Inputs'!$D$10),$C10/'Schedule_Inputs'!$D$10,0),0))))</f>
        <v/>
      </c>
      <c r="T10" s="231">
        <f>IF('Schedule_Inputs'!$C$10="Blueprint",$C10*IF(16-'Schedule_Inputs'!$B$10=0,'Assumptions'!$B$21,IF(16-'Schedule_Inputs'!$B$10=1,'Assumptions'!$C$21,IF(16-'Schedule_Inputs'!$B$10=2,'Assumptions'!$D$21,0))),IF('Schedule_Inputs'!$C$10="Launch",$C10*IF(16-'Schedule_Inputs'!$B$10=0,'Assumptions'!$B$22,IF(16-'Schedule_Inputs'!$B$10=1,'Assumptions'!$C$22,IF(16-'Schedule_Inputs'!$B$10=2,'Assumptions'!$D$22,IF(16-'Schedule_Inputs'!$B$10=3,'Assumptions'!$B$23,0)))),IF('Schedule_Inputs'!$C$10="Office Setup",$C10*IF(16-'Schedule_Inputs'!$B$10=0,'Assumptions'!$B$24,IF(16-'Schedule_Inputs'!$B$10=1,'Assumptions'!$C$24,IF(16-'Schedule_Inputs'!$B$10=2,'Assumptions'!$D$24,0))),IF(OR('Schedule_Inputs'!$C$10="Monthly",'Schedule_Inputs'!$C$10="Periodic"),IF(AND(16&gt;='Schedule_Inputs'!$B$10,MOD(16-'Schedule_Inputs'!$B$10,'Schedule_Inputs'!$E$10)=0,(16-'Schedule_Inputs'!$B$10)/'Schedule_Inputs'!$E$10&lt;'Schedule_Inputs'!$D$10),$C10/'Schedule_Inputs'!$D$10,0),0))))</f>
        <v/>
      </c>
      <c r="U10" s="231">
        <f>IF('Schedule_Inputs'!$C$10="Blueprint",$C10*IF(17-'Schedule_Inputs'!$B$10=0,'Assumptions'!$B$21,IF(17-'Schedule_Inputs'!$B$10=1,'Assumptions'!$C$21,IF(17-'Schedule_Inputs'!$B$10=2,'Assumptions'!$D$21,0))),IF('Schedule_Inputs'!$C$10="Launch",$C10*IF(17-'Schedule_Inputs'!$B$10=0,'Assumptions'!$B$22,IF(17-'Schedule_Inputs'!$B$10=1,'Assumptions'!$C$22,IF(17-'Schedule_Inputs'!$B$10=2,'Assumptions'!$D$22,IF(17-'Schedule_Inputs'!$B$10=3,'Assumptions'!$B$23,0)))),IF('Schedule_Inputs'!$C$10="Office Setup",$C10*IF(17-'Schedule_Inputs'!$B$10=0,'Assumptions'!$B$24,IF(17-'Schedule_Inputs'!$B$10=1,'Assumptions'!$C$24,IF(17-'Schedule_Inputs'!$B$10=2,'Assumptions'!$D$24,0))),IF(OR('Schedule_Inputs'!$C$10="Monthly",'Schedule_Inputs'!$C$10="Periodic"),IF(AND(17&gt;='Schedule_Inputs'!$B$10,MOD(17-'Schedule_Inputs'!$B$10,'Schedule_Inputs'!$E$10)=0,(17-'Schedule_Inputs'!$B$10)/'Schedule_Inputs'!$E$10&lt;'Schedule_Inputs'!$D$10),$C10/'Schedule_Inputs'!$D$10,0),0))))</f>
        <v/>
      </c>
      <c r="V10" s="231">
        <f>IF('Schedule_Inputs'!$C$10="Blueprint",$C10*IF(18-'Schedule_Inputs'!$B$10=0,'Assumptions'!$B$21,IF(18-'Schedule_Inputs'!$B$10=1,'Assumptions'!$C$21,IF(18-'Schedule_Inputs'!$B$10=2,'Assumptions'!$D$21,0))),IF('Schedule_Inputs'!$C$10="Launch",$C10*IF(18-'Schedule_Inputs'!$B$10=0,'Assumptions'!$B$22,IF(18-'Schedule_Inputs'!$B$10=1,'Assumptions'!$C$22,IF(18-'Schedule_Inputs'!$B$10=2,'Assumptions'!$D$22,IF(18-'Schedule_Inputs'!$B$10=3,'Assumptions'!$B$23,0)))),IF('Schedule_Inputs'!$C$10="Office Setup",$C10*IF(18-'Schedule_Inputs'!$B$10=0,'Assumptions'!$B$24,IF(18-'Schedule_Inputs'!$B$10=1,'Assumptions'!$C$24,IF(18-'Schedule_Inputs'!$B$10=2,'Assumptions'!$D$24,0))),IF(OR('Schedule_Inputs'!$C$10="Monthly",'Schedule_Inputs'!$C$10="Periodic"),IF(AND(18&gt;='Schedule_Inputs'!$B$10,MOD(18-'Schedule_Inputs'!$B$10,'Schedule_Inputs'!$E$10)=0,(18-'Schedule_Inputs'!$B$10)/'Schedule_Inputs'!$E$10&lt;'Schedule_Inputs'!$D$10),$C10/'Schedule_Inputs'!$D$10,0),0))))</f>
        <v/>
      </c>
      <c r="W10" s="231">
        <f>IF('Schedule_Inputs'!$C$10="Blueprint",$C10*IF(19-'Schedule_Inputs'!$B$10=0,'Assumptions'!$B$21,IF(19-'Schedule_Inputs'!$B$10=1,'Assumptions'!$C$21,IF(19-'Schedule_Inputs'!$B$10=2,'Assumptions'!$D$21,0))),IF('Schedule_Inputs'!$C$10="Launch",$C10*IF(19-'Schedule_Inputs'!$B$10=0,'Assumptions'!$B$22,IF(19-'Schedule_Inputs'!$B$10=1,'Assumptions'!$C$22,IF(19-'Schedule_Inputs'!$B$10=2,'Assumptions'!$D$22,IF(19-'Schedule_Inputs'!$B$10=3,'Assumptions'!$B$23,0)))),IF('Schedule_Inputs'!$C$10="Office Setup",$C10*IF(19-'Schedule_Inputs'!$B$10=0,'Assumptions'!$B$24,IF(19-'Schedule_Inputs'!$B$10=1,'Assumptions'!$C$24,IF(19-'Schedule_Inputs'!$B$10=2,'Assumptions'!$D$24,0))),IF(OR('Schedule_Inputs'!$C$10="Monthly",'Schedule_Inputs'!$C$10="Periodic"),IF(AND(19&gt;='Schedule_Inputs'!$B$10,MOD(19-'Schedule_Inputs'!$B$10,'Schedule_Inputs'!$E$10)=0,(19-'Schedule_Inputs'!$B$10)/'Schedule_Inputs'!$E$10&lt;'Schedule_Inputs'!$D$10),$C10/'Schedule_Inputs'!$D$10,0),0))))</f>
        <v/>
      </c>
      <c r="X10" s="231">
        <f>IF('Schedule_Inputs'!$C$10="Blueprint",$C10*IF(20-'Schedule_Inputs'!$B$10=0,'Assumptions'!$B$21,IF(20-'Schedule_Inputs'!$B$10=1,'Assumptions'!$C$21,IF(20-'Schedule_Inputs'!$B$10=2,'Assumptions'!$D$21,0))),IF('Schedule_Inputs'!$C$10="Launch",$C10*IF(20-'Schedule_Inputs'!$B$10=0,'Assumptions'!$B$22,IF(20-'Schedule_Inputs'!$B$10=1,'Assumptions'!$C$22,IF(20-'Schedule_Inputs'!$B$10=2,'Assumptions'!$D$22,IF(20-'Schedule_Inputs'!$B$10=3,'Assumptions'!$B$23,0)))),IF('Schedule_Inputs'!$C$10="Office Setup",$C10*IF(20-'Schedule_Inputs'!$B$10=0,'Assumptions'!$B$24,IF(20-'Schedule_Inputs'!$B$10=1,'Assumptions'!$C$24,IF(20-'Schedule_Inputs'!$B$10=2,'Assumptions'!$D$24,0))),IF(OR('Schedule_Inputs'!$C$10="Monthly",'Schedule_Inputs'!$C$10="Periodic"),IF(AND(20&gt;='Schedule_Inputs'!$B$10,MOD(20-'Schedule_Inputs'!$B$10,'Schedule_Inputs'!$E$10)=0,(20-'Schedule_Inputs'!$B$10)/'Schedule_Inputs'!$E$10&lt;'Schedule_Inputs'!$D$10),$C10/'Schedule_Inputs'!$D$10,0),0))))</f>
        <v/>
      </c>
      <c r="Y10" s="231">
        <f>IF('Schedule_Inputs'!$C$10="Blueprint",$C10*IF(21-'Schedule_Inputs'!$B$10=0,'Assumptions'!$B$21,IF(21-'Schedule_Inputs'!$B$10=1,'Assumptions'!$C$21,IF(21-'Schedule_Inputs'!$B$10=2,'Assumptions'!$D$21,0))),IF('Schedule_Inputs'!$C$10="Launch",$C10*IF(21-'Schedule_Inputs'!$B$10=0,'Assumptions'!$B$22,IF(21-'Schedule_Inputs'!$B$10=1,'Assumptions'!$C$22,IF(21-'Schedule_Inputs'!$B$10=2,'Assumptions'!$D$22,IF(21-'Schedule_Inputs'!$B$10=3,'Assumptions'!$B$23,0)))),IF('Schedule_Inputs'!$C$10="Office Setup",$C10*IF(21-'Schedule_Inputs'!$B$10=0,'Assumptions'!$B$24,IF(21-'Schedule_Inputs'!$B$10=1,'Assumptions'!$C$24,IF(21-'Schedule_Inputs'!$B$10=2,'Assumptions'!$D$24,0))),IF(OR('Schedule_Inputs'!$C$10="Monthly",'Schedule_Inputs'!$C$10="Periodic"),IF(AND(21&gt;='Schedule_Inputs'!$B$10,MOD(21-'Schedule_Inputs'!$B$10,'Schedule_Inputs'!$E$10)=0,(21-'Schedule_Inputs'!$B$10)/'Schedule_Inputs'!$E$10&lt;'Schedule_Inputs'!$D$10),$C10/'Schedule_Inputs'!$D$10,0),0))))</f>
        <v/>
      </c>
      <c r="Z10" s="231">
        <f>IF('Schedule_Inputs'!$C$10="Blueprint",$C10*IF(22-'Schedule_Inputs'!$B$10=0,'Assumptions'!$B$21,IF(22-'Schedule_Inputs'!$B$10=1,'Assumptions'!$C$21,IF(22-'Schedule_Inputs'!$B$10=2,'Assumptions'!$D$21,0))),IF('Schedule_Inputs'!$C$10="Launch",$C10*IF(22-'Schedule_Inputs'!$B$10=0,'Assumptions'!$B$22,IF(22-'Schedule_Inputs'!$B$10=1,'Assumptions'!$C$22,IF(22-'Schedule_Inputs'!$B$10=2,'Assumptions'!$D$22,IF(22-'Schedule_Inputs'!$B$10=3,'Assumptions'!$B$23,0)))),IF('Schedule_Inputs'!$C$10="Office Setup",$C10*IF(22-'Schedule_Inputs'!$B$10=0,'Assumptions'!$B$24,IF(22-'Schedule_Inputs'!$B$10=1,'Assumptions'!$C$24,IF(22-'Schedule_Inputs'!$B$10=2,'Assumptions'!$D$24,0))),IF(OR('Schedule_Inputs'!$C$10="Monthly",'Schedule_Inputs'!$C$10="Periodic"),IF(AND(22&gt;='Schedule_Inputs'!$B$10,MOD(22-'Schedule_Inputs'!$B$10,'Schedule_Inputs'!$E$10)=0,(22-'Schedule_Inputs'!$B$10)/'Schedule_Inputs'!$E$10&lt;'Schedule_Inputs'!$D$10),$C10/'Schedule_Inputs'!$D$10,0),0))))</f>
        <v/>
      </c>
      <c r="AA10" s="231">
        <f>IF('Schedule_Inputs'!$C$10="Blueprint",$C10*IF(23-'Schedule_Inputs'!$B$10=0,'Assumptions'!$B$21,IF(23-'Schedule_Inputs'!$B$10=1,'Assumptions'!$C$21,IF(23-'Schedule_Inputs'!$B$10=2,'Assumptions'!$D$21,0))),IF('Schedule_Inputs'!$C$10="Launch",$C10*IF(23-'Schedule_Inputs'!$B$10=0,'Assumptions'!$B$22,IF(23-'Schedule_Inputs'!$B$10=1,'Assumptions'!$C$22,IF(23-'Schedule_Inputs'!$B$10=2,'Assumptions'!$D$22,IF(23-'Schedule_Inputs'!$B$10=3,'Assumptions'!$B$23,0)))),IF('Schedule_Inputs'!$C$10="Office Setup",$C10*IF(23-'Schedule_Inputs'!$B$10=0,'Assumptions'!$B$24,IF(23-'Schedule_Inputs'!$B$10=1,'Assumptions'!$C$24,IF(23-'Schedule_Inputs'!$B$10=2,'Assumptions'!$D$24,0))),IF(OR('Schedule_Inputs'!$C$10="Monthly",'Schedule_Inputs'!$C$10="Periodic"),IF(AND(23&gt;='Schedule_Inputs'!$B$10,MOD(23-'Schedule_Inputs'!$B$10,'Schedule_Inputs'!$E$10)=0,(23-'Schedule_Inputs'!$B$10)/'Schedule_Inputs'!$E$10&lt;'Schedule_Inputs'!$D$10),$C10/'Schedule_Inputs'!$D$10,0),0))))</f>
        <v/>
      </c>
      <c r="AB10" s="231">
        <f>IF('Schedule_Inputs'!$C$10="Blueprint",$C10*IF(24-'Schedule_Inputs'!$B$10=0,'Assumptions'!$B$21,IF(24-'Schedule_Inputs'!$B$10=1,'Assumptions'!$C$21,IF(24-'Schedule_Inputs'!$B$10=2,'Assumptions'!$D$21,0))),IF('Schedule_Inputs'!$C$10="Launch",$C10*IF(24-'Schedule_Inputs'!$B$10=0,'Assumptions'!$B$22,IF(24-'Schedule_Inputs'!$B$10=1,'Assumptions'!$C$22,IF(24-'Schedule_Inputs'!$B$10=2,'Assumptions'!$D$22,IF(24-'Schedule_Inputs'!$B$10=3,'Assumptions'!$B$23,0)))),IF('Schedule_Inputs'!$C$10="Office Setup",$C10*IF(24-'Schedule_Inputs'!$B$10=0,'Assumptions'!$B$24,IF(24-'Schedule_Inputs'!$B$10=1,'Assumptions'!$C$24,IF(24-'Schedule_Inputs'!$B$10=2,'Assumptions'!$D$24,0))),IF(OR('Schedule_Inputs'!$C$10="Monthly",'Schedule_Inputs'!$C$10="Periodic"),IF(AND(24&gt;='Schedule_Inputs'!$B$10,MOD(24-'Schedule_Inputs'!$B$10,'Schedule_Inputs'!$E$10)=0,(24-'Schedule_Inputs'!$B$10)/'Schedule_Inputs'!$E$10&lt;'Schedule_Inputs'!$D$10),$C10/'Schedule_Inputs'!$D$10,0),0))))</f>
        <v/>
      </c>
      <c r="AC10" s="231">
        <f>IF('Schedule_Inputs'!$C$10="Blueprint",$C10*IF(25-'Schedule_Inputs'!$B$10=0,'Assumptions'!$B$21,IF(25-'Schedule_Inputs'!$B$10=1,'Assumptions'!$C$21,IF(25-'Schedule_Inputs'!$B$10=2,'Assumptions'!$D$21,0))),IF('Schedule_Inputs'!$C$10="Launch",$C10*IF(25-'Schedule_Inputs'!$B$10=0,'Assumptions'!$B$22,IF(25-'Schedule_Inputs'!$B$10=1,'Assumptions'!$C$22,IF(25-'Schedule_Inputs'!$B$10=2,'Assumptions'!$D$22,IF(25-'Schedule_Inputs'!$B$10=3,'Assumptions'!$B$23,0)))),IF('Schedule_Inputs'!$C$10="Office Setup",$C10*IF(25-'Schedule_Inputs'!$B$10=0,'Assumptions'!$B$24,IF(25-'Schedule_Inputs'!$B$10=1,'Assumptions'!$C$24,IF(25-'Schedule_Inputs'!$B$10=2,'Assumptions'!$D$24,0))),IF(OR('Schedule_Inputs'!$C$10="Monthly",'Schedule_Inputs'!$C$10="Periodic"),IF(AND(25&gt;='Schedule_Inputs'!$B$10,MOD(25-'Schedule_Inputs'!$B$10,'Schedule_Inputs'!$E$10)=0,(25-'Schedule_Inputs'!$B$10)/'Schedule_Inputs'!$E$10&lt;'Schedule_Inputs'!$D$10),$C10/'Schedule_Inputs'!$D$10,0),0))))</f>
        <v/>
      </c>
      <c r="AD10" s="231">
        <f>IF('Schedule_Inputs'!$C$10="Blueprint",$C10*IF(26-'Schedule_Inputs'!$B$10=0,'Assumptions'!$B$21,IF(26-'Schedule_Inputs'!$B$10=1,'Assumptions'!$C$21,IF(26-'Schedule_Inputs'!$B$10=2,'Assumptions'!$D$21,0))),IF('Schedule_Inputs'!$C$10="Launch",$C10*IF(26-'Schedule_Inputs'!$B$10=0,'Assumptions'!$B$22,IF(26-'Schedule_Inputs'!$B$10=1,'Assumptions'!$C$22,IF(26-'Schedule_Inputs'!$B$10=2,'Assumptions'!$D$22,IF(26-'Schedule_Inputs'!$B$10=3,'Assumptions'!$B$23,0)))),IF('Schedule_Inputs'!$C$10="Office Setup",$C10*IF(26-'Schedule_Inputs'!$B$10=0,'Assumptions'!$B$24,IF(26-'Schedule_Inputs'!$B$10=1,'Assumptions'!$C$24,IF(26-'Schedule_Inputs'!$B$10=2,'Assumptions'!$D$24,0))),IF(OR('Schedule_Inputs'!$C$10="Monthly",'Schedule_Inputs'!$C$10="Periodic"),IF(AND(26&gt;='Schedule_Inputs'!$B$10,MOD(26-'Schedule_Inputs'!$B$10,'Schedule_Inputs'!$E$10)=0,(26-'Schedule_Inputs'!$B$10)/'Schedule_Inputs'!$E$10&lt;'Schedule_Inputs'!$D$10),$C10/'Schedule_Inputs'!$D$10,0),0))))</f>
        <v/>
      </c>
      <c r="AE10" s="231">
        <f>IF('Schedule_Inputs'!$C$10="Blueprint",$C10*IF(27-'Schedule_Inputs'!$B$10=0,'Assumptions'!$B$21,IF(27-'Schedule_Inputs'!$B$10=1,'Assumptions'!$C$21,IF(27-'Schedule_Inputs'!$B$10=2,'Assumptions'!$D$21,0))),IF('Schedule_Inputs'!$C$10="Launch",$C10*IF(27-'Schedule_Inputs'!$B$10=0,'Assumptions'!$B$22,IF(27-'Schedule_Inputs'!$B$10=1,'Assumptions'!$C$22,IF(27-'Schedule_Inputs'!$B$10=2,'Assumptions'!$D$22,IF(27-'Schedule_Inputs'!$B$10=3,'Assumptions'!$B$23,0)))),IF('Schedule_Inputs'!$C$10="Office Setup",$C10*IF(27-'Schedule_Inputs'!$B$10=0,'Assumptions'!$B$24,IF(27-'Schedule_Inputs'!$B$10=1,'Assumptions'!$C$24,IF(27-'Schedule_Inputs'!$B$10=2,'Assumptions'!$D$24,0))),IF(OR('Schedule_Inputs'!$C$10="Monthly",'Schedule_Inputs'!$C$10="Periodic"),IF(AND(27&gt;='Schedule_Inputs'!$B$10,MOD(27-'Schedule_Inputs'!$B$10,'Schedule_Inputs'!$E$10)=0,(27-'Schedule_Inputs'!$B$10)/'Schedule_Inputs'!$E$10&lt;'Schedule_Inputs'!$D$10),$C10/'Schedule_Inputs'!$D$10,0),0))))</f>
        <v/>
      </c>
      <c r="AF10" s="231">
        <f>IF('Schedule_Inputs'!$C$10="Blueprint",$C10*IF(28-'Schedule_Inputs'!$B$10=0,'Assumptions'!$B$21,IF(28-'Schedule_Inputs'!$B$10=1,'Assumptions'!$C$21,IF(28-'Schedule_Inputs'!$B$10=2,'Assumptions'!$D$21,0))),IF('Schedule_Inputs'!$C$10="Launch",$C10*IF(28-'Schedule_Inputs'!$B$10=0,'Assumptions'!$B$22,IF(28-'Schedule_Inputs'!$B$10=1,'Assumptions'!$C$22,IF(28-'Schedule_Inputs'!$B$10=2,'Assumptions'!$D$22,IF(28-'Schedule_Inputs'!$B$10=3,'Assumptions'!$B$23,0)))),IF('Schedule_Inputs'!$C$10="Office Setup",$C10*IF(28-'Schedule_Inputs'!$B$10=0,'Assumptions'!$B$24,IF(28-'Schedule_Inputs'!$B$10=1,'Assumptions'!$C$24,IF(28-'Schedule_Inputs'!$B$10=2,'Assumptions'!$D$24,0))),IF(OR('Schedule_Inputs'!$C$10="Monthly",'Schedule_Inputs'!$C$10="Periodic"),IF(AND(28&gt;='Schedule_Inputs'!$B$10,MOD(28-'Schedule_Inputs'!$B$10,'Schedule_Inputs'!$E$10)=0,(28-'Schedule_Inputs'!$B$10)/'Schedule_Inputs'!$E$10&lt;'Schedule_Inputs'!$D$10),$C10/'Schedule_Inputs'!$D$10,0),0))))</f>
        <v/>
      </c>
      <c r="AG10" s="231">
        <f>IF('Schedule_Inputs'!$C$10="Blueprint",$C10*IF(29-'Schedule_Inputs'!$B$10=0,'Assumptions'!$B$21,IF(29-'Schedule_Inputs'!$B$10=1,'Assumptions'!$C$21,IF(29-'Schedule_Inputs'!$B$10=2,'Assumptions'!$D$21,0))),IF('Schedule_Inputs'!$C$10="Launch",$C10*IF(29-'Schedule_Inputs'!$B$10=0,'Assumptions'!$B$22,IF(29-'Schedule_Inputs'!$B$10=1,'Assumptions'!$C$22,IF(29-'Schedule_Inputs'!$B$10=2,'Assumptions'!$D$22,IF(29-'Schedule_Inputs'!$B$10=3,'Assumptions'!$B$23,0)))),IF('Schedule_Inputs'!$C$10="Office Setup",$C10*IF(29-'Schedule_Inputs'!$B$10=0,'Assumptions'!$B$24,IF(29-'Schedule_Inputs'!$B$10=1,'Assumptions'!$C$24,IF(29-'Schedule_Inputs'!$B$10=2,'Assumptions'!$D$24,0))),IF(OR('Schedule_Inputs'!$C$10="Monthly",'Schedule_Inputs'!$C$10="Periodic"),IF(AND(29&gt;='Schedule_Inputs'!$B$10,MOD(29-'Schedule_Inputs'!$B$10,'Schedule_Inputs'!$E$10)=0,(29-'Schedule_Inputs'!$B$10)/'Schedule_Inputs'!$E$10&lt;'Schedule_Inputs'!$D$10),$C10/'Schedule_Inputs'!$D$10,0),0))))</f>
        <v/>
      </c>
      <c r="AH10" s="231">
        <f>IF('Schedule_Inputs'!$C$10="Blueprint",$C10*IF(30-'Schedule_Inputs'!$B$10=0,'Assumptions'!$B$21,IF(30-'Schedule_Inputs'!$B$10=1,'Assumptions'!$C$21,IF(30-'Schedule_Inputs'!$B$10=2,'Assumptions'!$D$21,0))),IF('Schedule_Inputs'!$C$10="Launch",$C10*IF(30-'Schedule_Inputs'!$B$10=0,'Assumptions'!$B$22,IF(30-'Schedule_Inputs'!$B$10=1,'Assumptions'!$C$22,IF(30-'Schedule_Inputs'!$B$10=2,'Assumptions'!$D$22,IF(30-'Schedule_Inputs'!$B$10=3,'Assumptions'!$B$23,0)))),IF('Schedule_Inputs'!$C$10="Office Setup",$C10*IF(30-'Schedule_Inputs'!$B$10=0,'Assumptions'!$B$24,IF(30-'Schedule_Inputs'!$B$10=1,'Assumptions'!$C$24,IF(30-'Schedule_Inputs'!$B$10=2,'Assumptions'!$D$24,0))),IF(OR('Schedule_Inputs'!$C$10="Monthly",'Schedule_Inputs'!$C$10="Periodic"),IF(AND(30&gt;='Schedule_Inputs'!$B$10,MOD(30-'Schedule_Inputs'!$B$10,'Schedule_Inputs'!$E$10)=0,(30-'Schedule_Inputs'!$B$10)/'Schedule_Inputs'!$E$10&lt;'Schedule_Inputs'!$D$10),$C10/'Schedule_Inputs'!$D$10,0),0))))</f>
        <v/>
      </c>
      <c r="AI10" s="231">
        <f>IF('Schedule_Inputs'!$C$10="Blueprint",$C10*IF(31-'Schedule_Inputs'!$B$10=0,'Assumptions'!$B$21,IF(31-'Schedule_Inputs'!$B$10=1,'Assumptions'!$C$21,IF(31-'Schedule_Inputs'!$B$10=2,'Assumptions'!$D$21,0))),IF('Schedule_Inputs'!$C$10="Launch",$C10*IF(31-'Schedule_Inputs'!$B$10=0,'Assumptions'!$B$22,IF(31-'Schedule_Inputs'!$B$10=1,'Assumptions'!$C$22,IF(31-'Schedule_Inputs'!$B$10=2,'Assumptions'!$D$22,IF(31-'Schedule_Inputs'!$B$10=3,'Assumptions'!$B$23,0)))),IF('Schedule_Inputs'!$C$10="Office Setup",$C10*IF(31-'Schedule_Inputs'!$B$10=0,'Assumptions'!$B$24,IF(31-'Schedule_Inputs'!$B$10=1,'Assumptions'!$C$24,IF(31-'Schedule_Inputs'!$B$10=2,'Assumptions'!$D$24,0))),IF(OR('Schedule_Inputs'!$C$10="Monthly",'Schedule_Inputs'!$C$10="Periodic"),IF(AND(31&gt;='Schedule_Inputs'!$B$10,MOD(31-'Schedule_Inputs'!$B$10,'Schedule_Inputs'!$E$10)=0,(31-'Schedule_Inputs'!$B$10)/'Schedule_Inputs'!$E$10&lt;'Schedule_Inputs'!$D$10),$C10/'Schedule_Inputs'!$D$10,0),0))))</f>
        <v/>
      </c>
      <c r="AJ10" s="231">
        <f>IF('Schedule_Inputs'!$C$10="Blueprint",$C10*IF(32-'Schedule_Inputs'!$B$10=0,'Assumptions'!$B$21,IF(32-'Schedule_Inputs'!$B$10=1,'Assumptions'!$C$21,IF(32-'Schedule_Inputs'!$B$10=2,'Assumptions'!$D$21,0))),IF('Schedule_Inputs'!$C$10="Launch",$C10*IF(32-'Schedule_Inputs'!$B$10=0,'Assumptions'!$B$22,IF(32-'Schedule_Inputs'!$B$10=1,'Assumptions'!$C$22,IF(32-'Schedule_Inputs'!$B$10=2,'Assumptions'!$D$22,IF(32-'Schedule_Inputs'!$B$10=3,'Assumptions'!$B$23,0)))),IF('Schedule_Inputs'!$C$10="Office Setup",$C10*IF(32-'Schedule_Inputs'!$B$10=0,'Assumptions'!$B$24,IF(32-'Schedule_Inputs'!$B$10=1,'Assumptions'!$C$24,IF(32-'Schedule_Inputs'!$B$10=2,'Assumptions'!$D$24,0))),IF(OR('Schedule_Inputs'!$C$10="Monthly",'Schedule_Inputs'!$C$10="Periodic"),IF(AND(32&gt;='Schedule_Inputs'!$B$10,MOD(32-'Schedule_Inputs'!$B$10,'Schedule_Inputs'!$E$10)=0,(32-'Schedule_Inputs'!$B$10)/'Schedule_Inputs'!$E$10&lt;'Schedule_Inputs'!$D$10),$C10/'Schedule_Inputs'!$D$10,0),0))))</f>
        <v/>
      </c>
      <c r="AK10" s="231">
        <f>IF('Schedule_Inputs'!$C$10="Blueprint",$C10*IF(33-'Schedule_Inputs'!$B$10=0,'Assumptions'!$B$21,IF(33-'Schedule_Inputs'!$B$10=1,'Assumptions'!$C$21,IF(33-'Schedule_Inputs'!$B$10=2,'Assumptions'!$D$21,0))),IF('Schedule_Inputs'!$C$10="Launch",$C10*IF(33-'Schedule_Inputs'!$B$10=0,'Assumptions'!$B$22,IF(33-'Schedule_Inputs'!$B$10=1,'Assumptions'!$C$22,IF(33-'Schedule_Inputs'!$B$10=2,'Assumptions'!$D$22,IF(33-'Schedule_Inputs'!$B$10=3,'Assumptions'!$B$23,0)))),IF('Schedule_Inputs'!$C$10="Office Setup",$C10*IF(33-'Schedule_Inputs'!$B$10=0,'Assumptions'!$B$24,IF(33-'Schedule_Inputs'!$B$10=1,'Assumptions'!$C$24,IF(33-'Schedule_Inputs'!$B$10=2,'Assumptions'!$D$24,0))),IF(OR('Schedule_Inputs'!$C$10="Monthly",'Schedule_Inputs'!$C$10="Periodic"),IF(AND(33&gt;='Schedule_Inputs'!$B$10,MOD(33-'Schedule_Inputs'!$B$10,'Schedule_Inputs'!$E$10)=0,(33-'Schedule_Inputs'!$B$10)/'Schedule_Inputs'!$E$10&lt;'Schedule_Inputs'!$D$10),$C10/'Schedule_Inputs'!$D$10,0),0))))</f>
        <v/>
      </c>
      <c r="AL10" s="231">
        <f>IF('Schedule_Inputs'!$C$10="Blueprint",$C10*IF(34-'Schedule_Inputs'!$B$10=0,'Assumptions'!$B$21,IF(34-'Schedule_Inputs'!$B$10=1,'Assumptions'!$C$21,IF(34-'Schedule_Inputs'!$B$10=2,'Assumptions'!$D$21,0))),IF('Schedule_Inputs'!$C$10="Launch",$C10*IF(34-'Schedule_Inputs'!$B$10=0,'Assumptions'!$B$22,IF(34-'Schedule_Inputs'!$B$10=1,'Assumptions'!$C$22,IF(34-'Schedule_Inputs'!$B$10=2,'Assumptions'!$D$22,IF(34-'Schedule_Inputs'!$B$10=3,'Assumptions'!$B$23,0)))),IF('Schedule_Inputs'!$C$10="Office Setup",$C10*IF(34-'Schedule_Inputs'!$B$10=0,'Assumptions'!$B$24,IF(34-'Schedule_Inputs'!$B$10=1,'Assumptions'!$C$24,IF(34-'Schedule_Inputs'!$B$10=2,'Assumptions'!$D$24,0))),IF(OR('Schedule_Inputs'!$C$10="Monthly",'Schedule_Inputs'!$C$10="Periodic"),IF(AND(34&gt;='Schedule_Inputs'!$B$10,MOD(34-'Schedule_Inputs'!$B$10,'Schedule_Inputs'!$E$10)=0,(34-'Schedule_Inputs'!$B$10)/'Schedule_Inputs'!$E$10&lt;'Schedule_Inputs'!$D$10),$C10/'Schedule_Inputs'!$D$10,0),0))))</f>
        <v/>
      </c>
      <c r="AM10" s="231">
        <f>IF('Schedule_Inputs'!$C$10="Blueprint",$C10*IF(35-'Schedule_Inputs'!$B$10=0,'Assumptions'!$B$21,IF(35-'Schedule_Inputs'!$B$10=1,'Assumptions'!$C$21,IF(35-'Schedule_Inputs'!$B$10=2,'Assumptions'!$D$21,0))),IF('Schedule_Inputs'!$C$10="Launch",$C10*IF(35-'Schedule_Inputs'!$B$10=0,'Assumptions'!$B$22,IF(35-'Schedule_Inputs'!$B$10=1,'Assumptions'!$C$22,IF(35-'Schedule_Inputs'!$B$10=2,'Assumptions'!$D$22,IF(35-'Schedule_Inputs'!$B$10=3,'Assumptions'!$B$23,0)))),IF('Schedule_Inputs'!$C$10="Office Setup",$C10*IF(35-'Schedule_Inputs'!$B$10=0,'Assumptions'!$B$24,IF(35-'Schedule_Inputs'!$B$10=1,'Assumptions'!$C$24,IF(35-'Schedule_Inputs'!$B$10=2,'Assumptions'!$D$24,0))),IF(OR('Schedule_Inputs'!$C$10="Monthly",'Schedule_Inputs'!$C$10="Periodic"),IF(AND(35&gt;='Schedule_Inputs'!$B$10,MOD(35-'Schedule_Inputs'!$B$10,'Schedule_Inputs'!$E$10)=0,(35-'Schedule_Inputs'!$B$10)/'Schedule_Inputs'!$E$10&lt;'Schedule_Inputs'!$D$10),$C10/'Schedule_Inputs'!$D$10,0),0))))</f>
        <v/>
      </c>
      <c r="AN10" s="231">
        <f>IF('Schedule_Inputs'!$C$10="Blueprint",$C10*IF(36-'Schedule_Inputs'!$B$10=0,'Assumptions'!$B$21,IF(36-'Schedule_Inputs'!$B$10=1,'Assumptions'!$C$21,IF(36-'Schedule_Inputs'!$B$10=2,'Assumptions'!$D$21,0))),IF('Schedule_Inputs'!$C$10="Launch",$C10*IF(36-'Schedule_Inputs'!$B$10=0,'Assumptions'!$B$22,IF(36-'Schedule_Inputs'!$B$10=1,'Assumptions'!$C$22,IF(36-'Schedule_Inputs'!$B$10=2,'Assumptions'!$D$22,IF(36-'Schedule_Inputs'!$B$10=3,'Assumptions'!$B$23,0)))),IF('Schedule_Inputs'!$C$10="Office Setup",$C10*IF(36-'Schedule_Inputs'!$B$10=0,'Assumptions'!$B$24,IF(36-'Schedule_Inputs'!$B$10=1,'Assumptions'!$C$24,IF(36-'Schedule_Inputs'!$B$10=2,'Assumptions'!$D$24,0))),IF(OR('Schedule_Inputs'!$C$10="Monthly",'Schedule_Inputs'!$C$10="Periodic"),IF(AND(36&gt;='Schedule_Inputs'!$B$10,MOD(36-'Schedule_Inputs'!$B$10,'Schedule_Inputs'!$E$10)=0,(36-'Schedule_Inputs'!$B$10)/'Schedule_Inputs'!$E$10&lt;'Schedule_Inputs'!$D$10),$C10/'Schedule_Inputs'!$D$10,0),0))))</f>
        <v/>
      </c>
    </row>
    <row r="11">
      <c r="A11" s="106" t="inlineStr">
        <is>
          <t>Blueprint 04</t>
        </is>
      </c>
      <c r="B11" s="106" t="n">
        <v>2</v>
      </c>
      <c r="C11" s="230" t="n">
        <v>21000</v>
      </c>
      <c r="D11" s="231" t="inlineStr">
        <is>
          <t>40 / 40 / 20</t>
        </is>
      </c>
      <c r="E11" s="231">
        <f>IF('Schedule_Inputs'!$C$11="Blueprint",$C11*IF(1-'Schedule_Inputs'!$B$11=0,'Assumptions'!$B$21,IF(1-'Schedule_Inputs'!$B$11=1,'Assumptions'!$C$21,IF(1-'Schedule_Inputs'!$B$11=2,'Assumptions'!$D$21,0))),IF('Schedule_Inputs'!$C$11="Launch",$C11*IF(1-'Schedule_Inputs'!$B$11=0,'Assumptions'!$B$22,IF(1-'Schedule_Inputs'!$B$11=1,'Assumptions'!$C$22,IF(1-'Schedule_Inputs'!$B$11=2,'Assumptions'!$D$22,IF(1-'Schedule_Inputs'!$B$11=3,'Assumptions'!$B$23,0)))),IF('Schedule_Inputs'!$C$11="Office Setup",$C11*IF(1-'Schedule_Inputs'!$B$11=0,'Assumptions'!$B$24,IF(1-'Schedule_Inputs'!$B$11=1,'Assumptions'!$C$24,IF(1-'Schedule_Inputs'!$B$11=2,'Assumptions'!$D$24,0))),IF(OR('Schedule_Inputs'!$C$11="Monthly",'Schedule_Inputs'!$C$11="Periodic"),IF(AND(1&gt;='Schedule_Inputs'!$B$11,MOD(1-'Schedule_Inputs'!$B$11,'Schedule_Inputs'!$E$11)=0,(1-'Schedule_Inputs'!$B$11)/'Schedule_Inputs'!$E$11&lt;'Schedule_Inputs'!$D$11),$C11/'Schedule_Inputs'!$D$11,0),0))))</f>
        <v/>
      </c>
      <c r="F11" s="231">
        <f>IF('Schedule_Inputs'!$C$11="Blueprint",$C11*IF(2-'Schedule_Inputs'!$B$11=0,'Assumptions'!$B$21,IF(2-'Schedule_Inputs'!$B$11=1,'Assumptions'!$C$21,IF(2-'Schedule_Inputs'!$B$11=2,'Assumptions'!$D$21,0))),IF('Schedule_Inputs'!$C$11="Launch",$C11*IF(2-'Schedule_Inputs'!$B$11=0,'Assumptions'!$B$22,IF(2-'Schedule_Inputs'!$B$11=1,'Assumptions'!$C$22,IF(2-'Schedule_Inputs'!$B$11=2,'Assumptions'!$D$22,IF(2-'Schedule_Inputs'!$B$11=3,'Assumptions'!$B$23,0)))),IF('Schedule_Inputs'!$C$11="Office Setup",$C11*IF(2-'Schedule_Inputs'!$B$11=0,'Assumptions'!$B$24,IF(2-'Schedule_Inputs'!$B$11=1,'Assumptions'!$C$24,IF(2-'Schedule_Inputs'!$B$11=2,'Assumptions'!$D$24,0))),IF(OR('Schedule_Inputs'!$C$11="Monthly",'Schedule_Inputs'!$C$11="Periodic"),IF(AND(2&gt;='Schedule_Inputs'!$B$11,MOD(2-'Schedule_Inputs'!$B$11,'Schedule_Inputs'!$E$11)=0,(2-'Schedule_Inputs'!$B$11)/'Schedule_Inputs'!$E$11&lt;'Schedule_Inputs'!$D$11),$C11/'Schedule_Inputs'!$D$11,0),0))))</f>
        <v/>
      </c>
      <c r="G11" s="231">
        <f>IF('Schedule_Inputs'!$C$11="Blueprint",$C11*IF(3-'Schedule_Inputs'!$B$11=0,'Assumptions'!$B$21,IF(3-'Schedule_Inputs'!$B$11=1,'Assumptions'!$C$21,IF(3-'Schedule_Inputs'!$B$11=2,'Assumptions'!$D$21,0))),IF('Schedule_Inputs'!$C$11="Launch",$C11*IF(3-'Schedule_Inputs'!$B$11=0,'Assumptions'!$B$22,IF(3-'Schedule_Inputs'!$B$11=1,'Assumptions'!$C$22,IF(3-'Schedule_Inputs'!$B$11=2,'Assumptions'!$D$22,IF(3-'Schedule_Inputs'!$B$11=3,'Assumptions'!$B$23,0)))),IF('Schedule_Inputs'!$C$11="Office Setup",$C11*IF(3-'Schedule_Inputs'!$B$11=0,'Assumptions'!$B$24,IF(3-'Schedule_Inputs'!$B$11=1,'Assumptions'!$C$24,IF(3-'Schedule_Inputs'!$B$11=2,'Assumptions'!$D$24,0))),IF(OR('Schedule_Inputs'!$C$11="Monthly",'Schedule_Inputs'!$C$11="Periodic"),IF(AND(3&gt;='Schedule_Inputs'!$B$11,MOD(3-'Schedule_Inputs'!$B$11,'Schedule_Inputs'!$E$11)=0,(3-'Schedule_Inputs'!$B$11)/'Schedule_Inputs'!$E$11&lt;'Schedule_Inputs'!$D$11),$C11/'Schedule_Inputs'!$D$11,0),0))))</f>
        <v/>
      </c>
      <c r="H11" s="231">
        <f>IF('Schedule_Inputs'!$C$11="Blueprint",$C11*IF(4-'Schedule_Inputs'!$B$11=0,'Assumptions'!$B$21,IF(4-'Schedule_Inputs'!$B$11=1,'Assumptions'!$C$21,IF(4-'Schedule_Inputs'!$B$11=2,'Assumptions'!$D$21,0))),IF('Schedule_Inputs'!$C$11="Launch",$C11*IF(4-'Schedule_Inputs'!$B$11=0,'Assumptions'!$B$22,IF(4-'Schedule_Inputs'!$B$11=1,'Assumptions'!$C$22,IF(4-'Schedule_Inputs'!$B$11=2,'Assumptions'!$D$22,IF(4-'Schedule_Inputs'!$B$11=3,'Assumptions'!$B$23,0)))),IF('Schedule_Inputs'!$C$11="Office Setup",$C11*IF(4-'Schedule_Inputs'!$B$11=0,'Assumptions'!$B$24,IF(4-'Schedule_Inputs'!$B$11=1,'Assumptions'!$C$24,IF(4-'Schedule_Inputs'!$B$11=2,'Assumptions'!$D$24,0))),IF(OR('Schedule_Inputs'!$C$11="Monthly",'Schedule_Inputs'!$C$11="Periodic"),IF(AND(4&gt;='Schedule_Inputs'!$B$11,MOD(4-'Schedule_Inputs'!$B$11,'Schedule_Inputs'!$E$11)=0,(4-'Schedule_Inputs'!$B$11)/'Schedule_Inputs'!$E$11&lt;'Schedule_Inputs'!$D$11),$C11/'Schedule_Inputs'!$D$11,0),0))))</f>
        <v/>
      </c>
      <c r="I11" s="231">
        <f>IF('Schedule_Inputs'!$C$11="Blueprint",$C11*IF(5-'Schedule_Inputs'!$B$11=0,'Assumptions'!$B$21,IF(5-'Schedule_Inputs'!$B$11=1,'Assumptions'!$C$21,IF(5-'Schedule_Inputs'!$B$11=2,'Assumptions'!$D$21,0))),IF('Schedule_Inputs'!$C$11="Launch",$C11*IF(5-'Schedule_Inputs'!$B$11=0,'Assumptions'!$B$22,IF(5-'Schedule_Inputs'!$B$11=1,'Assumptions'!$C$22,IF(5-'Schedule_Inputs'!$B$11=2,'Assumptions'!$D$22,IF(5-'Schedule_Inputs'!$B$11=3,'Assumptions'!$B$23,0)))),IF('Schedule_Inputs'!$C$11="Office Setup",$C11*IF(5-'Schedule_Inputs'!$B$11=0,'Assumptions'!$B$24,IF(5-'Schedule_Inputs'!$B$11=1,'Assumptions'!$C$24,IF(5-'Schedule_Inputs'!$B$11=2,'Assumptions'!$D$24,0))),IF(OR('Schedule_Inputs'!$C$11="Monthly",'Schedule_Inputs'!$C$11="Periodic"),IF(AND(5&gt;='Schedule_Inputs'!$B$11,MOD(5-'Schedule_Inputs'!$B$11,'Schedule_Inputs'!$E$11)=0,(5-'Schedule_Inputs'!$B$11)/'Schedule_Inputs'!$E$11&lt;'Schedule_Inputs'!$D$11),$C11/'Schedule_Inputs'!$D$11,0),0))))</f>
        <v/>
      </c>
      <c r="J11" s="231">
        <f>IF('Schedule_Inputs'!$C$11="Blueprint",$C11*IF(6-'Schedule_Inputs'!$B$11=0,'Assumptions'!$B$21,IF(6-'Schedule_Inputs'!$B$11=1,'Assumptions'!$C$21,IF(6-'Schedule_Inputs'!$B$11=2,'Assumptions'!$D$21,0))),IF('Schedule_Inputs'!$C$11="Launch",$C11*IF(6-'Schedule_Inputs'!$B$11=0,'Assumptions'!$B$22,IF(6-'Schedule_Inputs'!$B$11=1,'Assumptions'!$C$22,IF(6-'Schedule_Inputs'!$B$11=2,'Assumptions'!$D$22,IF(6-'Schedule_Inputs'!$B$11=3,'Assumptions'!$B$23,0)))),IF('Schedule_Inputs'!$C$11="Office Setup",$C11*IF(6-'Schedule_Inputs'!$B$11=0,'Assumptions'!$B$24,IF(6-'Schedule_Inputs'!$B$11=1,'Assumptions'!$C$24,IF(6-'Schedule_Inputs'!$B$11=2,'Assumptions'!$D$24,0))),IF(OR('Schedule_Inputs'!$C$11="Monthly",'Schedule_Inputs'!$C$11="Periodic"),IF(AND(6&gt;='Schedule_Inputs'!$B$11,MOD(6-'Schedule_Inputs'!$B$11,'Schedule_Inputs'!$E$11)=0,(6-'Schedule_Inputs'!$B$11)/'Schedule_Inputs'!$E$11&lt;'Schedule_Inputs'!$D$11),$C11/'Schedule_Inputs'!$D$11,0),0))))</f>
        <v/>
      </c>
      <c r="K11" s="231">
        <f>IF('Schedule_Inputs'!$C$11="Blueprint",$C11*IF(7-'Schedule_Inputs'!$B$11=0,'Assumptions'!$B$21,IF(7-'Schedule_Inputs'!$B$11=1,'Assumptions'!$C$21,IF(7-'Schedule_Inputs'!$B$11=2,'Assumptions'!$D$21,0))),IF('Schedule_Inputs'!$C$11="Launch",$C11*IF(7-'Schedule_Inputs'!$B$11=0,'Assumptions'!$B$22,IF(7-'Schedule_Inputs'!$B$11=1,'Assumptions'!$C$22,IF(7-'Schedule_Inputs'!$B$11=2,'Assumptions'!$D$22,IF(7-'Schedule_Inputs'!$B$11=3,'Assumptions'!$B$23,0)))),IF('Schedule_Inputs'!$C$11="Office Setup",$C11*IF(7-'Schedule_Inputs'!$B$11=0,'Assumptions'!$B$24,IF(7-'Schedule_Inputs'!$B$11=1,'Assumptions'!$C$24,IF(7-'Schedule_Inputs'!$B$11=2,'Assumptions'!$D$24,0))),IF(OR('Schedule_Inputs'!$C$11="Monthly",'Schedule_Inputs'!$C$11="Periodic"),IF(AND(7&gt;='Schedule_Inputs'!$B$11,MOD(7-'Schedule_Inputs'!$B$11,'Schedule_Inputs'!$E$11)=0,(7-'Schedule_Inputs'!$B$11)/'Schedule_Inputs'!$E$11&lt;'Schedule_Inputs'!$D$11),$C11/'Schedule_Inputs'!$D$11,0),0))))</f>
        <v/>
      </c>
      <c r="L11" s="231">
        <f>IF('Schedule_Inputs'!$C$11="Blueprint",$C11*IF(8-'Schedule_Inputs'!$B$11=0,'Assumptions'!$B$21,IF(8-'Schedule_Inputs'!$B$11=1,'Assumptions'!$C$21,IF(8-'Schedule_Inputs'!$B$11=2,'Assumptions'!$D$21,0))),IF('Schedule_Inputs'!$C$11="Launch",$C11*IF(8-'Schedule_Inputs'!$B$11=0,'Assumptions'!$B$22,IF(8-'Schedule_Inputs'!$B$11=1,'Assumptions'!$C$22,IF(8-'Schedule_Inputs'!$B$11=2,'Assumptions'!$D$22,IF(8-'Schedule_Inputs'!$B$11=3,'Assumptions'!$B$23,0)))),IF('Schedule_Inputs'!$C$11="Office Setup",$C11*IF(8-'Schedule_Inputs'!$B$11=0,'Assumptions'!$B$24,IF(8-'Schedule_Inputs'!$B$11=1,'Assumptions'!$C$24,IF(8-'Schedule_Inputs'!$B$11=2,'Assumptions'!$D$24,0))),IF(OR('Schedule_Inputs'!$C$11="Monthly",'Schedule_Inputs'!$C$11="Periodic"),IF(AND(8&gt;='Schedule_Inputs'!$B$11,MOD(8-'Schedule_Inputs'!$B$11,'Schedule_Inputs'!$E$11)=0,(8-'Schedule_Inputs'!$B$11)/'Schedule_Inputs'!$E$11&lt;'Schedule_Inputs'!$D$11),$C11/'Schedule_Inputs'!$D$11,0),0))))</f>
        <v/>
      </c>
      <c r="M11" s="231">
        <f>IF('Schedule_Inputs'!$C$11="Blueprint",$C11*IF(9-'Schedule_Inputs'!$B$11=0,'Assumptions'!$B$21,IF(9-'Schedule_Inputs'!$B$11=1,'Assumptions'!$C$21,IF(9-'Schedule_Inputs'!$B$11=2,'Assumptions'!$D$21,0))),IF('Schedule_Inputs'!$C$11="Launch",$C11*IF(9-'Schedule_Inputs'!$B$11=0,'Assumptions'!$B$22,IF(9-'Schedule_Inputs'!$B$11=1,'Assumptions'!$C$22,IF(9-'Schedule_Inputs'!$B$11=2,'Assumptions'!$D$22,IF(9-'Schedule_Inputs'!$B$11=3,'Assumptions'!$B$23,0)))),IF('Schedule_Inputs'!$C$11="Office Setup",$C11*IF(9-'Schedule_Inputs'!$B$11=0,'Assumptions'!$B$24,IF(9-'Schedule_Inputs'!$B$11=1,'Assumptions'!$C$24,IF(9-'Schedule_Inputs'!$B$11=2,'Assumptions'!$D$24,0))),IF(OR('Schedule_Inputs'!$C$11="Monthly",'Schedule_Inputs'!$C$11="Periodic"),IF(AND(9&gt;='Schedule_Inputs'!$B$11,MOD(9-'Schedule_Inputs'!$B$11,'Schedule_Inputs'!$E$11)=0,(9-'Schedule_Inputs'!$B$11)/'Schedule_Inputs'!$E$11&lt;'Schedule_Inputs'!$D$11),$C11/'Schedule_Inputs'!$D$11,0),0))))</f>
        <v/>
      </c>
      <c r="N11" s="231">
        <f>IF('Schedule_Inputs'!$C$11="Blueprint",$C11*IF(10-'Schedule_Inputs'!$B$11=0,'Assumptions'!$B$21,IF(10-'Schedule_Inputs'!$B$11=1,'Assumptions'!$C$21,IF(10-'Schedule_Inputs'!$B$11=2,'Assumptions'!$D$21,0))),IF('Schedule_Inputs'!$C$11="Launch",$C11*IF(10-'Schedule_Inputs'!$B$11=0,'Assumptions'!$B$22,IF(10-'Schedule_Inputs'!$B$11=1,'Assumptions'!$C$22,IF(10-'Schedule_Inputs'!$B$11=2,'Assumptions'!$D$22,IF(10-'Schedule_Inputs'!$B$11=3,'Assumptions'!$B$23,0)))),IF('Schedule_Inputs'!$C$11="Office Setup",$C11*IF(10-'Schedule_Inputs'!$B$11=0,'Assumptions'!$B$24,IF(10-'Schedule_Inputs'!$B$11=1,'Assumptions'!$C$24,IF(10-'Schedule_Inputs'!$B$11=2,'Assumptions'!$D$24,0))),IF(OR('Schedule_Inputs'!$C$11="Monthly",'Schedule_Inputs'!$C$11="Periodic"),IF(AND(10&gt;='Schedule_Inputs'!$B$11,MOD(10-'Schedule_Inputs'!$B$11,'Schedule_Inputs'!$E$11)=0,(10-'Schedule_Inputs'!$B$11)/'Schedule_Inputs'!$E$11&lt;'Schedule_Inputs'!$D$11),$C11/'Schedule_Inputs'!$D$11,0),0))))</f>
        <v/>
      </c>
      <c r="O11" s="231">
        <f>IF('Schedule_Inputs'!$C$11="Blueprint",$C11*IF(11-'Schedule_Inputs'!$B$11=0,'Assumptions'!$B$21,IF(11-'Schedule_Inputs'!$B$11=1,'Assumptions'!$C$21,IF(11-'Schedule_Inputs'!$B$11=2,'Assumptions'!$D$21,0))),IF('Schedule_Inputs'!$C$11="Launch",$C11*IF(11-'Schedule_Inputs'!$B$11=0,'Assumptions'!$B$22,IF(11-'Schedule_Inputs'!$B$11=1,'Assumptions'!$C$22,IF(11-'Schedule_Inputs'!$B$11=2,'Assumptions'!$D$22,IF(11-'Schedule_Inputs'!$B$11=3,'Assumptions'!$B$23,0)))),IF('Schedule_Inputs'!$C$11="Office Setup",$C11*IF(11-'Schedule_Inputs'!$B$11=0,'Assumptions'!$B$24,IF(11-'Schedule_Inputs'!$B$11=1,'Assumptions'!$C$24,IF(11-'Schedule_Inputs'!$B$11=2,'Assumptions'!$D$24,0))),IF(OR('Schedule_Inputs'!$C$11="Monthly",'Schedule_Inputs'!$C$11="Periodic"),IF(AND(11&gt;='Schedule_Inputs'!$B$11,MOD(11-'Schedule_Inputs'!$B$11,'Schedule_Inputs'!$E$11)=0,(11-'Schedule_Inputs'!$B$11)/'Schedule_Inputs'!$E$11&lt;'Schedule_Inputs'!$D$11),$C11/'Schedule_Inputs'!$D$11,0),0))))</f>
        <v/>
      </c>
      <c r="P11" s="231">
        <f>IF('Schedule_Inputs'!$C$11="Blueprint",$C11*IF(12-'Schedule_Inputs'!$B$11=0,'Assumptions'!$B$21,IF(12-'Schedule_Inputs'!$B$11=1,'Assumptions'!$C$21,IF(12-'Schedule_Inputs'!$B$11=2,'Assumptions'!$D$21,0))),IF('Schedule_Inputs'!$C$11="Launch",$C11*IF(12-'Schedule_Inputs'!$B$11=0,'Assumptions'!$B$22,IF(12-'Schedule_Inputs'!$B$11=1,'Assumptions'!$C$22,IF(12-'Schedule_Inputs'!$B$11=2,'Assumptions'!$D$22,IF(12-'Schedule_Inputs'!$B$11=3,'Assumptions'!$B$23,0)))),IF('Schedule_Inputs'!$C$11="Office Setup",$C11*IF(12-'Schedule_Inputs'!$B$11=0,'Assumptions'!$B$24,IF(12-'Schedule_Inputs'!$B$11=1,'Assumptions'!$C$24,IF(12-'Schedule_Inputs'!$B$11=2,'Assumptions'!$D$24,0))),IF(OR('Schedule_Inputs'!$C$11="Monthly",'Schedule_Inputs'!$C$11="Periodic"),IF(AND(12&gt;='Schedule_Inputs'!$B$11,MOD(12-'Schedule_Inputs'!$B$11,'Schedule_Inputs'!$E$11)=0,(12-'Schedule_Inputs'!$B$11)/'Schedule_Inputs'!$E$11&lt;'Schedule_Inputs'!$D$11),$C11/'Schedule_Inputs'!$D$11,0),0))))</f>
        <v/>
      </c>
      <c r="Q11" s="231">
        <f>IF('Schedule_Inputs'!$C$11="Blueprint",$C11*IF(13-'Schedule_Inputs'!$B$11=0,'Assumptions'!$B$21,IF(13-'Schedule_Inputs'!$B$11=1,'Assumptions'!$C$21,IF(13-'Schedule_Inputs'!$B$11=2,'Assumptions'!$D$21,0))),IF('Schedule_Inputs'!$C$11="Launch",$C11*IF(13-'Schedule_Inputs'!$B$11=0,'Assumptions'!$B$22,IF(13-'Schedule_Inputs'!$B$11=1,'Assumptions'!$C$22,IF(13-'Schedule_Inputs'!$B$11=2,'Assumptions'!$D$22,IF(13-'Schedule_Inputs'!$B$11=3,'Assumptions'!$B$23,0)))),IF('Schedule_Inputs'!$C$11="Office Setup",$C11*IF(13-'Schedule_Inputs'!$B$11=0,'Assumptions'!$B$24,IF(13-'Schedule_Inputs'!$B$11=1,'Assumptions'!$C$24,IF(13-'Schedule_Inputs'!$B$11=2,'Assumptions'!$D$24,0))),IF(OR('Schedule_Inputs'!$C$11="Monthly",'Schedule_Inputs'!$C$11="Periodic"),IF(AND(13&gt;='Schedule_Inputs'!$B$11,MOD(13-'Schedule_Inputs'!$B$11,'Schedule_Inputs'!$E$11)=0,(13-'Schedule_Inputs'!$B$11)/'Schedule_Inputs'!$E$11&lt;'Schedule_Inputs'!$D$11),$C11/'Schedule_Inputs'!$D$11,0),0))))</f>
        <v/>
      </c>
      <c r="R11" s="231">
        <f>IF('Schedule_Inputs'!$C$11="Blueprint",$C11*IF(14-'Schedule_Inputs'!$B$11=0,'Assumptions'!$B$21,IF(14-'Schedule_Inputs'!$B$11=1,'Assumptions'!$C$21,IF(14-'Schedule_Inputs'!$B$11=2,'Assumptions'!$D$21,0))),IF('Schedule_Inputs'!$C$11="Launch",$C11*IF(14-'Schedule_Inputs'!$B$11=0,'Assumptions'!$B$22,IF(14-'Schedule_Inputs'!$B$11=1,'Assumptions'!$C$22,IF(14-'Schedule_Inputs'!$B$11=2,'Assumptions'!$D$22,IF(14-'Schedule_Inputs'!$B$11=3,'Assumptions'!$B$23,0)))),IF('Schedule_Inputs'!$C$11="Office Setup",$C11*IF(14-'Schedule_Inputs'!$B$11=0,'Assumptions'!$B$24,IF(14-'Schedule_Inputs'!$B$11=1,'Assumptions'!$C$24,IF(14-'Schedule_Inputs'!$B$11=2,'Assumptions'!$D$24,0))),IF(OR('Schedule_Inputs'!$C$11="Monthly",'Schedule_Inputs'!$C$11="Periodic"),IF(AND(14&gt;='Schedule_Inputs'!$B$11,MOD(14-'Schedule_Inputs'!$B$11,'Schedule_Inputs'!$E$11)=0,(14-'Schedule_Inputs'!$B$11)/'Schedule_Inputs'!$E$11&lt;'Schedule_Inputs'!$D$11),$C11/'Schedule_Inputs'!$D$11,0),0))))</f>
        <v/>
      </c>
      <c r="S11" s="231">
        <f>IF('Schedule_Inputs'!$C$11="Blueprint",$C11*IF(15-'Schedule_Inputs'!$B$11=0,'Assumptions'!$B$21,IF(15-'Schedule_Inputs'!$B$11=1,'Assumptions'!$C$21,IF(15-'Schedule_Inputs'!$B$11=2,'Assumptions'!$D$21,0))),IF('Schedule_Inputs'!$C$11="Launch",$C11*IF(15-'Schedule_Inputs'!$B$11=0,'Assumptions'!$B$22,IF(15-'Schedule_Inputs'!$B$11=1,'Assumptions'!$C$22,IF(15-'Schedule_Inputs'!$B$11=2,'Assumptions'!$D$22,IF(15-'Schedule_Inputs'!$B$11=3,'Assumptions'!$B$23,0)))),IF('Schedule_Inputs'!$C$11="Office Setup",$C11*IF(15-'Schedule_Inputs'!$B$11=0,'Assumptions'!$B$24,IF(15-'Schedule_Inputs'!$B$11=1,'Assumptions'!$C$24,IF(15-'Schedule_Inputs'!$B$11=2,'Assumptions'!$D$24,0))),IF(OR('Schedule_Inputs'!$C$11="Monthly",'Schedule_Inputs'!$C$11="Periodic"),IF(AND(15&gt;='Schedule_Inputs'!$B$11,MOD(15-'Schedule_Inputs'!$B$11,'Schedule_Inputs'!$E$11)=0,(15-'Schedule_Inputs'!$B$11)/'Schedule_Inputs'!$E$11&lt;'Schedule_Inputs'!$D$11),$C11/'Schedule_Inputs'!$D$11,0),0))))</f>
        <v/>
      </c>
      <c r="T11" s="231">
        <f>IF('Schedule_Inputs'!$C$11="Blueprint",$C11*IF(16-'Schedule_Inputs'!$B$11=0,'Assumptions'!$B$21,IF(16-'Schedule_Inputs'!$B$11=1,'Assumptions'!$C$21,IF(16-'Schedule_Inputs'!$B$11=2,'Assumptions'!$D$21,0))),IF('Schedule_Inputs'!$C$11="Launch",$C11*IF(16-'Schedule_Inputs'!$B$11=0,'Assumptions'!$B$22,IF(16-'Schedule_Inputs'!$B$11=1,'Assumptions'!$C$22,IF(16-'Schedule_Inputs'!$B$11=2,'Assumptions'!$D$22,IF(16-'Schedule_Inputs'!$B$11=3,'Assumptions'!$B$23,0)))),IF('Schedule_Inputs'!$C$11="Office Setup",$C11*IF(16-'Schedule_Inputs'!$B$11=0,'Assumptions'!$B$24,IF(16-'Schedule_Inputs'!$B$11=1,'Assumptions'!$C$24,IF(16-'Schedule_Inputs'!$B$11=2,'Assumptions'!$D$24,0))),IF(OR('Schedule_Inputs'!$C$11="Monthly",'Schedule_Inputs'!$C$11="Periodic"),IF(AND(16&gt;='Schedule_Inputs'!$B$11,MOD(16-'Schedule_Inputs'!$B$11,'Schedule_Inputs'!$E$11)=0,(16-'Schedule_Inputs'!$B$11)/'Schedule_Inputs'!$E$11&lt;'Schedule_Inputs'!$D$11),$C11/'Schedule_Inputs'!$D$11,0),0))))</f>
        <v/>
      </c>
      <c r="U11" s="231">
        <f>IF('Schedule_Inputs'!$C$11="Blueprint",$C11*IF(17-'Schedule_Inputs'!$B$11=0,'Assumptions'!$B$21,IF(17-'Schedule_Inputs'!$B$11=1,'Assumptions'!$C$21,IF(17-'Schedule_Inputs'!$B$11=2,'Assumptions'!$D$21,0))),IF('Schedule_Inputs'!$C$11="Launch",$C11*IF(17-'Schedule_Inputs'!$B$11=0,'Assumptions'!$B$22,IF(17-'Schedule_Inputs'!$B$11=1,'Assumptions'!$C$22,IF(17-'Schedule_Inputs'!$B$11=2,'Assumptions'!$D$22,IF(17-'Schedule_Inputs'!$B$11=3,'Assumptions'!$B$23,0)))),IF('Schedule_Inputs'!$C$11="Office Setup",$C11*IF(17-'Schedule_Inputs'!$B$11=0,'Assumptions'!$B$24,IF(17-'Schedule_Inputs'!$B$11=1,'Assumptions'!$C$24,IF(17-'Schedule_Inputs'!$B$11=2,'Assumptions'!$D$24,0))),IF(OR('Schedule_Inputs'!$C$11="Monthly",'Schedule_Inputs'!$C$11="Periodic"),IF(AND(17&gt;='Schedule_Inputs'!$B$11,MOD(17-'Schedule_Inputs'!$B$11,'Schedule_Inputs'!$E$11)=0,(17-'Schedule_Inputs'!$B$11)/'Schedule_Inputs'!$E$11&lt;'Schedule_Inputs'!$D$11),$C11/'Schedule_Inputs'!$D$11,0),0))))</f>
        <v/>
      </c>
      <c r="V11" s="231">
        <f>IF('Schedule_Inputs'!$C$11="Blueprint",$C11*IF(18-'Schedule_Inputs'!$B$11=0,'Assumptions'!$B$21,IF(18-'Schedule_Inputs'!$B$11=1,'Assumptions'!$C$21,IF(18-'Schedule_Inputs'!$B$11=2,'Assumptions'!$D$21,0))),IF('Schedule_Inputs'!$C$11="Launch",$C11*IF(18-'Schedule_Inputs'!$B$11=0,'Assumptions'!$B$22,IF(18-'Schedule_Inputs'!$B$11=1,'Assumptions'!$C$22,IF(18-'Schedule_Inputs'!$B$11=2,'Assumptions'!$D$22,IF(18-'Schedule_Inputs'!$B$11=3,'Assumptions'!$B$23,0)))),IF('Schedule_Inputs'!$C$11="Office Setup",$C11*IF(18-'Schedule_Inputs'!$B$11=0,'Assumptions'!$B$24,IF(18-'Schedule_Inputs'!$B$11=1,'Assumptions'!$C$24,IF(18-'Schedule_Inputs'!$B$11=2,'Assumptions'!$D$24,0))),IF(OR('Schedule_Inputs'!$C$11="Monthly",'Schedule_Inputs'!$C$11="Periodic"),IF(AND(18&gt;='Schedule_Inputs'!$B$11,MOD(18-'Schedule_Inputs'!$B$11,'Schedule_Inputs'!$E$11)=0,(18-'Schedule_Inputs'!$B$11)/'Schedule_Inputs'!$E$11&lt;'Schedule_Inputs'!$D$11),$C11/'Schedule_Inputs'!$D$11,0),0))))</f>
        <v/>
      </c>
      <c r="W11" s="231">
        <f>IF('Schedule_Inputs'!$C$11="Blueprint",$C11*IF(19-'Schedule_Inputs'!$B$11=0,'Assumptions'!$B$21,IF(19-'Schedule_Inputs'!$B$11=1,'Assumptions'!$C$21,IF(19-'Schedule_Inputs'!$B$11=2,'Assumptions'!$D$21,0))),IF('Schedule_Inputs'!$C$11="Launch",$C11*IF(19-'Schedule_Inputs'!$B$11=0,'Assumptions'!$B$22,IF(19-'Schedule_Inputs'!$B$11=1,'Assumptions'!$C$22,IF(19-'Schedule_Inputs'!$B$11=2,'Assumptions'!$D$22,IF(19-'Schedule_Inputs'!$B$11=3,'Assumptions'!$B$23,0)))),IF('Schedule_Inputs'!$C$11="Office Setup",$C11*IF(19-'Schedule_Inputs'!$B$11=0,'Assumptions'!$B$24,IF(19-'Schedule_Inputs'!$B$11=1,'Assumptions'!$C$24,IF(19-'Schedule_Inputs'!$B$11=2,'Assumptions'!$D$24,0))),IF(OR('Schedule_Inputs'!$C$11="Monthly",'Schedule_Inputs'!$C$11="Periodic"),IF(AND(19&gt;='Schedule_Inputs'!$B$11,MOD(19-'Schedule_Inputs'!$B$11,'Schedule_Inputs'!$E$11)=0,(19-'Schedule_Inputs'!$B$11)/'Schedule_Inputs'!$E$11&lt;'Schedule_Inputs'!$D$11),$C11/'Schedule_Inputs'!$D$11,0),0))))</f>
        <v/>
      </c>
      <c r="X11" s="231">
        <f>IF('Schedule_Inputs'!$C$11="Blueprint",$C11*IF(20-'Schedule_Inputs'!$B$11=0,'Assumptions'!$B$21,IF(20-'Schedule_Inputs'!$B$11=1,'Assumptions'!$C$21,IF(20-'Schedule_Inputs'!$B$11=2,'Assumptions'!$D$21,0))),IF('Schedule_Inputs'!$C$11="Launch",$C11*IF(20-'Schedule_Inputs'!$B$11=0,'Assumptions'!$B$22,IF(20-'Schedule_Inputs'!$B$11=1,'Assumptions'!$C$22,IF(20-'Schedule_Inputs'!$B$11=2,'Assumptions'!$D$22,IF(20-'Schedule_Inputs'!$B$11=3,'Assumptions'!$B$23,0)))),IF('Schedule_Inputs'!$C$11="Office Setup",$C11*IF(20-'Schedule_Inputs'!$B$11=0,'Assumptions'!$B$24,IF(20-'Schedule_Inputs'!$B$11=1,'Assumptions'!$C$24,IF(20-'Schedule_Inputs'!$B$11=2,'Assumptions'!$D$24,0))),IF(OR('Schedule_Inputs'!$C$11="Monthly",'Schedule_Inputs'!$C$11="Periodic"),IF(AND(20&gt;='Schedule_Inputs'!$B$11,MOD(20-'Schedule_Inputs'!$B$11,'Schedule_Inputs'!$E$11)=0,(20-'Schedule_Inputs'!$B$11)/'Schedule_Inputs'!$E$11&lt;'Schedule_Inputs'!$D$11),$C11/'Schedule_Inputs'!$D$11,0),0))))</f>
        <v/>
      </c>
      <c r="Y11" s="231">
        <f>IF('Schedule_Inputs'!$C$11="Blueprint",$C11*IF(21-'Schedule_Inputs'!$B$11=0,'Assumptions'!$B$21,IF(21-'Schedule_Inputs'!$B$11=1,'Assumptions'!$C$21,IF(21-'Schedule_Inputs'!$B$11=2,'Assumptions'!$D$21,0))),IF('Schedule_Inputs'!$C$11="Launch",$C11*IF(21-'Schedule_Inputs'!$B$11=0,'Assumptions'!$B$22,IF(21-'Schedule_Inputs'!$B$11=1,'Assumptions'!$C$22,IF(21-'Schedule_Inputs'!$B$11=2,'Assumptions'!$D$22,IF(21-'Schedule_Inputs'!$B$11=3,'Assumptions'!$B$23,0)))),IF('Schedule_Inputs'!$C$11="Office Setup",$C11*IF(21-'Schedule_Inputs'!$B$11=0,'Assumptions'!$B$24,IF(21-'Schedule_Inputs'!$B$11=1,'Assumptions'!$C$24,IF(21-'Schedule_Inputs'!$B$11=2,'Assumptions'!$D$24,0))),IF(OR('Schedule_Inputs'!$C$11="Monthly",'Schedule_Inputs'!$C$11="Periodic"),IF(AND(21&gt;='Schedule_Inputs'!$B$11,MOD(21-'Schedule_Inputs'!$B$11,'Schedule_Inputs'!$E$11)=0,(21-'Schedule_Inputs'!$B$11)/'Schedule_Inputs'!$E$11&lt;'Schedule_Inputs'!$D$11),$C11/'Schedule_Inputs'!$D$11,0),0))))</f>
        <v/>
      </c>
      <c r="Z11" s="231">
        <f>IF('Schedule_Inputs'!$C$11="Blueprint",$C11*IF(22-'Schedule_Inputs'!$B$11=0,'Assumptions'!$B$21,IF(22-'Schedule_Inputs'!$B$11=1,'Assumptions'!$C$21,IF(22-'Schedule_Inputs'!$B$11=2,'Assumptions'!$D$21,0))),IF('Schedule_Inputs'!$C$11="Launch",$C11*IF(22-'Schedule_Inputs'!$B$11=0,'Assumptions'!$B$22,IF(22-'Schedule_Inputs'!$B$11=1,'Assumptions'!$C$22,IF(22-'Schedule_Inputs'!$B$11=2,'Assumptions'!$D$22,IF(22-'Schedule_Inputs'!$B$11=3,'Assumptions'!$B$23,0)))),IF('Schedule_Inputs'!$C$11="Office Setup",$C11*IF(22-'Schedule_Inputs'!$B$11=0,'Assumptions'!$B$24,IF(22-'Schedule_Inputs'!$B$11=1,'Assumptions'!$C$24,IF(22-'Schedule_Inputs'!$B$11=2,'Assumptions'!$D$24,0))),IF(OR('Schedule_Inputs'!$C$11="Monthly",'Schedule_Inputs'!$C$11="Periodic"),IF(AND(22&gt;='Schedule_Inputs'!$B$11,MOD(22-'Schedule_Inputs'!$B$11,'Schedule_Inputs'!$E$11)=0,(22-'Schedule_Inputs'!$B$11)/'Schedule_Inputs'!$E$11&lt;'Schedule_Inputs'!$D$11),$C11/'Schedule_Inputs'!$D$11,0),0))))</f>
        <v/>
      </c>
      <c r="AA11" s="231">
        <f>IF('Schedule_Inputs'!$C$11="Blueprint",$C11*IF(23-'Schedule_Inputs'!$B$11=0,'Assumptions'!$B$21,IF(23-'Schedule_Inputs'!$B$11=1,'Assumptions'!$C$21,IF(23-'Schedule_Inputs'!$B$11=2,'Assumptions'!$D$21,0))),IF('Schedule_Inputs'!$C$11="Launch",$C11*IF(23-'Schedule_Inputs'!$B$11=0,'Assumptions'!$B$22,IF(23-'Schedule_Inputs'!$B$11=1,'Assumptions'!$C$22,IF(23-'Schedule_Inputs'!$B$11=2,'Assumptions'!$D$22,IF(23-'Schedule_Inputs'!$B$11=3,'Assumptions'!$B$23,0)))),IF('Schedule_Inputs'!$C$11="Office Setup",$C11*IF(23-'Schedule_Inputs'!$B$11=0,'Assumptions'!$B$24,IF(23-'Schedule_Inputs'!$B$11=1,'Assumptions'!$C$24,IF(23-'Schedule_Inputs'!$B$11=2,'Assumptions'!$D$24,0))),IF(OR('Schedule_Inputs'!$C$11="Monthly",'Schedule_Inputs'!$C$11="Periodic"),IF(AND(23&gt;='Schedule_Inputs'!$B$11,MOD(23-'Schedule_Inputs'!$B$11,'Schedule_Inputs'!$E$11)=0,(23-'Schedule_Inputs'!$B$11)/'Schedule_Inputs'!$E$11&lt;'Schedule_Inputs'!$D$11),$C11/'Schedule_Inputs'!$D$11,0),0))))</f>
        <v/>
      </c>
      <c r="AB11" s="231">
        <f>IF('Schedule_Inputs'!$C$11="Blueprint",$C11*IF(24-'Schedule_Inputs'!$B$11=0,'Assumptions'!$B$21,IF(24-'Schedule_Inputs'!$B$11=1,'Assumptions'!$C$21,IF(24-'Schedule_Inputs'!$B$11=2,'Assumptions'!$D$21,0))),IF('Schedule_Inputs'!$C$11="Launch",$C11*IF(24-'Schedule_Inputs'!$B$11=0,'Assumptions'!$B$22,IF(24-'Schedule_Inputs'!$B$11=1,'Assumptions'!$C$22,IF(24-'Schedule_Inputs'!$B$11=2,'Assumptions'!$D$22,IF(24-'Schedule_Inputs'!$B$11=3,'Assumptions'!$B$23,0)))),IF('Schedule_Inputs'!$C$11="Office Setup",$C11*IF(24-'Schedule_Inputs'!$B$11=0,'Assumptions'!$B$24,IF(24-'Schedule_Inputs'!$B$11=1,'Assumptions'!$C$24,IF(24-'Schedule_Inputs'!$B$11=2,'Assumptions'!$D$24,0))),IF(OR('Schedule_Inputs'!$C$11="Monthly",'Schedule_Inputs'!$C$11="Periodic"),IF(AND(24&gt;='Schedule_Inputs'!$B$11,MOD(24-'Schedule_Inputs'!$B$11,'Schedule_Inputs'!$E$11)=0,(24-'Schedule_Inputs'!$B$11)/'Schedule_Inputs'!$E$11&lt;'Schedule_Inputs'!$D$11),$C11/'Schedule_Inputs'!$D$11,0),0))))</f>
        <v/>
      </c>
      <c r="AC11" s="231">
        <f>IF('Schedule_Inputs'!$C$11="Blueprint",$C11*IF(25-'Schedule_Inputs'!$B$11=0,'Assumptions'!$B$21,IF(25-'Schedule_Inputs'!$B$11=1,'Assumptions'!$C$21,IF(25-'Schedule_Inputs'!$B$11=2,'Assumptions'!$D$21,0))),IF('Schedule_Inputs'!$C$11="Launch",$C11*IF(25-'Schedule_Inputs'!$B$11=0,'Assumptions'!$B$22,IF(25-'Schedule_Inputs'!$B$11=1,'Assumptions'!$C$22,IF(25-'Schedule_Inputs'!$B$11=2,'Assumptions'!$D$22,IF(25-'Schedule_Inputs'!$B$11=3,'Assumptions'!$B$23,0)))),IF('Schedule_Inputs'!$C$11="Office Setup",$C11*IF(25-'Schedule_Inputs'!$B$11=0,'Assumptions'!$B$24,IF(25-'Schedule_Inputs'!$B$11=1,'Assumptions'!$C$24,IF(25-'Schedule_Inputs'!$B$11=2,'Assumptions'!$D$24,0))),IF(OR('Schedule_Inputs'!$C$11="Monthly",'Schedule_Inputs'!$C$11="Periodic"),IF(AND(25&gt;='Schedule_Inputs'!$B$11,MOD(25-'Schedule_Inputs'!$B$11,'Schedule_Inputs'!$E$11)=0,(25-'Schedule_Inputs'!$B$11)/'Schedule_Inputs'!$E$11&lt;'Schedule_Inputs'!$D$11),$C11/'Schedule_Inputs'!$D$11,0),0))))</f>
        <v/>
      </c>
      <c r="AD11" s="231">
        <f>IF('Schedule_Inputs'!$C$11="Blueprint",$C11*IF(26-'Schedule_Inputs'!$B$11=0,'Assumptions'!$B$21,IF(26-'Schedule_Inputs'!$B$11=1,'Assumptions'!$C$21,IF(26-'Schedule_Inputs'!$B$11=2,'Assumptions'!$D$21,0))),IF('Schedule_Inputs'!$C$11="Launch",$C11*IF(26-'Schedule_Inputs'!$B$11=0,'Assumptions'!$B$22,IF(26-'Schedule_Inputs'!$B$11=1,'Assumptions'!$C$22,IF(26-'Schedule_Inputs'!$B$11=2,'Assumptions'!$D$22,IF(26-'Schedule_Inputs'!$B$11=3,'Assumptions'!$B$23,0)))),IF('Schedule_Inputs'!$C$11="Office Setup",$C11*IF(26-'Schedule_Inputs'!$B$11=0,'Assumptions'!$B$24,IF(26-'Schedule_Inputs'!$B$11=1,'Assumptions'!$C$24,IF(26-'Schedule_Inputs'!$B$11=2,'Assumptions'!$D$24,0))),IF(OR('Schedule_Inputs'!$C$11="Monthly",'Schedule_Inputs'!$C$11="Periodic"),IF(AND(26&gt;='Schedule_Inputs'!$B$11,MOD(26-'Schedule_Inputs'!$B$11,'Schedule_Inputs'!$E$11)=0,(26-'Schedule_Inputs'!$B$11)/'Schedule_Inputs'!$E$11&lt;'Schedule_Inputs'!$D$11),$C11/'Schedule_Inputs'!$D$11,0),0))))</f>
        <v/>
      </c>
      <c r="AE11" s="231">
        <f>IF('Schedule_Inputs'!$C$11="Blueprint",$C11*IF(27-'Schedule_Inputs'!$B$11=0,'Assumptions'!$B$21,IF(27-'Schedule_Inputs'!$B$11=1,'Assumptions'!$C$21,IF(27-'Schedule_Inputs'!$B$11=2,'Assumptions'!$D$21,0))),IF('Schedule_Inputs'!$C$11="Launch",$C11*IF(27-'Schedule_Inputs'!$B$11=0,'Assumptions'!$B$22,IF(27-'Schedule_Inputs'!$B$11=1,'Assumptions'!$C$22,IF(27-'Schedule_Inputs'!$B$11=2,'Assumptions'!$D$22,IF(27-'Schedule_Inputs'!$B$11=3,'Assumptions'!$B$23,0)))),IF('Schedule_Inputs'!$C$11="Office Setup",$C11*IF(27-'Schedule_Inputs'!$B$11=0,'Assumptions'!$B$24,IF(27-'Schedule_Inputs'!$B$11=1,'Assumptions'!$C$24,IF(27-'Schedule_Inputs'!$B$11=2,'Assumptions'!$D$24,0))),IF(OR('Schedule_Inputs'!$C$11="Monthly",'Schedule_Inputs'!$C$11="Periodic"),IF(AND(27&gt;='Schedule_Inputs'!$B$11,MOD(27-'Schedule_Inputs'!$B$11,'Schedule_Inputs'!$E$11)=0,(27-'Schedule_Inputs'!$B$11)/'Schedule_Inputs'!$E$11&lt;'Schedule_Inputs'!$D$11),$C11/'Schedule_Inputs'!$D$11,0),0))))</f>
        <v/>
      </c>
      <c r="AF11" s="231">
        <f>IF('Schedule_Inputs'!$C$11="Blueprint",$C11*IF(28-'Schedule_Inputs'!$B$11=0,'Assumptions'!$B$21,IF(28-'Schedule_Inputs'!$B$11=1,'Assumptions'!$C$21,IF(28-'Schedule_Inputs'!$B$11=2,'Assumptions'!$D$21,0))),IF('Schedule_Inputs'!$C$11="Launch",$C11*IF(28-'Schedule_Inputs'!$B$11=0,'Assumptions'!$B$22,IF(28-'Schedule_Inputs'!$B$11=1,'Assumptions'!$C$22,IF(28-'Schedule_Inputs'!$B$11=2,'Assumptions'!$D$22,IF(28-'Schedule_Inputs'!$B$11=3,'Assumptions'!$B$23,0)))),IF('Schedule_Inputs'!$C$11="Office Setup",$C11*IF(28-'Schedule_Inputs'!$B$11=0,'Assumptions'!$B$24,IF(28-'Schedule_Inputs'!$B$11=1,'Assumptions'!$C$24,IF(28-'Schedule_Inputs'!$B$11=2,'Assumptions'!$D$24,0))),IF(OR('Schedule_Inputs'!$C$11="Monthly",'Schedule_Inputs'!$C$11="Periodic"),IF(AND(28&gt;='Schedule_Inputs'!$B$11,MOD(28-'Schedule_Inputs'!$B$11,'Schedule_Inputs'!$E$11)=0,(28-'Schedule_Inputs'!$B$11)/'Schedule_Inputs'!$E$11&lt;'Schedule_Inputs'!$D$11),$C11/'Schedule_Inputs'!$D$11,0),0))))</f>
        <v/>
      </c>
      <c r="AG11" s="231">
        <f>IF('Schedule_Inputs'!$C$11="Blueprint",$C11*IF(29-'Schedule_Inputs'!$B$11=0,'Assumptions'!$B$21,IF(29-'Schedule_Inputs'!$B$11=1,'Assumptions'!$C$21,IF(29-'Schedule_Inputs'!$B$11=2,'Assumptions'!$D$21,0))),IF('Schedule_Inputs'!$C$11="Launch",$C11*IF(29-'Schedule_Inputs'!$B$11=0,'Assumptions'!$B$22,IF(29-'Schedule_Inputs'!$B$11=1,'Assumptions'!$C$22,IF(29-'Schedule_Inputs'!$B$11=2,'Assumptions'!$D$22,IF(29-'Schedule_Inputs'!$B$11=3,'Assumptions'!$B$23,0)))),IF('Schedule_Inputs'!$C$11="Office Setup",$C11*IF(29-'Schedule_Inputs'!$B$11=0,'Assumptions'!$B$24,IF(29-'Schedule_Inputs'!$B$11=1,'Assumptions'!$C$24,IF(29-'Schedule_Inputs'!$B$11=2,'Assumptions'!$D$24,0))),IF(OR('Schedule_Inputs'!$C$11="Monthly",'Schedule_Inputs'!$C$11="Periodic"),IF(AND(29&gt;='Schedule_Inputs'!$B$11,MOD(29-'Schedule_Inputs'!$B$11,'Schedule_Inputs'!$E$11)=0,(29-'Schedule_Inputs'!$B$11)/'Schedule_Inputs'!$E$11&lt;'Schedule_Inputs'!$D$11),$C11/'Schedule_Inputs'!$D$11,0),0))))</f>
        <v/>
      </c>
      <c r="AH11" s="231">
        <f>IF('Schedule_Inputs'!$C$11="Blueprint",$C11*IF(30-'Schedule_Inputs'!$B$11=0,'Assumptions'!$B$21,IF(30-'Schedule_Inputs'!$B$11=1,'Assumptions'!$C$21,IF(30-'Schedule_Inputs'!$B$11=2,'Assumptions'!$D$21,0))),IF('Schedule_Inputs'!$C$11="Launch",$C11*IF(30-'Schedule_Inputs'!$B$11=0,'Assumptions'!$B$22,IF(30-'Schedule_Inputs'!$B$11=1,'Assumptions'!$C$22,IF(30-'Schedule_Inputs'!$B$11=2,'Assumptions'!$D$22,IF(30-'Schedule_Inputs'!$B$11=3,'Assumptions'!$B$23,0)))),IF('Schedule_Inputs'!$C$11="Office Setup",$C11*IF(30-'Schedule_Inputs'!$B$11=0,'Assumptions'!$B$24,IF(30-'Schedule_Inputs'!$B$11=1,'Assumptions'!$C$24,IF(30-'Schedule_Inputs'!$B$11=2,'Assumptions'!$D$24,0))),IF(OR('Schedule_Inputs'!$C$11="Monthly",'Schedule_Inputs'!$C$11="Periodic"),IF(AND(30&gt;='Schedule_Inputs'!$B$11,MOD(30-'Schedule_Inputs'!$B$11,'Schedule_Inputs'!$E$11)=0,(30-'Schedule_Inputs'!$B$11)/'Schedule_Inputs'!$E$11&lt;'Schedule_Inputs'!$D$11),$C11/'Schedule_Inputs'!$D$11,0),0))))</f>
        <v/>
      </c>
      <c r="AI11" s="231">
        <f>IF('Schedule_Inputs'!$C$11="Blueprint",$C11*IF(31-'Schedule_Inputs'!$B$11=0,'Assumptions'!$B$21,IF(31-'Schedule_Inputs'!$B$11=1,'Assumptions'!$C$21,IF(31-'Schedule_Inputs'!$B$11=2,'Assumptions'!$D$21,0))),IF('Schedule_Inputs'!$C$11="Launch",$C11*IF(31-'Schedule_Inputs'!$B$11=0,'Assumptions'!$B$22,IF(31-'Schedule_Inputs'!$B$11=1,'Assumptions'!$C$22,IF(31-'Schedule_Inputs'!$B$11=2,'Assumptions'!$D$22,IF(31-'Schedule_Inputs'!$B$11=3,'Assumptions'!$B$23,0)))),IF('Schedule_Inputs'!$C$11="Office Setup",$C11*IF(31-'Schedule_Inputs'!$B$11=0,'Assumptions'!$B$24,IF(31-'Schedule_Inputs'!$B$11=1,'Assumptions'!$C$24,IF(31-'Schedule_Inputs'!$B$11=2,'Assumptions'!$D$24,0))),IF(OR('Schedule_Inputs'!$C$11="Monthly",'Schedule_Inputs'!$C$11="Periodic"),IF(AND(31&gt;='Schedule_Inputs'!$B$11,MOD(31-'Schedule_Inputs'!$B$11,'Schedule_Inputs'!$E$11)=0,(31-'Schedule_Inputs'!$B$11)/'Schedule_Inputs'!$E$11&lt;'Schedule_Inputs'!$D$11),$C11/'Schedule_Inputs'!$D$11,0),0))))</f>
        <v/>
      </c>
      <c r="AJ11" s="231">
        <f>IF('Schedule_Inputs'!$C$11="Blueprint",$C11*IF(32-'Schedule_Inputs'!$B$11=0,'Assumptions'!$B$21,IF(32-'Schedule_Inputs'!$B$11=1,'Assumptions'!$C$21,IF(32-'Schedule_Inputs'!$B$11=2,'Assumptions'!$D$21,0))),IF('Schedule_Inputs'!$C$11="Launch",$C11*IF(32-'Schedule_Inputs'!$B$11=0,'Assumptions'!$B$22,IF(32-'Schedule_Inputs'!$B$11=1,'Assumptions'!$C$22,IF(32-'Schedule_Inputs'!$B$11=2,'Assumptions'!$D$22,IF(32-'Schedule_Inputs'!$B$11=3,'Assumptions'!$B$23,0)))),IF('Schedule_Inputs'!$C$11="Office Setup",$C11*IF(32-'Schedule_Inputs'!$B$11=0,'Assumptions'!$B$24,IF(32-'Schedule_Inputs'!$B$11=1,'Assumptions'!$C$24,IF(32-'Schedule_Inputs'!$B$11=2,'Assumptions'!$D$24,0))),IF(OR('Schedule_Inputs'!$C$11="Monthly",'Schedule_Inputs'!$C$11="Periodic"),IF(AND(32&gt;='Schedule_Inputs'!$B$11,MOD(32-'Schedule_Inputs'!$B$11,'Schedule_Inputs'!$E$11)=0,(32-'Schedule_Inputs'!$B$11)/'Schedule_Inputs'!$E$11&lt;'Schedule_Inputs'!$D$11),$C11/'Schedule_Inputs'!$D$11,0),0))))</f>
        <v/>
      </c>
      <c r="AK11" s="231">
        <f>IF('Schedule_Inputs'!$C$11="Blueprint",$C11*IF(33-'Schedule_Inputs'!$B$11=0,'Assumptions'!$B$21,IF(33-'Schedule_Inputs'!$B$11=1,'Assumptions'!$C$21,IF(33-'Schedule_Inputs'!$B$11=2,'Assumptions'!$D$21,0))),IF('Schedule_Inputs'!$C$11="Launch",$C11*IF(33-'Schedule_Inputs'!$B$11=0,'Assumptions'!$B$22,IF(33-'Schedule_Inputs'!$B$11=1,'Assumptions'!$C$22,IF(33-'Schedule_Inputs'!$B$11=2,'Assumptions'!$D$22,IF(33-'Schedule_Inputs'!$B$11=3,'Assumptions'!$B$23,0)))),IF('Schedule_Inputs'!$C$11="Office Setup",$C11*IF(33-'Schedule_Inputs'!$B$11=0,'Assumptions'!$B$24,IF(33-'Schedule_Inputs'!$B$11=1,'Assumptions'!$C$24,IF(33-'Schedule_Inputs'!$B$11=2,'Assumptions'!$D$24,0))),IF(OR('Schedule_Inputs'!$C$11="Monthly",'Schedule_Inputs'!$C$11="Periodic"),IF(AND(33&gt;='Schedule_Inputs'!$B$11,MOD(33-'Schedule_Inputs'!$B$11,'Schedule_Inputs'!$E$11)=0,(33-'Schedule_Inputs'!$B$11)/'Schedule_Inputs'!$E$11&lt;'Schedule_Inputs'!$D$11),$C11/'Schedule_Inputs'!$D$11,0),0))))</f>
        <v/>
      </c>
      <c r="AL11" s="231">
        <f>IF('Schedule_Inputs'!$C$11="Blueprint",$C11*IF(34-'Schedule_Inputs'!$B$11=0,'Assumptions'!$B$21,IF(34-'Schedule_Inputs'!$B$11=1,'Assumptions'!$C$21,IF(34-'Schedule_Inputs'!$B$11=2,'Assumptions'!$D$21,0))),IF('Schedule_Inputs'!$C$11="Launch",$C11*IF(34-'Schedule_Inputs'!$B$11=0,'Assumptions'!$B$22,IF(34-'Schedule_Inputs'!$B$11=1,'Assumptions'!$C$22,IF(34-'Schedule_Inputs'!$B$11=2,'Assumptions'!$D$22,IF(34-'Schedule_Inputs'!$B$11=3,'Assumptions'!$B$23,0)))),IF('Schedule_Inputs'!$C$11="Office Setup",$C11*IF(34-'Schedule_Inputs'!$B$11=0,'Assumptions'!$B$24,IF(34-'Schedule_Inputs'!$B$11=1,'Assumptions'!$C$24,IF(34-'Schedule_Inputs'!$B$11=2,'Assumptions'!$D$24,0))),IF(OR('Schedule_Inputs'!$C$11="Monthly",'Schedule_Inputs'!$C$11="Periodic"),IF(AND(34&gt;='Schedule_Inputs'!$B$11,MOD(34-'Schedule_Inputs'!$B$11,'Schedule_Inputs'!$E$11)=0,(34-'Schedule_Inputs'!$B$11)/'Schedule_Inputs'!$E$11&lt;'Schedule_Inputs'!$D$11),$C11/'Schedule_Inputs'!$D$11,0),0))))</f>
        <v/>
      </c>
      <c r="AM11" s="231">
        <f>IF('Schedule_Inputs'!$C$11="Blueprint",$C11*IF(35-'Schedule_Inputs'!$B$11=0,'Assumptions'!$B$21,IF(35-'Schedule_Inputs'!$B$11=1,'Assumptions'!$C$21,IF(35-'Schedule_Inputs'!$B$11=2,'Assumptions'!$D$21,0))),IF('Schedule_Inputs'!$C$11="Launch",$C11*IF(35-'Schedule_Inputs'!$B$11=0,'Assumptions'!$B$22,IF(35-'Schedule_Inputs'!$B$11=1,'Assumptions'!$C$22,IF(35-'Schedule_Inputs'!$B$11=2,'Assumptions'!$D$22,IF(35-'Schedule_Inputs'!$B$11=3,'Assumptions'!$B$23,0)))),IF('Schedule_Inputs'!$C$11="Office Setup",$C11*IF(35-'Schedule_Inputs'!$B$11=0,'Assumptions'!$B$24,IF(35-'Schedule_Inputs'!$B$11=1,'Assumptions'!$C$24,IF(35-'Schedule_Inputs'!$B$11=2,'Assumptions'!$D$24,0))),IF(OR('Schedule_Inputs'!$C$11="Monthly",'Schedule_Inputs'!$C$11="Periodic"),IF(AND(35&gt;='Schedule_Inputs'!$B$11,MOD(35-'Schedule_Inputs'!$B$11,'Schedule_Inputs'!$E$11)=0,(35-'Schedule_Inputs'!$B$11)/'Schedule_Inputs'!$E$11&lt;'Schedule_Inputs'!$D$11),$C11/'Schedule_Inputs'!$D$11,0),0))))</f>
        <v/>
      </c>
      <c r="AN11" s="231">
        <f>IF('Schedule_Inputs'!$C$11="Blueprint",$C11*IF(36-'Schedule_Inputs'!$B$11=0,'Assumptions'!$B$21,IF(36-'Schedule_Inputs'!$B$11=1,'Assumptions'!$C$21,IF(36-'Schedule_Inputs'!$B$11=2,'Assumptions'!$D$21,0))),IF('Schedule_Inputs'!$C$11="Launch",$C11*IF(36-'Schedule_Inputs'!$B$11=0,'Assumptions'!$B$22,IF(36-'Schedule_Inputs'!$B$11=1,'Assumptions'!$C$22,IF(36-'Schedule_Inputs'!$B$11=2,'Assumptions'!$D$22,IF(36-'Schedule_Inputs'!$B$11=3,'Assumptions'!$B$23,0)))),IF('Schedule_Inputs'!$C$11="Office Setup",$C11*IF(36-'Schedule_Inputs'!$B$11=0,'Assumptions'!$B$24,IF(36-'Schedule_Inputs'!$B$11=1,'Assumptions'!$C$24,IF(36-'Schedule_Inputs'!$B$11=2,'Assumptions'!$D$24,0))),IF(OR('Schedule_Inputs'!$C$11="Monthly",'Schedule_Inputs'!$C$11="Periodic"),IF(AND(36&gt;='Schedule_Inputs'!$B$11,MOD(36-'Schedule_Inputs'!$B$11,'Schedule_Inputs'!$E$11)=0,(36-'Schedule_Inputs'!$B$11)/'Schedule_Inputs'!$E$11&lt;'Schedule_Inputs'!$D$11),$C11/'Schedule_Inputs'!$D$11,0),0))))</f>
        <v/>
      </c>
    </row>
    <row r="12">
      <c r="A12" s="106" t="inlineStr">
        <is>
          <t>Blueprint 05</t>
        </is>
      </c>
      <c r="B12" s="106" t="n">
        <v>2</v>
      </c>
      <c r="C12" s="230" t="n">
        <v>21000</v>
      </c>
      <c r="D12" s="231" t="inlineStr">
        <is>
          <t>40 / 40 / 20</t>
        </is>
      </c>
      <c r="E12" s="231">
        <f>IF('Schedule_Inputs'!$C$12="Blueprint",$C12*IF(1-'Schedule_Inputs'!$B$12=0,'Assumptions'!$B$21,IF(1-'Schedule_Inputs'!$B$12=1,'Assumptions'!$C$21,IF(1-'Schedule_Inputs'!$B$12=2,'Assumptions'!$D$21,0))),IF('Schedule_Inputs'!$C$12="Launch",$C12*IF(1-'Schedule_Inputs'!$B$12=0,'Assumptions'!$B$22,IF(1-'Schedule_Inputs'!$B$12=1,'Assumptions'!$C$22,IF(1-'Schedule_Inputs'!$B$12=2,'Assumptions'!$D$22,IF(1-'Schedule_Inputs'!$B$12=3,'Assumptions'!$B$23,0)))),IF('Schedule_Inputs'!$C$12="Office Setup",$C12*IF(1-'Schedule_Inputs'!$B$12=0,'Assumptions'!$B$24,IF(1-'Schedule_Inputs'!$B$12=1,'Assumptions'!$C$24,IF(1-'Schedule_Inputs'!$B$12=2,'Assumptions'!$D$24,0))),IF(OR('Schedule_Inputs'!$C$12="Monthly",'Schedule_Inputs'!$C$12="Periodic"),IF(AND(1&gt;='Schedule_Inputs'!$B$12,MOD(1-'Schedule_Inputs'!$B$12,'Schedule_Inputs'!$E$12)=0,(1-'Schedule_Inputs'!$B$12)/'Schedule_Inputs'!$E$12&lt;'Schedule_Inputs'!$D$12),$C12/'Schedule_Inputs'!$D$12,0),0))))</f>
        <v/>
      </c>
      <c r="F12" s="231">
        <f>IF('Schedule_Inputs'!$C$12="Blueprint",$C12*IF(2-'Schedule_Inputs'!$B$12=0,'Assumptions'!$B$21,IF(2-'Schedule_Inputs'!$B$12=1,'Assumptions'!$C$21,IF(2-'Schedule_Inputs'!$B$12=2,'Assumptions'!$D$21,0))),IF('Schedule_Inputs'!$C$12="Launch",$C12*IF(2-'Schedule_Inputs'!$B$12=0,'Assumptions'!$B$22,IF(2-'Schedule_Inputs'!$B$12=1,'Assumptions'!$C$22,IF(2-'Schedule_Inputs'!$B$12=2,'Assumptions'!$D$22,IF(2-'Schedule_Inputs'!$B$12=3,'Assumptions'!$B$23,0)))),IF('Schedule_Inputs'!$C$12="Office Setup",$C12*IF(2-'Schedule_Inputs'!$B$12=0,'Assumptions'!$B$24,IF(2-'Schedule_Inputs'!$B$12=1,'Assumptions'!$C$24,IF(2-'Schedule_Inputs'!$B$12=2,'Assumptions'!$D$24,0))),IF(OR('Schedule_Inputs'!$C$12="Monthly",'Schedule_Inputs'!$C$12="Periodic"),IF(AND(2&gt;='Schedule_Inputs'!$B$12,MOD(2-'Schedule_Inputs'!$B$12,'Schedule_Inputs'!$E$12)=0,(2-'Schedule_Inputs'!$B$12)/'Schedule_Inputs'!$E$12&lt;'Schedule_Inputs'!$D$12),$C12/'Schedule_Inputs'!$D$12,0),0))))</f>
        <v/>
      </c>
      <c r="G12" s="231">
        <f>IF('Schedule_Inputs'!$C$12="Blueprint",$C12*IF(3-'Schedule_Inputs'!$B$12=0,'Assumptions'!$B$21,IF(3-'Schedule_Inputs'!$B$12=1,'Assumptions'!$C$21,IF(3-'Schedule_Inputs'!$B$12=2,'Assumptions'!$D$21,0))),IF('Schedule_Inputs'!$C$12="Launch",$C12*IF(3-'Schedule_Inputs'!$B$12=0,'Assumptions'!$B$22,IF(3-'Schedule_Inputs'!$B$12=1,'Assumptions'!$C$22,IF(3-'Schedule_Inputs'!$B$12=2,'Assumptions'!$D$22,IF(3-'Schedule_Inputs'!$B$12=3,'Assumptions'!$B$23,0)))),IF('Schedule_Inputs'!$C$12="Office Setup",$C12*IF(3-'Schedule_Inputs'!$B$12=0,'Assumptions'!$B$24,IF(3-'Schedule_Inputs'!$B$12=1,'Assumptions'!$C$24,IF(3-'Schedule_Inputs'!$B$12=2,'Assumptions'!$D$24,0))),IF(OR('Schedule_Inputs'!$C$12="Monthly",'Schedule_Inputs'!$C$12="Periodic"),IF(AND(3&gt;='Schedule_Inputs'!$B$12,MOD(3-'Schedule_Inputs'!$B$12,'Schedule_Inputs'!$E$12)=0,(3-'Schedule_Inputs'!$B$12)/'Schedule_Inputs'!$E$12&lt;'Schedule_Inputs'!$D$12),$C12/'Schedule_Inputs'!$D$12,0),0))))</f>
        <v/>
      </c>
      <c r="H12" s="231">
        <f>IF('Schedule_Inputs'!$C$12="Blueprint",$C12*IF(4-'Schedule_Inputs'!$B$12=0,'Assumptions'!$B$21,IF(4-'Schedule_Inputs'!$B$12=1,'Assumptions'!$C$21,IF(4-'Schedule_Inputs'!$B$12=2,'Assumptions'!$D$21,0))),IF('Schedule_Inputs'!$C$12="Launch",$C12*IF(4-'Schedule_Inputs'!$B$12=0,'Assumptions'!$B$22,IF(4-'Schedule_Inputs'!$B$12=1,'Assumptions'!$C$22,IF(4-'Schedule_Inputs'!$B$12=2,'Assumptions'!$D$22,IF(4-'Schedule_Inputs'!$B$12=3,'Assumptions'!$B$23,0)))),IF('Schedule_Inputs'!$C$12="Office Setup",$C12*IF(4-'Schedule_Inputs'!$B$12=0,'Assumptions'!$B$24,IF(4-'Schedule_Inputs'!$B$12=1,'Assumptions'!$C$24,IF(4-'Schedule_Inputs'!$B$12=2,'Assumptions'!$D$24,0))),IF(OR('Schedule_Inputs'!$C$12="Monthly",'Schedule_Inputs'!$C$12="Periodic"),IF(AND(4&gt;='Schedule_Inputs'!$B$12,MOD(4-'Schedule_Inputs'!$B$12,'Schedule_Inputs'!$E$12)=0,(4-'Schedule_Inputs'!$B$12)/'Schedule_Inputs'!$E$12&lt;'Schedule_Inputs'!$D$12),$C12/'Schedule_Inputs'!$D$12,0),0))))</f>
        <v/>
      </c>
      <c r="I12" s="231">
        <f>IF('Schedule_Inputs'!$C$12="Blueprint",$C12*IF(5-'Schedule_Inputs'!$B$12=0,'Assumptions'!$B$21,IF(5-'Schedule_Inputs'!$B$12=1,'Assumptions'!$C$21,IF(5-'Schedule_Inputs'!$B$12=2,'Assumptions'!$D$21,0))),IF('Schedule_Inputs'!$C$12="Launch",$C12*IF(5-'Schedule_Inputs'!$B$12=0,'Assumptions'!$B$22,IF(5-'Schedule_Inputs'!$B$12=1,'Assumptions'!$C$22,IF(5-'Schedule_Inputs'!$B$12=2,'Assumptions'!$D$22,IF(5-'Schedule_Inputs'!$B$12=3,'Assumptions'!$B$23,0)))),IF('Schedule_Inputs'!$C$12="Office Setup",$C12*IF(5-'Schedule_Inputs'!$B$12=0,'Assumptions'!$B$24,IF(5-'Schedule_Inputs'!$B$12=1,'Assumptions'!$C$24,IF(5-'Schedule_Inputs'!$B$12=2,'Assumptions'!$D$24,0))),IF(OR('Schedule_Inputs'!$C$12="Monthly",'Schedule_Inputs'!$C$12="Periodic"),IF(AND(5&gt;='Schedule_Inputs'!$B$12,MOD(5-'Schedule_Inputs'!$B$12,'Schedule_Inputs'!$E$12)=0,(5-'Schedule_Inputs'!$B$12)/'Schedule_Inputs'!$E$12&lt;'Schedule_Inputs'!$D$12),$C12/'Schedule_Inputs'!$D$12,0),0))))</f>
        <v/>
      </c>
      <c r="J12" s="231">
        <f>IF('Schedule_Inputs'!$C$12="Blueprint",$C12*IF(6-'Schedule_Inputs'!$B$12=0,'Assumptions'!$B$21,IF(6-'Schedule_Inputs'!$B$12=1,'Assumptions'!$C$21,IF(6-'Schedule_Inputs'!$B$12=2,'Assumptions'!$D$21,0))),IF('Schedule_Inputs'!$C$12="Launch",$C12*IF(6-'Schedule_Inputs'!$B$12=0,'Assumptions'!$B$22,IF(6-'Schedule_Inputs'!$B$12=1,'Assumptions'!$C$22,IF(6-'Schedule_Inputs'!$B$12=2,'Assumptions'!$D$22,IF(6-'Schedule_Inputs'!$B$12=3,'Assumptions'!$B$23,0)))),IF('Schedule_Inputs'!$C$12="Office Setup",$C12*IF(6-'Schedule_Inputs'!$B$12=0,'Assumptions'!$B$24,IF(6-'Schedule_Inputs'!$B$12=1,'Assumptions'!$C$24,IF(6-'Schedule_Inputs'!$B$12=2,'Assumptions'!$D$24,0))),IF(OR('Schedule_Inputs'!$C$12="Monthly",'Schedule_Inputs'!$C$12="Periodic"),IF(AND(6&gt;='Schedule_Inputs'!$B$12,MOD(6-'Schedule_Inputs'!$B$12,'Schedule_Inputs'!$E$12)=0,(6-'Schedule_Inputs'!$B$12)/'Schedule_Inputs'!$E$12&lt;'Schedule_Inputs'!$D$12),$C12/'Schedule_Inputs'!$D$12,0),0))))</f>
        <v/>
      </c>
      <c r="K12" s="231">
        <f>IF('Schedule_Inputs'!$C$12="Blueprint",$C12*IF(7-'Schedule_Inputs'!$B$12=0,'Assumptions'!$B$21,IF(7-'Schedule_Inputs'!$B$12=1,'Assumptions'!$C$21,IF(7-'Schedule_Inputs'!$B$12=2,'Assumptions'!$D$21,0))),IF('Schedule_Inputs'!$C$12="Launch",$C12*IF(7-'Schedule_Inputs'!$B$12=0,'Assumptions'!$B$22,IF(7-'Schedule_Inputs'!$B$12=1,'Assumptions'!$C$22,IF(7-'Schedule_Inputs'!$B$12=2,'Assumptions'!$D$22,IF(7-'Schedule_Inputs'!$B$12=3,'Assumptions'!$B$23,0)))),IF('Schedule_Inputs'!$C$12="Office Setup",$C12*IF(7-'Schedule_Inputs'!$B$12=0,'Assumptions'!$B$24,IF(7-'Schedule_Inputs'!$B$12=1,'Assumptions'!$C$24,IF(7-'Schedule_Inputs'!$B$12=2,'Assumptions'!$D$24,0))),IF(OR('Schedule_Inputs'!$C$12="Monthly",'Schedule_Inputs'!$C$12="Periodic"),IF(AND(7&gt;='Schedule_Inputs'!$B$12,MOD(7-'Schedule_Inputs'!$B$12,'Schedule_Inputs'!$E$12)=0,(7-'Schedule_Inputs'!$B$12)/'Schedule_Inputs'!$E$12&lt;'Schedule_Inputs'!$D$12),$C12/'Schedule_Inputs'!$D$12,0),0))))</f>
        <v/>
      </c>
      <c r="L12" s="231">
        <f>IF('Schedule_Inputs'!$C$12="Blueprint",$C12*IF(8-'Schedule_Inputs'!$B$12=0,'Assumptions'!$B$21,IF(8-'Schedule_Inputs'!$B$12=1,'Assumptions'!$C$21,IF(8-'Schedule_Inputs'!$B$12=2,'Assumptions'!$D$21,0))),IF('Schedule_Inputs'!$C$12="Launch",$C12*IF(8-'Schedule_Inputs'!$B$12=0,'Assumptions'!$B$22,IF(8-'Schedule_Inputs'!$B$12=1,'Assumptions'!$C$22,IF(8-'Schedule_Inputs'!$B$12=2,'Assumptions'!$D$22,IF(8-'Schedule_Inputs'!$B$12=3,'Assumptions'!$B$23,0)))),IF('Schedule_Inputs'!$C$12="Office Setup",$C12*IF(8-'Schedule_Inputs'!$B$12=0,'Assumptions'!$B$24,IF(8-'Schedule_Inputs'!$B$12=1,'Assumptions'!$C$24,IF(8-'Schedule_Inputs'!$B$12=2,'Assumptions'!$D$24,0))),IF(OR('Schedule_Inputs'!$C$12="Monthly",'Schedule_Inputs'!$C$12="Periodic"),IF(AND(8&gt;='Schedule_Inputs'!$B$12,MOD(8-'Schedule_Inputs'!$B$12,'Schedule_Inputs'!$E$12)=0,(8-'Schedule_Inputs'!$B$12)/'Schedule_Inputs'!$E$12&lt;'Schedule_Inputs'!$D$12),$C12/'Schedule_Inputs'!$D$12,0),0))))</f>
        <v/>
      </c>
      <c r="M12" s="231">
        <f>IF('Schedule_Inputs'!$C$12="Blueprint",$C12*IF(9-'Schedule_Inputs'!$B$12=0,'Assumptions'!$B$21,IF(9-'Schedule_Inputs'!$B$12=1,'Assumptions'!$C$21,IF(9-'Schedule_Inputs'!$B$12=2,'Assumptions'!$D$21,0))),IF('Schedule_Inputs'!$C$12="Launch",$C12*IF(9-'Schedule_Inputs'!$B$12=0,'Assumptions'!$B$22,IF(9-'Schedule_Inputs'!$B$12=1,'Assumptions'!$C$22,IF(9-'Schedule_Inputs'!$B$12=2,'Assumptions'!$D$22,IF(9-'Schedule_Inputs'!$B$12=3,'Assumptions'!$B$23,0)))),IF('Schedule_Inputs'!$C$12="Office Setup",$C12*IF(9-'Schedule_Inputs'!$B$12=0,'Assumptions'!$B$24,IF(9-'Schedule_Inputs'!$B$12=1,'Assumptions'!$C$24,IF(9-'Schedule_Inputs'!$B$12=2,'Assumptions'!$D$24,0))),IF(OR('Schedule_Inputs'!$C$12="Monthly",'Schedule_Inputs'!$C$12="Periodic"),IF(AND(9&gt;='Schedule_Inputs'!$B$12,MOD(9-'Schedule_Inputs'!$B$12,'Schedule_Inputs'!$E$12)=0,(9-'Schedule_Inputs'!$B$12)/'Schedule_Inputs'!$E$12&lt;'Schedule_Inputs'!$D$12),$C12/'Schedule_Inputs'!$D$12,0),0))))</f>
        <v/>
      </c>
      <c r="N12" s="231">
        <f>IF('Schedule_Inputs'!$C$12="Blueprint",$C12*IF(10-'Schedule_Inputs'!$B$12=0,'Assumptions'!$B$21,IF(10-'Schedule_Inputs'!$B$12=1,'Assumptions'!$C$21,IF(10-'Schedule_Inputs'!$B$12=2,'Assumptions'!$D$21,0))),IF('Schedule_Inputs'!$C$12="Launch",$C12*IF(10-'Schedule_Inputs'!$B$12=0,'Assumptions'!$B$22,IF(10-'Schedule_Inputs'!$B$12=1,'Assumptions'!$C$22,IF(10-'Schedule_Inputs'!$B$12=2,'Assumptions'!$D$22,IF(10-'Schedule_Inputs'!$B$12=3,'Assumptions'!$B$23,0)))),IF('Schedule_Inputs'!$C$12="Office Setup",$C12*IF(10-'Schedule_Inputs'!$B$12=0,'Assumptions'!$B$24,IF(10-'Schedule_Inputs'!$B$12=1,'Assumptions'!$C$24,IF(10-'Schedule_Inputs'!$B$12=2,'Assumptions'!$D$24,0))),IF(OR('Schedule_Inputs'!$C$12="Monthly",'Schedule_Inputs'!$C$12="Periodic"),IF(AND(10&gt;='Schedule_Inputs'!$B$12,MOD(10-'Schedule_Inputs'!$B$12,'Schedule_Inputs'!$E$12)=0,(10-'Schedule_Inputs'!$B$12)/'Schedule_Inputs'!$E$12&lt;'Schedule_Inputs'!$D$12),$C12/'Schedule_Inputs'!$D$12,0),0))))</f>
        <v/>
      </c>
      <c r="O12" s="231">
        <f>IF('Schedule_Inputs'!$C$12="Blueprint",$C12*IF(11-'Schedule_Inputs'!$B$12=0,'Assumptions'!$B$21,IF(11-'Schedule_Inputs'!$B$12=1,'Assumptions'!$C$21,IF(11-'Schedule_Inputs'!$B$12=2,'Assumptions'!$D$21,0))),IF('Schedule_Inputs'!$C$12="Launch",$C12*IF(11-'Schedule_Inputs'!$B$12=0,'Assumptions'!$B$22,IF(11-'Schedule_Inputs'!$B$12=1,'Assumptions'!$C$22,IF(11-'Schedule_Inputs'!$B$12=2,'Assumptions'!$D$22,IF(11-'Schedule_Inputs'!$B$12=3,'Assumptions'!$B$23,0)))),IF('Schedule_Inputs'!$C$12="Office Setup",$C12*IF(11-'Schedule_Inputs'!$B$12=0,'Assumptions'!$B$24,IF(11-'Schedule_Inputs'!$B$12=1,'Assumptions'!$C$24,IF(11-'Schedule_Inputs'!$B$12=2,'Assumptions'!$D$24,0))),IF(OR('Schedule_Inputs'!$C$12="Monthly",'Schedule_Inputs'!$C$12="Periodic"),IF(AND(11&gt;='Schedule_Inputs'!$B$12,MOD(11-'Schedule_Inputs'!$B$12,'Schedule_Inputs'!$E$12)=0,(11-'Schedule_Inputs'!$B$12)/'Schedule_Inputs'!$E$12&lt;'Schedule_Inputs'!$D$12),$C12/'Schedule_Inputs'!$D$12,0),0))))</f>
        <v/>
      </c>
      <c r="P12" s="231">
        <f>IF('Schedule_Inputs'!$C$12="Blueprint",$C12*IF(12-'Schedule_Inputs'!$B$12=0,'Assumptions'!$B$21,IF(12-'Schedule_Inputs'!$B$12=1,'Assumptions'!$C$21,IF(12-'Schedule_Inputs'!$B$12=2,'Assumptions'!$D$21,0))),IF('Schedule_Inputs'!$C$12="Launch",$C12*IF(12-'Schedule_Inputs'!$B$12=0,'Assumptions'!$B$22,IF(12-'Schedule_Inputs'!$B$12=1,'Assumptions'!$C$22,IF(12-'Schedule_Inputs'!$B$12=2,'Assumptions'!$D$22,IF(12-'Schedule_Inputs'!$B$12=3,'Assumptions'!$B$23,0)))),IF('Schedule_Inputs'!$C$12="Office Setup",$C12*IF(12-'Schedule_Inputs'!$B$12=0,'Assumptions'!$B$24,IF(12-'Schedule_Inputs'!$B$12=1,'Assumptions'!$C$24,IF(12-'Schedule_Inputs'!$B$12=2,'Assumptions'!$D$24,0))),IF(OR('Schedule_Inputs'!$C$12="Monthly",'Schedule_Inputs'!$C$12="Periodic"),IF(AND(12&gt;='Schedule_Inputs'!$B$12,MOD(12-'Schedule_Inputs'!$B$12,'Schedule_Inputs'!$E$12)=0,(12-'Schedule_Inputs'!$B$12)/'Schedule_Inputs'!$E$12&lt;'Schedule_Inputs'!$D$12),$C12/'Schedule_Inputs'!$D$12,0),0))))</f>
        <v/>
      </c>
      <c r="Q12" s="231">
        <f>IF('Schedule_Inputs'!$C$12="Blueprint",$C12*IF(13-'Schedule_Inputs'!$B$12=0,'Assumptions'!$B$21,IF(13-'Schedule_Inputs'!$B$12=1,'Assumptions'!$C$21,IF(13-'Schedule_Inputs'!$B$12=2,'Assumptions'!$D$21,0))),IF('Schedule_Inputs'!$C$12="Launch",$C12*IF(13-'Schedule_Inputs'!$B$12=0,'Assumptions'!$B$22,IF(13-'Schedule_Inputs'!$B$12=1,'Assumptions'!$C$22,IF(13-'Schedule_Inputs'!$B$12=2,'Assumptions'!$D$22,IF(13-'Schedule_Inputs'!$B$12=3,'Assumptions'!$B$23,0)))),IF('Schedule_Inputs'!$C$12="Office Setup",$C12*IF(13-'Schedule_Inputs'!$B$12=0,'Assumptions'!$B$24,IF(13-'Schedule_Inputs'!$B$12=1,'Assumptions'!$C$24,IF(13-'Schedule_Inputs'!$B$12=2,'Assumptions'!$D$24,0))),IF(OR('Schedule_Inputs'!$C$12="Monthly",'Schedule_Inputs'!$C$12="Periodic"),IF(AND(13&gt;='Schedule_Inputs'!$B$12,MOD(13-'Schedule_Inputs'!$B$12,'Schedule_Inputs'!$E$12)=0,(13-'Schedule_Inputs'!$B$12)/'Schedule_Inputs'!$E$12&lt;'Schedule_Inputs'!$D$12),$C12/'Schedule_Inputs'!$D$12,0),0))))</f>
        <v/>
      </c>
      <c r="R12" s="231">
        <f>IF('Schedule_Inputs'!$C$12="Blueprint",$C12*IF(14-'Schedule_Inputs'!$B$12=0,'Assumptions'!$B$21,IF(14-'Schedule_Inputs'!$B$12=1,'Assumptions'!$C$21,IF(14-'Schedule_Inputs'!$B$12=2,'Assumptions'!$D$21,0))),IF('Schedule_Inputs'!$C$12="Launch",$C12*IF(14-'Schedule_Inputs'!$B$12=0,'Assumptions'!$B$22,IF(14-'Schedule_Inputs'!$B$12=1,'Assumptions'!$C$22,IF(14-'Schedule_Inputs'!$B$12=2,'Assumptions'!$D$22,IF(14-'Schedule_Inputs'!$B$12=3,'Assumptions'!$B$23,0)))),IF('Schedule_Inputs'!$C$12="Office Setup",$C12*IF(14-'Schedule_Inputs'!$B$12=0,'Assumptions'!$B$24,IF(14-'Schedule_Inputs'!$B$12=1,'Assumptions'!$C$24,IF(14-'Schedule_Inputs'!$B$12=2,'Assumptions'!$D$24,0))),IF(OR('Schedule_Inputs'!$C$12="Monthly",'Schedule_Inputs'!$C$12="Periodic"),IF(AND(14&gt;='Schedule_Inputs'!$B$12,MOD(14-'Schedule_Inputs'!$B$12,'Schedule_Inputs'!$E$12)=0,(14-'Schedule_Inputs'!$B$12)/'Schedule_Inputs'!$E$12&lt;'Schedule_Inputs'!$D$12),$C12/'Schedule_Inputs'!$D$12,0),0))))</f>
        <v/>
      </c>
      <c r="S12" s="231">
        <f>IF('Schedule_Inputs'!$C$12="Blueprint",$C12*IF(15-'Schedule_Inputs'!$B$12=0,'Assumptions'!$B$21,IF(15-'Schedule_Inputs'!$B$12=1,'Assumptions'!$C$21,IF(15-'Schedule_Inputs'!$B$12=2,'Assumptions'!$D$21,0))),IF('Schedule_Inputs'!$C$12="Launch",$C12*IF(15-'Schedule_Inputs'!$B$12=0,'Assumptions'!$B$22,IF(15-'Schedule_Inputs'!$B$12=1,'Assumptions'!$C$22,IF(15-'Schedule_Inputs'!$B$12=2,'Assumptions'!$D$22,IF(15-'Schedule_Inputs'!$B$12=3,'Assumptions'!$B$23,0)))),IF('Schedule_Inputs'!$C$12="Office Setup",$C12*IF(15-'Schedule_Inputs'!$B$12=0,'Assumptions'!$B$24,IF(15-'Schedule_Inputs'!$B$12=1,'Assumptions'!$C$24,IF(15-'Schedule_Inputs'!$B$12=2,'Assumptions'!$D$24,0))),IF(OR('Schedule_Inputs'!$C$12="Monthly",'Schedule_Inputs'!$C$12="Periodic"),IF(AND(15&gt;='Schedule_Inputs'!$B$12,MOD(15-'Schedule_Inputs'!$B$12,'Schedule_Inputs'!$E$12)=0,(15-'Schedule_Inputs'!$B$12)/'Schedule_Inputs'!$E$12&lt;'Schedule_Inputs'!$D$12),$C12/'Schedule_Inputs'!$D$12,0),0))))</f>
        <v/>
      </c>
      <c r="T12" s="231">
        <f>IF('Schedule_Inputs'!$C$12="Blueprint",$C12*IF(16-'Schedule_Inputs'!$B$12=0,'Assumptions'!$B$21,IF(16-'Schedule_Inputs'!$B$12=1,'Assumptions'!$C$21,IF(16-'Schedule_Inputs'!$B$12=2,'Assumptions'!$D$21,0))),IF('Schedule_Inputs'!$C$12="Launch",$C12*IF(16-'Schedule_Inputs'!$B$12=0,'Assumptions'!$B$22,IF(16-'Schedule_Inputs'!$B$12=1,'Assumptions'!$C$22,IF(16-'Schedule_Inputs'!$B$12=2,'Assumptions'!$D$22,IF(16-'Schedule_Inputs'!$B$12=3,'Assumptions'!$B$23,0)))),IF('Schedule_Inputs'!$C$12="Office Setup",$C12*IF(16-'Schedule_Inputs'!$B$12=0,'Assumptions'!$B$24,IF(16-'Schedule_Inputs'!$B$12=1,'Assumptions'!$C$24,IF(16-'Schedule_Inputs'!$B$12=2,'Assumptions'!$D$24,0))),IF(OR('Schedule_Inputs'!$C$12="Monthly",'Schedule_Inputs'!$C$12="Periodic"),IF(AND(16&gt;='Schedule_Inputs'!$B$12,MOD(16-'Schedule_Inputs'!$B$12,'Schedule_Inputs'!$E$12)=0,(16-'Schedule_Inputs'!$B$12)/'Schedule_Inputs'!$E$12&lt;'Schedule_Inputs'!$D$12),$C12/'Schedule_Inputs'!$D$12,0),0))))</f>
        <v/>
      </c>
      <c r="U12" s="231">
        <f>IF('Schedule_Inputs'!$C$12="Blueprint",$C12*IF(17-'Schedule_Inputs'!$B$12=0,'Assumptions'!$B$21,IF(17-'Schedule_Inputs'!$B$12=1,'Assumptions'!$C$21,IF(17-'Schedule_Inputs'!$B$12=2,'Assumptions'!$D$21,0))),IF('Schedule_Inputs'!$C$12="Launch",$C12*IF(17-'Schedule_Inputs'!$B$12=0,'Assumptions'!$B$22,IF(17-'Schedule_Inputs'!$B$12=1,'Assumptions'!$C$22,IF(17-'Schedule_Inputs'!$B$12=2,'Assumptions'!$D$22,IF(17-'Schedule_Inputs'!$B$12=3,'Assumptions'!$B$23,0)))),IF('Schedule_Inputs'!$C$12="Office Setup",$C12*IF(17-'Schedule_Inputs'!$B$12=0,'Assumptions'!$B$24,IF(17-'Schedule_Inputs'!$B$12=1,'Assumptions'!$C$24,IF(17-'Schedule_Inputs'!$B$12=2,'Assumptions'!$D$24,0))),IF(OR('Schedule_Inputs'!$C$12="Monthly",'Schedule_Inputs'!$C$12="Periodic"),IF(AND(17&gt;='Schedule_Inputs'!$B$12,MOD(17-'Schedule_Inputs'!$B$12,'Schedule_Inputs'!$E$12)=0,(17-'Schedule_Inputs'!$B$12)/'Schedule_Inputs'!$E$12&lt;'Schedule_Inputs'!$D$12),$C12/'Schedule_Inputs'!$D$12,0),0))))</f>
        <v/>
      </c>
      <c r="V12" s="231">
        <f>IF('Schedule_Inputs'!$C$12="Blueprint",$C12*IF(18-'Schedule_Inputs'!$B$12=0,'Assumptions'!$B$21,IF(18-'Schedule_Inputs'!$B$12=1,'Assumptions'!$C$21,IF(18-'Schedule_Inputs'!$B$12=2,'Assumptions'!$D$21,0))),IF('Schedule_Inputs'!$C$12="Launch",$C12*IF(18-'Schedule_Inputs'!$B$12=0,'Assumptions'!$B$22,IF(18-'Schedule_Inputs'!$B$12=1,'Assumptions'!$C$22,IF(18-'Schedule_Inputs'!$B$12=2,'Assumptions'!$D$22,IF(18-'Schedule_Inputs'!$B$12=3,'Assumptions'!$B$23,0)))),IF('Schedule_Inputs'!$C$12="Office Setup",$C12*IF(18-'Schedule_Inputs'!$B$12=0,'Assumptions'!$B$24,IF(18-'Schedule_Inputs'!$B$12=1,'Assumptions'!$C$24,IF(18-'Schedule_Inputs'!$B$12=2,'Assumptions'!$D$24,0))),IF(OR('Schedule_Inputs'!$C$12="Monthly",'Schedule_Inputs'!$C$12="Periodic"),IF(AND(18&gt;='Schedule_Inputs'!$B$12,MOD(18-'Schedule_Inputs'!$B$12,'Schedule_Inputs'!$E$12)=0,(18-'Schedule_Inputs'!$B$12)/'Schedule_Inputs'!$E$12&lt;'Schedule_Inputs'!$D$12),$C12/'Schedule_Inputs'!$D$12,0),0))))</f>
        <v/>
      </c>
      <c r="W12" s="231">
        <f>IF('Schedule_Inputs'!$C$12="Blueprint",$C12*IF(19-'Schedule_Inputs'!$B$12=0,'Assumptions'!$B$21,IF(19-'Schedule_Inputs'!$B$12=1,'Assumptions'!$C$21,IF(19-'Schedule_Inputs'!$B$12=2,'Assumptions'!$D$21,0))),IF('Schedule_Inputs'!$C$12="Launch",$C12*IF(19-'Schedule_Inputs'!$B$12=0,'Assumptions'!$B$22,IF(19-'Schedule_Inputs'!$B$12=1,'Assumptions'!$C$22,IF(19-'Schedule_Inputs'!$B$12=2,'Assumptions'!$D$22,IF(19-'Schedule_Inputs'!$B$12=3,'Assumptions'!$B$23,0)))),IF('Schedule_Inputs'!$C$12="Office Setup",$C12*IF(19-'Schedule_Inputs'!$B$12=0,'Assumptions'!$B$24,IF(19-'Schedule_Inputs'!$B$12=1,'Assumptions'!$C$24,IF(19-'Schedule_Inputs'!$B$12=2,'Assumptions'!$D$24,0))),IF(OR('Schedule_Inputs'!$C$12="Monthly",'Schedule_Inputs'!$C$12="Periodic"),IF(AND(19&gt;='Schedule_Inputs'!$B$12,MOD(19-'Schedule_Inputs'!$B$12,'Schedule_Inputs'!$E$12)=0,(19-'Schedule_Inputs'!$B$12)/'Schedule_Inputs'!$E$12&lt;'Schedule_Inputs'!$D$12),$C12/'Schedule_Inputs'!$D$12,0),0))))</f>
        <v/>
      </c>
      <c r="X12" s="231">
        <f>IF('Schedule_Inputs'!$C$12="Blueprint",$C12*IF(20-'Schedule_Inputs'!$B$12=0,'Assumptions'!$B$21,IF(20-'Schedule_Inputs'!$B$12=1,'Assumptions'!$C$21,IF(20-'Schedule_Inputs'!$B$12=2,'Assumptions'!$D$21,0))),IF('Schedule_Inputs'!$C$12="Launch",$C12*IF(20-'Schedule_Inputs'!$B$12=0,'Assumptions'!$B$22,IF(20-'Schedule_Inputs'!$B$12=1,'Assumptions'!$C$22,IF(20-'Schedule_Inputs'!$B$12=2,'Assumptions'!$D$22,IF(20-'Schedule_Inputs'!$B$12=3,'Assumptions'!$B$23,0)))),IF('Schedule_Inputs'!$C$12="Office Setup",$C12*IF(20-'Schedule_Inputs'!$B$12=0,'Assumptions'!$B$24,IF(20-'Schedule_Inputs'!$B$12=1,'Assumptions'!$C$24,IF(20-'Schedule_Inputs'!$B$12=2,'Assumptions'!$D$24,0))),IF(OR('Schedule_Inputs'!$C$12="Monthly",'Schedule_Inputs'!$C$12="Periodic"),IF(AND(20&gt;='Schedule_Inputs'!$B$12,MOD(20-'Schedule_Inputs'!$B$12,'Schedule_Inputs'!$E$12)=0,(20-'Schedule_Inputs'!$B$12)/'Schedule_Inputs'!$E$12&lt;'Schedule_Inputs'!$D$12),$C12/'Schedule_Inputs'!$D$12,0),0))))</f>
        <v/>
      </c>
      <c r="Y12" s="231">
        <f>IF('Schedule_Inputs'!$C$12="Blueprint",$C12*IF(21-'Schedule_Inputs'!$B$12=0,'Assumptions'!$B$21,IF(21-'Schedule_Inputs'!$B$12=1,'Assumptions'!$C$21,IF(21-'Schedule_Inputs'!$B$12=2,'Assumptions'!$D$21,0))),IF('Schedule_Inputs'!$C$12="Launch",$C12*IF(21-'Schedule_Inputs'!$B$12=0,'Assumptions'!$B$22,IF(21-'Schedule_Inputs'!$B$12=1,'Assumptions'!$C$22,IF(21-'Schedule_Inputs'!$B$12=2,'Assumptions'!$D$22,IF(21-'Schedule_Inputs'!$B$12=3,'Assumptions'!$B$23,0)))),IF('Schedule_Inputs'!$C$12="Office Setup",$C12*IF(21-'Schedule_Inputs'!$B$12=0,'Assumptions'!$B$24,IF(21-'Schedule_Inputs'!$B$12=1,'Assumptions'!$C$24,IF(21-'Schedule_Inputs'!$B$12=2,'Assumptions'!$D$24,0))),IF(OR('Schedule_Inputs'!$C$12="Monthly",'Schedule_Inputs'!$C$12="Periodic"),IF(AND(21&gt;='Schedule_Inputs'!$B$12,MOD(21-'Schedule_Inputs'!$B$12,'Schedule_Inputs'!$E$12)=0,(21-'Schedule_Inputs'!$B$12)/'Schedule_Inputs'!$E$12&lt;'Schedule_Inputs'!$D$12),$C12/'Schedule_Inputs'!$D$12,0),0))))</f>
        <v/>
      </c>
      <c r="Z12" s="231">
        <f>IF('Schedule_Inputs'!$C$12="Blueprint",$C12*IF(22-'Schedule_Inputs'!$B$12=0,'Assumptions'!$B$21,IF(22-'Schedule_Inputs'!$B$12=1,'Assumptions'!$C$21,IF(22-'Schedule_Inputs'!$B$12=2,'Assumptions'!$D$21,0))),IF('Schedule_Inputs'!$C$12="Launch",$C12*IF(22-'Schedule_Inputs'!$B$12=0,'Assumptions'!$B$22,IF(22-'Schedule_Inputs'!$B$12=1,'Assumptions'!$C$22,IF(22-'Schedule_Inputs'!$B$12=2,'Assumptions'!$D$22,IF(22-'Schedule_Inputs'!$B$12=3,'Assumptions'!$B$23,0)))),IF('Schedule_Inputs'!$C$12="Office Setup",$C12*IF(22-'Schedule_Inputs'!$B$12=0,'Assumptions'!$B$24,IF(22-'Schedule_Inputs'!$B$12=1,'Assumptions'!$C$24,IF(22-'Schedule_Inputs'!$B$12=2,'Assumptions'!$D$24,0))),IF(OR('Schedule_Inputs'!$C$12="Monthly",'Schedule_Inputs'!$C$12="Periodic"),IF(AND(22&gt;='Schedule_Inputs'!$B$12,MOD(22-'Schedule_Inputs'!$B$12,'Schedule_Inputs'!$E$12)=0,(22-'Schedule_Inputs'!$B$12)/'Schedule_Inputs'!$E$12&lt;'Schedule_Inputs'!$D$12),$C12/'Schedule_Inputs'!$D$12,0),0))))</f>
        <v/>
      </c>
      <c r="AA12" s="231">
        <f>IF('Schedule_Inputs'!$C$12="Blueprint",$C12*IF(23-'Schedule_Inputs'!$B$12=0,'Assumptions'!$B$21,IF(23-'Schedule_Inputs'!$B$12=1,'Assumptions'!$C$21,IF(23-'Schedule_Inputs'!$B$12=2,'Assumptions'!$D$21,0))),IF('Schedule_Inputs'!$C$12="Launch",$C12*IF(23-'Schedule_Inputs'!$B$12=0,'Assumptions'!$B$22,IF(23-'Schedule_Inputs'!$B$12=1,'Assumptions'!$C$22,IF(23-'Schedule_Inputs'!$B$12=2,'Assumptions'!$D$22,IF(23-'Schedule_Inputs'!$B$12=3,'Assumptions'!$B$23,0)))),IF('Schedule_Inputs'!$C$12="Office Setup",$C12*IF(23-'Schedule_Inputs'!$B$12=0,'Assumptions'!$B$24,IF(23-'Schedule_Inputs'!$B$12=1,'Assumptions'!$C$24,IF(23-'Schedule_Inputs'!$B$12=2,'Assumptions'!$D$24,0))),IF(OR('Schedule_Inputs'!$C$12="Monthly",'Schedule_Inputs'!$C$12="Periodic"),IF(AND(23&gt;='Schedule_Inputs'!$B$12,MOD(23-'Schedule_Inputs'!$B$12,'Schedule_Inputs'!$E$12)=0,(23-'Schedule_Inputs'!$B$12)/'Schedule_Inputs'!$E$12&lt;'Schedule_Inputs'!$D$12),$C12/'Schedule_Inputs'!$D$12,0),0))))</f>
        <v/>
      </c>
      <c r="AB12" s="231">
        <f>IF('Schedule_Inputs'!$C$12="Blueprint",$C12*IF(24-'Schedule_Inputs'!$B$12=0,'Assumptions'!$B$21,IF(24-'Schedule_Inputs'!$B$12=1,'Assumptions'!$C$21,IF(24-'Schedule_Inputs'!$B$12=2,'Assumptions'!$D$21,0))),IF('Schedule_Inputs'!$C$12="Launch",$C12*IF(24-'Schedule_Inputs'!$B$12=0,'Assumptions'!$B$22,IF(24-'Schedule_Inputs'!$B$12=1,'Assumptions'!$C$22,IF(24-'Schedule_Inputs'!$B$12=2,'Assumptions'!$D$22,IF(24-'Schedule_Inputs'!$B$12=3,'Assumptions'!$B$23,0)))),IF('Schedule_Inputs'!$C$12="Office Setup",$C12*IF(24-'Schedule_Inputs'!$B$12=0,'Assumptions'!$B$24,IF(24-'Schedule_Inputs'!$B$12=1,'Assumptions'!$C$24,IF(24-'Schedule_Inputs'!$B$12=2,'Assumptions'!$D$24,0))),IF(OR('Schedule_Inputs'!$C$12="Monthly",'Schedule_Inputs'!$C$12="Periodic"),IF(AND(24&gt;='Schedule_Inputs'!$B$12,MOD(24-'Schedule_Inputs'!$B$12,'Schedule_Inputs'!$E$12)=0,(24-'Schedule_Inputs'!$B$12)/'Schedule_Inputs'!$E$12&lt;'Schedule_Inputs'!$D$12),$C12/'Schedule_Inputs'!$D$12,0),0))))</f>
        <v/>
      </c>
      <c r="AC12" s="231">
        <f>IF('Schedule_Inputs'!$C$12="Blueprint",$C12*IF(25-'Schedule_Inputs'!$B$12=0,'Assumptions'!$B$21,IF(25-'Schedule_Inputs'!$B$12=1,'Assumptions'!$C$21,IF(25-'Schedule_Inputs'!$B$12=2,'Assumptions'!$D$21,0))),IF('Schedule_Inputs'!$C$12="Launch",$C12*IF(25-'Schedule_Inputs'!$B$12=0,'Assumptions'!$B$22,IF(25-'Schedule_Inputs'!$B$12=1,'Assumptions'!$C$22,IF(25-'Schedule_Inputs'!$B$12=2,'Assumptions'!$D$22,IF(25-'Schedule_Inputs'!$B$12=3,'Assumptions'!$B$23,0)))),IF('Schedule_Inputs'!$C$12="Office Setup",$C12*IF(25-'Schedule_Inputs'!$B$12=0,'Assumptions'!$B$24,IF(25-'Schedule_Inputs'!$B$12=1,'Assumptions'!$C$24,IF(25-'Schedule_Inputs'!$B$12=2,'Assumptions'!$D$24,0))),IF(OR('Schedule_Inputs'!$C$12="Monthly",'Schedule_Inputs'!$C$12="Periodic"),IF(AND(25&gt;='Schedule_Inputs'!$B$12,MOD(25-'Schedule_Inputs'!$B$12,'Schedule_Inputs'!$E$12)=0,(25-'Schedule_Inputs'!$B$12)/'Schedule_Inputs'!$E$12&lt;'Schedule_Inputs'!$D$12),$C12/'Schedule_Inputs'!$D$12,0),0))))</f>
        <v/>
      </c>
      <c r="AD12" s="231">
        <f>IF('Schedule_Inputs'!$C$12="Blueprint",$C12*IF(26-'Schedule_Inputs'!$B$12=0,'Assumptions'!$B$21,IF(26-'Schedule_Inputs'!$B$12=1,'Assumptions'!$C$21,IF(26-'Schedule_Inputs'!$B$12=2,'Assumptions'!$D$21,0))),IF('Schedule_Inputs'!$C$12="Launch",$C12*IF(26-'Schedule_Inputs'!$B$12=0,'Assumptions'!$B$22,IF(26-'Schedule_Inputs'!$B$12=1,'Assumptions'!$C$22,IF(26-'Schedule_Inputs'!$B$12=2,'Assumptions'!$D$22,IF(26-'Schedule_Inputs'!$B$12=3,'Assumptions'!$B$23,0)))),IF('Schedule_Inputs'!$C$12="Office Setup",$C12*IF(26-'Schedule_Inputs'!$B$12=0,'Assumptions'!$B$24,IF(26-'Schedule_Inputs'!$B$12=1,'Assumptions'!$C$24,IF(26-'Schedule_Inputs'!$B$12=2,'Assumptions'!$D$24,0))),IF(OR('Schedule_Inputs'!$C$12="Monthly",'Schedule_Inputs'!$C$12="Periodic"),IF(AND(26&gt;='Schedule_Inputs'!$B$12,MOD(26-'Schedule_Inputs'!$B$12,'Schedule_Inputs'!$E$12)=0,(26-'Schedule_Inputs'!$B$12)/'Schedule_Inputs'!$E$12&lt;'Schedule_Inputs'!$D$12),$C12/'Schedule_Inputs'!$D$12,0),0))))</f>
        <v/>
      </c>
      <c r="AE12" s="231">
        <f>IF('Schedule_Inputs'!$C$12="Blueprint",$C12*IF(27-'Schedule_Inputs'!$B$12=0,'Assumptions'!$B$21,IF(27-'Schedule_Inputs'!$B$12=1,'Assumptions'!$C$21,IF(27-'Schedule_Inputs'!$B$12=2,'Assumptions'!$D$21,0))),IF('Schedule_Inputs'!$C$12="Launch",$C12*IF(27-'Schedule_Inputs'!$B$12=0,'Assumptions'!$B$22,IF(27-'Schedule_Inputs'!$B$12=1,'Assumptions'!$C$22,IF(27-'Schedule_Inputs'!$B$12=2,'Assumptions'!$D$22,IF(27-'Schedule_Inputs'!$B$12=3,'Assumptions'!$B$23,0)))),IF('Schedule_Inputs'!$C$12="Office Setup",$C12*IF(27-'Schedule_Inputs'!$B$12=0,'Assumptions'!$B$24,IF(27-'Schedule_Inputs'!$B$12=1,'Assumptions'!$C$24,IF(27-'Schedule_Inputs'!$B$12=2,'Assumptions'!$D$24,0))),IF(OR('Schedule_Inputs'!$C$12="Monthly",'Schedule_Inputs'!$C$12="Periodic"),IF(AND(27&gt;='Schedule_Inputs'!$B$12,MOD(27-'Schedule_Inputs'!$B$12,'Schedule_Inputs'!$E$12)=0,(27-'Schedule_Inputs'!$B$12)/'Schedule_Inputs'!$E$12&lt;'Schedule_Inputs'!$D$12),$C12/'Schedule_Inputs'!$D$12,0),0))))</f>
        <v/>
      </c>
      <c r="AF12" s="231">
        <f>IF('Schedule_Inputs'!$C$12="Blueprint",$C12*IF(28-'Schedule_Inputs'!$B$12=0,'Assumptions'!$B$21,IF(28-'Schedule_Inputs'!$B$12=1,'Assumptions'!$C$21,IF(28-'Schedule_Inputs'!$B$12=2,'Assumptions'!$D$21,0))),IF('Schedule_Inputs'!$C$12="Launch",$C12*IF(28-'Schedule_Inputs'!$B$12=0,'Assumptions'!$B$22,IF(28-'Schedule_Inputs'!$B$12=1,'Assumptions'!$C$22,IF(28-'Schedule_Inputs'!$B$12=2,'Assumptions'!$D$22,IF(28-'Schedule_Inputs'!$B$12=3,'Assumptions'!$B$23,0)))),IF('Schedule_Inputs'!$C$12="Office Setup",$C12*IF(28-'Schedule_Inputs'!$B$12=0,'Assumptions'!$B$24,IF(28-'Schedule_Inputs'!$B$12=1,'Assumptions'!$C$24,IF(28-'Schedule_Inputs'!$B$12=2,'Assumptions'!$D$24,0))),IF(OR('Schedule_Inputs'!$C$12="Monthly",'Schedule_Inputs'!$C$12="Periodic"),IF(AND(28&gt;='Schedule_Inputs'!$B$12,MOD(28-'Schedule_Inputs'!$B$12,'Schedule_Inputs'!$E$12)=0,(28-'Schedule_Inputs'!$B$12)/'Schedule_Inputs'!$E$12&lt;'Schedule_Inputs'!$D$12),$C12/'Schedule_Inputs'!$D$12,0),0))))</f>
        <v/>
      </c>
      <c r="AG12" s="231">
        <f>IF('Schedule_Inputs'!$C$12="Blueprint",$C12*IF(29-'Schedule_Inputs'!$B$12=0,'Assumptions'!$B$21,IF(29-'Schedule_Inputs'!$B$12=1,'Assumptions'!$C$21,IF(29-'Schedule_Inputs'!$B$12=2,'Assumptions'!$D$21,0))),IF('Schedule_Inputs'!$C$12="Launch",$C12*IF(29-'Schedule_Inputs'!$B$12=0,'Assumptions'!$B$22,IF(29-'Schedule_Inputs'!$B$12=1,'Assumptions'!$C$22,IF(29-'Schedule_Inputs'!$B$12=2,'Assumptions'!$D$22,IF(29-'Schedule_Inputs'!$B$12=3,'Assumptions'!$B$23,0)))),IF('Schedule_Inputs'!$C$12="Office Setup",$C12*IF(29-'Schedule_Inputs'!$B$12=0,'Assumptions'!$B$24,IF(29-'Schedule_Inputs'!$B$12=1,'Assumptions'!$C$24,IF(29-'Schedule_Inputs'!$B$12=2,'Assumptions'!$D$24,0))),IF(OR('Schedule_Inputs'!$C$12="Monthly",'Schedule_Inputs'!$C$12="Periodic"),IF(AND(29&gt;='Schedule_Inputs'!$B$12,MOD(29-'Schedule_Inputs'!$B$12,'Schedule_Inputs'!$E$12)=0,(29-'Schedule_Inputs'!$B$12)/'Schedule_Inputs'!$E$12&lt;'Schedule_Inputs'!$D$12),$C12/'Schedule_Inputs'!$D$12,0),0))))</f>
        <v/>
      </c>
      <c r="AH12" s="231">
        <f>IF('Schedule_Inputs'!$C$12="Blueprint",$C12*IF(30-'Schedule_Inputs'!$B$12=0,'Assumptions'!$B$21,IF(30-'Schedule_Inputs'!$B$12=1,'Assumptions'!$C$21,IF(30-'Schedule_Inputs'!$B$12=2,'Assumptions'!$D$21,0))),IF('Schedule_Inputs'!$C$12="Launch",$C12*IF(30-'Schedule_Inputs'!$B$12=0,'Assumptions'!$B$22,IF(30-'Schedule_Inputs'!$B$12=1,'Assumptions'!$C$22,IF(30-'Schedule_Inputs'!$B$12=2,'Assumptions'!$D$22,IF(30-'Schedule_Inputs'!$B$12=3,'Assumptions'!$B$23,0)))),IF('Schedule_Inputs'!$C$12="Office Setup",$C12*IF(30-'Schedule_Inputs'!$B$12=0,'Assumptions'!$B$24,IF(30-'Schedule_Inputs'!$B$12=1,'Assumptions'!$C$24,IF(30-'Schedule_Inputs'!$B$12=2,'Assumptions'!$D$24,0))),IF(OR('Schedule_Inputs'!$C$12="Monthly",'Schedule_Inputs'!$C$12="Periodic"),IF(AND(30&gt;='Schedule_Inputs'!$B$12,MOD(30-'Schedule_Inputs'!$B$12,'Schedule_Inputs'!$E$12)=0,(30-'Schedule_Inputs'!$B$12)/'Schedule_Inputs'!$E$12&lt;'Schedule_Inputs'!$D$12),$C12/'Schedule_Inputs'!$D$12,0),0))))</f>
        <v/>
      </c>
      <c r="AI12" s="231">
        <f>IF('Schedule_Inputs'!$C$12="Blueprint",$C12*IF(31-'Schedule_Inputs'!$B$12=0,'Assumptions'!$B$21,IF(31-'Schedule_Inputs'!$B$12=1,'Assumptions'!$C$21,IF(31-'Schedule_Inputs'!$B$12=2,'Assumptions'!$D$21,0))),IF('Schedule_Inputs'!$C$12="Launch",$C12*IF(31-'Schedule_Inputs'!$B$12=0,'Assumptions'!$B$22,IF(31-'Schedule_Inputs'!$B$12=1,'Assumptions'!$C$22,IF(31-'Schedule_Inputs'!$B$12=2,'Assumptions'!$D$22,IF(31-'Schedule_Inputs'!$B$12=3,'Assumptions'!$B$23,0)))),IF('Schedule_Inputs'!$C$12="Office Setup",$C12*IF(31-'Schedule_Inputs'!$B$12=0,'Assumptions'!$B$24,IF(31-'Schedule_Inputs'!$B$12=1,'Assumptions'!$C$24,IF(31-'Schedule_Inputs'!$B$12=2,'Assumptions'!$D$24,0))),IF(OR('Schedule_Inputs'!$C$12="Monthly",'Schedule_Inputs'!$C$12="Periodic"),IF(AND(31&gt;='Schedule_Inputs'!$B$12,MOD(31-'Schedule_Inputs'!$B$12,'Schedule_Inputs'!$E$12)=0,(31-'Schedule_Inputs'!$B$12)/'Schedule_Inputs'!$E$12&lt;'Schedule_Inputs'!$D$12),$C12/'Schedule_Inputs'!$D$12,0),0))))</f>
        <v/>
      </c>
      <c r="AJ12" s="231">
        <f>IF('Schedule_Inputs'!$C$12="Blueprint",$C12*IF(32-'Schedule_Inputs'!$B$12=0,'Assumptions'!$B$21,IF(32-'Schedule_Inputs'!$B$12=1,'Assumptions'!$C$21,IF(32-'Schedule_Inputs'!$B$12=2,'Assumptions'!$D$21,0))),IF('Schedule_Inputs'!$C$12="Launch",$C12*IF(32-'Schedule_Inputs'!$B$12=0,'Assumptions'!$B$22,IF(32-'Schedule_Inputs'!$B$12=1,'Assumptions'!$C$22,IF(32-'Schedule_Inputs'!$B$12=2,'Assumptions'!$D$22,IF(32-'Schedule_Inputs'!$B$12=3,'Assumptions'!$B$23,0)))),IF('Schedule_Inputs'!$C$12="Office Setup",$C12*IF(32-'Schedule_Inputs'!$B$12=0,'Assumptions'!$B$24,IF(32-'Schedule_Inputs'!$B$12=1,'Assumptions'!$C$24,IF(32-'Schedule_Inputs'!$B$12=2,'Assumptions'!$D$24,0))),IF(OR('Schedule_Inputs'!$C$12="Monthly",'Schedule_Inputs'!$C$12="Periodic"),IF(AND(32&gt;='Schedule_Inputs'!$B$12,MOD(32-'Schedule_Inputs'!$B$12,'Schedule_Inputs'!$E$12)=0,(32-'Schedule_Inputs'!$B$12)/'Schedule_Inputs'!$E$12&lt;'Schedule_Inputs'!$D$12),$C12/'Schedule_Inputs'!$D$12,0),0))))</f>
        <v/>
      </c>
      <c r="AK12" s="231">
        <f>IF('Schedule_Inputs'!$C$12="Blueprint",$C12*IF(33-'Schedule_Inputs'!$B$12=0,'Assumptions'!$B$21,IF(33-'Schedule_Inputs'!$B$12=1,'Assumptions'!$C$21,IF(33-'Schedule_Inputs'!$B$12=2,'Assumptions'!$D$21,0))),IF('Schedule_Inputs'!$C$12="Launch",$C12*IF(33-'Schedule_Inputs'!$B$12=0,'Assumptions'!$B$22,IF(33-'Schedule_Inputs'!$B$12=1,'Assumptions'!$C$22,IF(33-'Schedule_Inputs'!$B$12=2,'Assumptions'!$D$22,IF(33-'Schedule_Inputs'!$B$12=3,'Assumptions'!$B$23,0)))),IF('Schedule_Inputs'!$C$12="Office Setup",$C12*IF(33-'Schedule_Inputs'!$B$12=0,'Assumptions'!$B$24,IF(33-'Schedule_Inputs'!$B$12=1,'Assumptions'!$C$24,IF(33-'Schedule_Inputs'!$B$12=2,'Assumptions'!$D$24,0))),IF(OR('Schedule_Inputs'!$C$12="Monthly",'Schedule_Inputs'!$C$12="Periodic"),IF(AND(33&gt;='Schedule_Inputs'!$B$12,MOD(33-'Schedule_Inputs'!$B$12,'Schedule_Inputs'!$E$12)=0,(33-'Schedule_Inputs'!$B$12)/'Schedule_Inputs'!$E$12&lt;'Schedule_Inputs'!$D$12),$C12/'Schedule_Inputs'!$D$12,0),0))))</f>
        <v/>
      </c>
      <c r="AL12" s="231">
        <f>IF('Schedule_Inputs'!$C$12="Blueprint",$C12*IF(34-'Schedule_Inputs'!$B$12=0,'Assumptions'!$B$21,IF(34-'Schedule_Inputs'!$B$12=1,'Assumptions'!$C$21,IF(34-'Schedule_Inputs'!$B$12=2,'Assumptions'!$D$21,0))),IF('Schedule_Inputs'!$C$12="Launch",$C12*IF(34-'Schedule_Inputs'!$B$12=0,'Assumptions'!$B$22,IF(34-'Schedule_Inputs'!$B$12=1,'Assumptions'!$C$22,IF(34-'Schedule_Inputs'!$B$12=2,'Assumptions'!$D$22,IF(34-'Schedule_Inputs'!$B$12=3,'Assumptions'!$B$23,0)))),IF('Schedule_Inputs'!$C$12="Office Setup",$C12*IF(34-'Schedule_Inputs'!$B$12=0,'Assumptions'!$B$24,IF(34-'Schedule_Inputs'!$B$12=1,'Assumptions'!$C$24,IF(34-'Schedule_Inputs'!$B$12=2,'Assumptions'!$D$24,0))),IF(OR('Schedule_Inputs'!$C$12="Monthly",'Schedule_Inputs'!$C$12="Periodic"),IF(AND(34&gt;='Schedule_Inputs'!$B$12,MOD(34-'Schedule_Inputs'!$B$12,'Schedule_Inputs'!$E$12)=0,(34-'Schedule_Inputs'!$B$12)/'Schedule_Inputs'!$E$12&lt;'Schedule_Inputs'!$D$12),$C12/'Schedule_Inputs'!$D$12,0),0))))</f>
        <v/>
      </c>
      <c r="AM12" s="231">
        <f>IF('Schedule_Inputs'!$C$12="Blueprint",$C12*IF(35-'Schedule_Inputs'!$B$12=0,'Assumptions'!$B$21,IF(35-'Schedule_Inputs'!$B$12=1,'Assumptions'!$C$21,IF(35-'Schedule_Inputs'!$B$12=2,'Assumptions'!$D$21,0))),IF('Schedule_Inputs'!$C$12="Launch",$C12*IF(35-'Schedule_Inputs'!$B$12=0,'Assumptions'!$B$22,IF(35-'Schedule_Inputs'!$B$12=1,'Assumptions'!$C$22,IF(35-'Schedule_Inputs'!$B$12=2,'Assumptions'!$D$22,IF(35-'Schedule_Inputs'!$B$12=3,'Assumptions'!$B$23,0)))),IF('Schedule_Inputs'!$C$12="Office Setup",$C12*IF(35-'Schedule_Inputs'!$B$12=0,'Assumptions'!$B$24,IF(35-'Schedule_Inputs'!$B$12=1,'Assumptions'!$C$24,IF(35-'Schedule_Inputs'!$B$12=2,'Assumptions'!$D$24,0))),IF(OR('Schedule_Inputs'!$C$12="Monthly",'Schedule_Inputs'!$C$12="Periodic"),IF(AND(35&gt;='Schedule_Inputs'!$B$12,MOD(35-'Schedule_Inputs'!$B$12,'Schedule_Inputs'!$E$12)=0,(35-'Schedule_Inputs'!$B$12)/'Schedule_Inputs'!$E$12&lt;'Schedule_Inputs'!$D$12),$C12/'Schedule_Inputs'!$D$12,0),0))))</f>
        <v/>
      </c>
      <c r="AN12" s="231">
        <f>IF('Schedule_Inputs'!$C$12="Blueprint",$C12*IF(36-'Schedule_Inputs'!$B$12=0,'Assumptions'!$B$21,IF(36-'Schedule_Inputs'!$B$12=1,'Assumptions'!$C$21,IF(36-'Schedule_Inputs'!$B$12=2,'Assumptions'!$D$21,0))),IF('Schedule_Inputs'!$C$12="Launch",$C12*IF(36-'Schedule_Inputs'!$B$12=0,'Assumptions'!$B$22,IF(36-'Schedule_Inputs'!$B$12=1,'Assumptions'!$C$22,IF(36-'Schedule_Inputs'!$B$12=2,'Assumptions'!$D$22,IF(36-'Schedule_Inputs'!$B$12=3,'Assumptions'!$B$23,0)))),IF('Schedule_Inputs'!$C$12="Office Setup",$C12*IF(36-'Schedule_Inputs'!$B$12=0,'Assumptions'!$B$24,IF(36-'Schedule_Inputs'!$B$12=1,'Assumptions'!$C$24,IF(36-'Schedule_Inputs'!$B$12=2,'Assumptions'!$D$24,0))),IF(OR('Schedule_Inputs'!$C$12="Monthly",'Schedule_Inputs'!$C$12="Periodic"),IF(AND(36&gt;='Schedule_Inputs'!$B$12,MOD(36-'Schedule_Inputs'!$B$12,'Schedule_Inputs'!$E$12)=0,(36-'Schedule_Inputs'!$B$12)/'Schedule_Inputs'!$E$12&lt;'Schedule_Inputs'!$D$12),$C12/'Schedule_Inputs'!$D$12,0),0))))</f>
        <v/>
      </c>
    </row>
    <row r="13">
      <c r="A13" s="106" t="inlineStr">
        <is>
          <t>Launch 02</t>
        </is>
      </c>
      <c r="B13" s="106" t="n">
        <v>2</v>
      </c>
      <c r="C13" s="230" t="n">
        <v>50000</v>
      </c>
      <c r="D13" s="231" t="inlineStr">
        <is>
          <t>30 / 30 / 30 / 10</t>
        </is>
      </c>
      <c r="E13" s="231">
        <f>IF('Schedule_Inputs'!$C$13="Blueprint",$C13*IF(1-'Schedule_Inputs'!$B$13=0,'Assumptions'!$B$21,IF(1-'Schedule_Inputs'!$B$13=1,'Assumptions'!$C$21,IF(1-'Schedule_Inputs'!$B$13=2,'Assumptions'!$D$21,0))),IF('Schedule_Inputs'!$C$13="Launch",$C13*IF(1-'Schedule_Inputs'!$B$13=0,'Assumptions'!$B$22,IF(1-'Schedule_Inputs'!$B$13=1,'Assumptions'!$C$22,IF(1-'Schedule_Inputs'!$B$13=2,'Assumptions'!$D$22,IF(1-'Schedule_Inputs'!$B$13=3,'Assumptions'!$B$23,0)))),IF('Schedule_Inputs'!$C$13="Office Setup",$C13*IF(1-'Schedule_Inputs'!$B$13=0,'Assumptions'!$B$24,IF(1-'Schedule_Inputs'!$B$13=1,'Assumptions'!$C$24,IF(1-'Schedule_Inputs'!$B$13=2,'Assumptions'!$D$24,0))),IF(OR('Schedule_Inputs'!$C$13="Monthly",'Schedule_Inputs'!$C$13="Periodic"),IF(AND(1&gt;='Schedule_Inputs'!$B$13,MOD(1-'Schedule_Inputs'!$B$13,'Schedule_Inputs'!$E$13)=0,(1-'Schedule_Inputs'!$B$13)/'Schedule_Inputs'!$E$13&lt;'Schedule_Inputs'!$D$13),$C13/'Schedule_Inputs'!$D$13,0),0))))</f>
        <v/>
      </c>
      <c r="F13" s="231">
        <f>IF('Schedule_Inputs'!$C$13="Blueprint",$C13*IF(2-'Schedule_Inputs'!$B$13=0,'Assumptions'!$B$21,IF(2-'Schedule_Inputs'!$B$13=1,'Assumptions'!$C$21,IF(2-'Schedule_Inputs'!$B$13=2,'Assumptions'!$D$21,0))),IF('Schedule_Inputs'!$C$13="Launch",$C13*IF(2-'Schedule_Inputs'!$B$13=0,'Assumptions'!$B$22,IF(2-'Schedule_Inputs'!$B$13=1,'Assumptions'!$C$22,IF(2-'Schedule_Inputs'!$B$13=2,'Assumptions'!$D$22,IF(2-'Schedule_Inputs'!$B$13=3,'Assumptions'!$B$23,0)))),IF('Schedule_Inputs'!$C$13="Office Setup",$C13*IF(2-'Schedule_Inputs'!$B$13=0,'Assumptions'!$B$24,IF(2-'Schedule_Inputs'!$B$13=1,'Assumptions'!$C$24,IF(2-'Schedule_Inputs'!$B$13=2,'Assumptions'!$D$24,0))),IF(OR('Schedule_Inputs'!$C$13="Monthly",'Schedule_Inputs'!$C$13="Periodic"),IF(AND(2&gt;='Schedule_Inputs'!$B$13,MOD(2-'Schedule_Inputs'!$B$13,'Schedule_Inputs'!$E$13)=0,(2-'Schedule_Inputs'!$B$13)/'Schedule_Inputs'!$E$13&lt;'Schedule_Inputs'!$D$13),$C13/'Schedule_Inputs'!$D$13,0),0))))</f>
        <v/>
      </c>
      <c r="G13" s="231">
        <f>IF('Schedule_Inputs'!$C$13="Blueprint",$C13*IF(3-'Schedule_Inputs'!$B$13=0,'Assumptions'!$B$21,IF(3-'Schedule_Inputs'!$B$13=1,'Assumptions'!$C$21,IF(3-'Schedule_Inputs'!$B$13=2,'Assumptions'!$D$21,0))),IF('Schedule_Inputs'!$C$13="Launch",$C13*IF(3-'Schedule_Inputs'!$B$13=0,'Assumptions'!$B$22,IF(3-'Schedule_Inputs'!$B$13=1,'Assumptions'!$C$22,IF(3-'Schedule_Inputs'!$B$13=2,'Assumptions'!$D$22,IF(3-'Schedule_Inputs'!$B$13=3,'Assumptions'!$B$23,0)))),IF('Schedule_Inputs'!$C$13="Office Setup",$C13*IF(3-'Schedule_Inputs'!$B$13=0,'Assumptions'!$B$24,IF(3-'Schedule_Inputs'!$B$13=1,'Assumptions'!$C$24,IF(3-'Schedule_Inputs'!$B$13=2,'Assumptions'!$D$24,0))),IF(OR('Schedule_Inputs'!$C$13="Monthly",'Schedule_Inputs'!$C$13="Periodic"),IF(AND(3&gt;='Schedule_Inputs'!$B$13,MOD(3-'Schedule_Inputs'!$B$13,'Schedule_Inputs'!$E$13)=0,(3-'Schedule_Inputs'!$B$13)/'Schedule_Inputs'!$E$13&lt;'Schedule_Inputs'!$D$13),$C13/'Schedule_Inputs'!$D$13,0),0))))</f>
        <v/>
      </c>
      <c r="H13" s="231">
        <f>IF('Schedule_Inputs'!$C$13="Blueprint",$C13*IF(4-'Schedule_Inputs'!$B$13=0,'Assumptions'!$B$21,IF(4-'Schedule_Inputs'!$B$13=1,'Assumptions'!$C$21,IF(4-'Schedule_Inputs'!$B$13=2,'Assumptions'!$D$21,0))),IF('Schedule_Inputs'!$C$13="Launch",$C13*IF(4-'Schedule_Inputs'!$B$13=0,'Assumptions'!$B$22,IF(4-'Schedule_Inputs'!$B$13=1,'Assumptions'!$C$22,IF(4-'Schedule_Inputs'!$B$13=2,'Assumptions'!$D$22,IF(4-'Schedule_Inputs'!$B$13=3,'Assumptions'!$B$23,0)))),IF('Schedule_Inputs'!$C$13="Office Setup",$C13*IF(4-'Schedule_Inputs'!$B$13=0,'Assumptions'!$B$24,IF(4-'Schedule_Inputs'!$B$13=1,'Assumptions'!$C$24,IF(4-'Schedule_Inputs'!$B$13=2,'Assumptions'!$D$24,0))),IF(OR('Schedule_Inputs'!$C$13="Monthly",'Schedule_Inputs'!$C$13="Periodic"),IF(AND(4&gt;='Schedule_Inputs'!$B$13,MOD(4-'Schedule_Inputs'!$B$13,'Schedule_Inputs'!$E$13)=0,(4-'Schedule_Inputs'!$B$13)/'Schedule_Inputs'!$E$13&lt;'Schedule_Inputs'!$D$13),$C13/'Schedule_Inputs'!$D$13,0),0))))</f>
        <v/>
      </c>
      <c r="I13" s="231">
        <f>IF('Schedule_Inputs'!$C$13="Blueprint",$C13*IF(5-'Schedule_Inputs'!$B$13=0,'Assumptions'!$B$21,IF(5-'Schedule_Inputs'!$B$13=1,'Assumptions'!$C$21,IF(5-'Schedule_Inputs'!$B$13=2,'Assumptions'!$D$21,0))),IF('Schedule_Inputs'!$C$13="Launch",$C13*IF(5-'Schedule_Inputs'!$B$13=0,'Assumptions'!$B$22,IF(5-'Schedule_Inputs'!$B$13=1,'Assumptions'!$C$22,IF(5-'Schedule_Inputs'!$B$13=2,'Assumptions'!$D$22,IF(5-'Schedule_Inputs'!$B$13=3,'Assumptions'!$B$23,0)))),IF('Schedule_Inputs'!$C$13="Office Setup",$C13*IF(5-'Schedule_Inputs'!$B$13=0,'Assumptions'!$B$24,IF(5-'Schedule_Inputs'!$B$13=1,'Assumptions'!$C$24,IF(5-'Schedule_Inputs'!$B$13=2,'Assumptions'!$D$24,0))),IF(OR('Schedule_Inputs'!$C$13="Monthly",'Schedule_Inputs'!$C$13="Periodic"),IF(AND(5&gt;='Schedule_Inputs'!$B$13,MOD(5-'Schedule_Inputs'!$B$13,'Schedule_Inputs'!$E$13)=0,(5-'Schedule_Inputs'!$B$13)/'Schedule_Inputs'!$E$13&lt;'Schedule_Inputs'!$D$13),$C13/'Schedule_Inputs'!$D$13,0),0))))</f>
        <v/>
      </c>
      <c r="J13" s="231">
        <f>IF('Schedule_Inputs'!$C$13="Blueprint",$C13*IF(6-'Schedule_Inputs'!$B$13=0,'Assumptions'!$B$21,IF(6-'Schedule_Inputs'!$B$13=1,'Assumptions'!$C$21,IF(6-'Schedule_Inputs'!$B$13=2,'Assumptions'!$D$21,0))),IF('Schedule_Inputs'!$C$13="Launch",$C13*IF(6-'Schedule_Inputs'!$B$13=0,'Assumptions'!$B$22,IF(6-'Schedule_Inputs'!$B$13=1,'Assumptions'!$C$22,IF(6-'Schedule_Inputs'!$B$13=2,'Assumptions'!$D$22,IF(6-'Schedule_Inputs'!$B$13=3,'Assumptions'!$B$23,0)))),IF('Schedule_Inputs'!$C$13="Office Setup",$C13*IF(6-'Schedule_Inputs'!$B$13=0,'Assumptions'!$B$24,IF(6-'Schedule_Inputs'!$B$13=1,'Assumptions'!$C$24,IF(6-'Schedule_Inputs'!$B$13=2,'Assumptions'!$D$24,0))),IF(OR('Schedule_Inputs'!$C$13="Monthly",'Schedule_Inputs'!$C$13="Periodic"),IF(AND(6&gt;='Schedule_Inputs'!$B$13,MOD(6-'Schedule_Inputs'!$B$13,'Schedule_Inputs'!$E$13)=0,(6-'Schedule_Inputs'!$B$13)/'Schedule_Inputs'!$E$13&lt;'Schedule_Inputs'!$D$13),$C13/'Schedule_Inputs'!$D$13,0),0))))</f>
        <v/>
      </c>
      <c r="K13" s="231">
        <f>IF('Schedule_Inputs'!$C$13="Blueprint",$C13*IF(7-'Schedule_Inputs'!$B$13=0,'Assumptions'!$B$21,IF(7-'Schedule_Inputs'!$B$13=1,'Assumptions'!$C$21,IF(7-'Schedule_Inputs'!$B$13=2,'Assumptions'!$D$21,0))),IF('Schedule_Inputs'!$C$13="Launch",$C13*IF(7-'Schedule_Inputs'!$B$13=0,'Assumptions'!$B$22,IF(7-'Schedule_Inputs'!$B$13=1,'Assumptions'!$C$22,IF(7-'Schedule_Inputs'!$B$13=2,'Assumptions'!$D$22,IF(7-'Schedule_Inputs'!$B$13=3,'Assumptions'!$B$23,0)))),IF('Schedule_Inputs'!$C$13="Office Setup",$C13*IF(7-'Schedule_Inputs'!$B$13=0,'Assumptions'!$B$24,IF(7-'Schedule_Inputs'!$B$13=1,'Assumptions'!$C$24,IF(7-'Schedule_Inputs'!$B$13=2,'Assumptions'!$D$24,0))),IF(OR('Schedule_Inputs'!$C$13="Monthly",'Schedule_Inputs'!$C$13="Periodic"),IF(AND(7&gt;='Schedule_Inputs'!$B$13,MOD(7-'Schedule_Inputs'!$B$13,'Schedule_Inputs'!$E$13)=0,(7-'Schedule_Inputs'!$B$13)/'Schedule_Inputs'!$E$13&lt;'Schedule_Inputs'!$D$13),$C13/'Schedule_Inputs'!$D$13,0),0))))</f>
        <v/>
      </c>
      <c r="L13" s="231">
        <f>IF('Schedule_Inputs'!$C$13="Blueprint",$C13*IF(8-'Schedule_Inputs'!$B$13=0,'Assumptions'!$B$21,IF(8-'Schedule_Inputs'!$B$13=1,'Assumptions'!$C$21,IF(8-'Schedule_Inputs'!$B$13=2,'Assumptions'!$D$21,0))),IF('Schedule_Inputs'!$C$13="Launch",$C13*IF(8-'Schedule_Inputs'!$B$13=0,'Assumptions'!$B$22,IF(8-'Schedule_Inputs'!$B$13=1,'Assumptions'!$C$22,IF(8-'Schedule_Inputs'!$B$13=2,'Assumptions'!$D$22,IF(8-'Schedule_Inputs'!$B$13=3,'Assumptions'!$B$23,0)))),IF('Schedule_Inputs'!$C$13="Office Setup",$C13*IF(8-'Schedule_Inputs'!$B$13=0,'Assumptions'!$B$24,IF(8-'Schedule_Inputs'!$B$13=1,'Assumptions'!$C$24,IF(8-'Schedule_Inputs'!$B$13=2,'Assumptions'!$D$24,0))),IF(OR('Schedule_Inputs'!$C$13="Monthly",'Schedule_Inputs'!$C$13="Periodic"),IF(AND(8&gt;='Schedule_Inputs'!$B$13,MOD(8-'Schedule_Inputs'!$B$13,'Schedule_Inputs'!$E$13)=0,(8-'Schedule_Inputs'!$B$13)/'Schedule_Inputs'!$E$13&lt;'Schedule_Inputs'!$D$13),$C13/'Schedule_Inputs'!$D$13,0),0))))</f>
        <v/>
      </c>
      <c r="M13" s="231">
        <f>IF('Schedule_Inputs'!$C$13="Blueprint",$C13*IF(9-'Schedule_Inputs'!$B$13=0,'Assumptions'!$B$21,IF(9-'Schedule_Inputs'!$B$13=1,'Assumptions'!$C$21,IF(9-'Schedule_Inputs'!$B$13=2,'Assumptions'!$D$21,0))),IF('Schedule_Inputs'!$C$13="Launch",$C13*IF(9-'Schedule_Inputs'!$B$13=0,'Assumptions'!$B$22,IF(9-'Schedule_Inputs'!$B$13=1,'Assumptions'!$C$22,IF(9-'Schedule_Inputs'!$B$13=2,'Assumptions'!$D$22,IF(9-'Schedule_Inputs'!$B$13=3,'Assumptions'!$B$23,0)))),IF('Schedule_Inputs'!$C$13="Office Setup",$C13*IF(9-'Schedule_Inputs'!$B$13=0,'Assumptions'!$B$24,IF(9-'Schedule_Inputs'!$B$13=1,'Assumptions'!$C$24,IF(9-'Schedule_Inputs'!$B$13=2,'Assumptions'!$D$24,0))),IF(OR('Schedule_Inputs'!$C$13="Monthly",'Schedule_Inputs'!$C$13="Periodic"),IF(AND(9&gt;='Schedule_Inputs'!$B$13,MOD(9-'Schedule_Inputs'!$B$13,'Schedule_Inputs'!$E$13)=0,(9-'Schedule_Inputs'!$B$13)/'Schedule_Inputs'!$E$13&lt;'Schedule_Inputs'!$D$13),$C13/'Schedule_Inputs'!$D$13,0),0))))</f>
        <v/>
      </c>
      <c r="N13" s="231">
        <f>IF('Schedule_Inputs'!$C$13="Blueprint",$C13*IF(10-'Schedule_Inputs'!$B$13=0,'Assumptions'!$B$21,IF(10-'Schedule_Inputs'!$B$13=1,'Assumptions'!$C$21,IF(10-'Schedule_Inputs'!$B$13=2,'Assumptions'!$D$21,0))),IF('Schedule_Inputs'!$C$13="Launch",$C13*IF(10-'Schedule_Inputs'!$B$13=0,'Assumptions'!$B$22,IF(10-'Schedule_Inputs'!$B$13=1,'Assumptions'!$C$22,IF(10-'Schedule_Inputs'!$B$13=2,'Assumptions'!$D$22,IF(10-'Schedule_Inputs'!$B$13=3,'Assumptions'!$B$23,0)))),IF('Schedule_Inputs'!$C$13="Office Setup",$C13*IF(10-'Schedule_Inputs'!$B$13=0,'Assumptions'!$B$24,IF(10-'Schedule_Inputs'!$B$13=1,'Assumptions'!$C$24,IF(10-'Schedule_Inputs'!$B$13=2,'Assumptions'!$D$24,0))),IF(OR('Schedule_Inputs'!$C$13="Monthly",'Schedule_Inputs'!$C$13="Periodic"),IF(AND(10&gt;='Schedule_Inputs'!$B$13,MOD(10-'Schedule_Inputs'!$B$13,'Schedule_Inputs'!$E$13)=0,(10-'Schedule_Inputs'!$B$13)/'Schedule_Inputs'!$E$13&lt;'Schedule_Inputs'!$D$13),$C13/'Schedule_Inputs'!$D$13,0),0))))</f>
        <v/>
      </c>
      <c r="O13" s="231">
        <f>IF('Schedule_Inputs'!$C$13="Blueprint",$C13*IF(11-'Schedule_Inputs'!$B$13=0,'Assumptions'!$B$21,IF(11-'Schedule_Inputs'!$B$13=1,'Assumptions'!$C$21,IF(11-'Schedule_Inputs'!$B$13=2,'Assumptions'!$D$21,0))),IF('Schedule_Inputs'!$C$13="Launch",$C13*IF(11-'Schedule_Inputs'!$B$13=0,'Assumptions'!$B$22,IF(11-'Schedule_Inputs'!$B$13=1,'Assumptions'!$C$22,IF(11-'Schedule_Inputs'!$B$13=2,'Assumptions'!$D$22,IF(11-'Schedule_Inputs'!$B$13=3,'Assumptions'!$B$23,0)))),IF('Schedule_Inputs'!$C$13="Office Setup",$C13*IF(11-'Schedule_Inputs'!$B$13=0,'Assumptions'!$B$24,IF(11-'Schedule_Inputs'!$B$13=1,'Assumptions'!$C$24,IF(11-'Schedule_Inputs'!$B$13=2,'Assumptions'!$D$24,0))),IF(OR('Schedule_Inputs'!$C$13="Monthly",'Schedule_Inputs'!$C$13="Periodic"),IF(AND(11&gt;='Schedule_Inputs'!$B$13,MOD(11-'Schedule_Inputs'!$B$13,'Schedule_Inputs'!$E$13)=0,(11-'Schedule_Inputs'!$B$13)/'Schedule_Inputs'!$E$13&lt;'Schedule_Inputs'!$D$13),$C13/'Schedule_Inputs'!$D$13,0),0))))</f>
        <v/>
      </c>
      <c r="P13" s="231">
        <f>IF('Schedule_Inputs'!$C$13="Blueprint",$C13*IF(12-'Schedule_Inputs'!$B$13=0,'Assumptions'!$B$21,IF(12-'Schedule_Inputs'!$B$13=1,'Assumptions'!$C$21,IF(12-'Schedule_Inputs'!$B$13=2,'Assumptions'!$D$21,0))),IF('Schedule_Inputs'!$C$13="Launch",$C13*IF(12-'Schedule_Inputs'!$B$13=0,'Assumptions'!$B$22,IF(12-'Schedule_Inputs'!$B$13=1,'Assumptions'!$C$22,IF(12-'Schedule_Inputs'!$B$13=2,'Assumptions'!$D$22,IF(12-'Schedule_Inputs'!$B$13=3,'Assumptions'!$B$23,0)))),IF('Schedule_Inputs'!$C$13="Office Setup",$C13*IF(12-'Schedule_Inputs'!$B$13=0,'Assumptions'!$B$24,IF(12-'Schedule_Inputs'!$B$13=1,'Assumptions'!$C$24,IF(12-'Schedule_Inputs'!$B$13=2,'Assumptions'!$D$24,0))),IF(OR('Schedule_Inputs'!$C$13="Monthly",'Schedule_Inputs'!$C$13="Periodic"),IF(AND(12&gt;='Schedule_Inputs'!$B$13,MOD(12-'Schedule_Inputs'!$B$13,'Schedule_Inputs'!$E$13)=0,(12-'Schedule_Inputs'!$B$13)/'Schedule_Inputs'!$E$13&lt;'Schedule_Inputs'!$D$13),$C13/'Schedule_Inputs'!$D$13,0),0))))</f>
        <v/>
      </c>
      <c r="Q13" s="231">
        <f>IF('Schedule_Inputs'!$C$13="Blueprint",$C13*IF(13-'Schedule_Inputs'!$B$13=0,'Assumptions'!$B$21,IF(13-'Schedule_Inputs'!$B$13=1,'Assumptions'!$C$21,IF(13-'Schedule_Inputs'!$B$13=2,'Assumptions'!$D$21,0))),IF('Schedule_Inputs'!$C$13="Launch",$C13*IF(13-'Schedule_Inputs'!$B$13=0,'Assumptions'!$B$22,IF(13-'Schedule_Inputs'!$B$13=1,'Assumptions'!$C$22,IF(13-'Schedule_Inputs'!$B$13=2,'Assumptions'!$D$22,IF(13-'Schedule_Inputs'!$B$13=3,'Assumptions'!$B$23,0)))),IF('Schedule_Inputs'!$C$13="Office Setup",$C13*IF(13-'Schedule_Inputs'!$B$13=0,'Assumptions'!$B$24,IF(13-'Schedule_Inputs'!$B$13=1,'Assumptions'!$C$24,IF(13-'Schedule_Inputs'!$B$13=2,'Assumptions'!$D$24,0))),IF(OR('Schedule_Inputs'!$C$13="Monthly",'Schedule_Inputs'!$C$13="Periodic"),IF(AND(13&gt;='Schedule_Inputs'!$B$13,MOD(13-'Schedule_Inputs'!$B$13,'Schedule_Inputs'!$E$13)=0,(13-'Schedule_Inputs'!$B$13)/'Schedule_Inputs'!$E$13&lt;'Schedule_Inputs'!$D$13),$C13/'Schedule_Inputs'!$D$13,0),0))))</f>
        <v/>
      </c>
      <c r="R13" s="231">
        <f>IF('Schedule_Inputs'!$C$13="Blueprint",$C13*IF(14-'Schedule_Inputs'!$B$13=0,'Assumptions'!$B$21,IF(14-'Schedule_Inputs'!$B$13=1,'Assumptions'!$C$21,IF(14-'Schedule_Inputs'!$B$13=2,'Assumptions'!$D$21,0))),IF('Schedule_Inputs'!$C$13="Launch",$C13*IF(14-'Schedule_Inputs'!$B$13=0,'Assumptions'!$B$22,IF(14-'Schedule_Inputs'!$B$13=1,'Assumptions'!$C$22,IF(14-'Schedule_Inputs'!$B$13=2,'Assumptions'!$D$22,IF(14-'Schedule_Inputs'!$B$13=3,'Assumptions'!$B$23,0)))),IF('Schedule_Inputs'!$C$13="Office Setup",$C13*IF(14-'Schedule_Inputs'!$B$13=0,'Assumptions'!$B$24,IF(14-'Schedule_Inputs'!$B$13=1,'Assumptions'!$C$24,IF(14-'Schedule_Inputs'!$B$13=2,'Assumptions'!$D$24,0))),IF(OR('Schedule_Inputs'!$C$13="Monthly",'Schedule_Inputs'!$C$13="Periodic"),IF(AND(14&gt;='Schedule_Inputs'!$B$13,MOD(14-'Schedule_Inputs'!$B$13,'Schedule_Inputs'!$E$13)=0,(14-'Schedule_Inputs'!$B$13)/'Schedule_Inputs'!$E$13&lt;'Schedule_Inputs'!$D$13),$C13/'Schedule_Inputs'!$D$13,0),0))))</f>
        <v/>
      </c>
      <c r="S13" s="231">
        <f>IF('Schedule_Inputs'!$C$13="Blueprint",$C13*IF(15-'Schedule_Inputs'!$B$13=0,'Assumptions'!$B$21,IF(15-'Schedule_Inputs'!$B$13=1,'Assumptions'!$C$21,IF(15-'Schedule_Inputs'!$B$13=2,'Assumptions'!$D$21,0))),IF('Schedule_Inputs'!$C$13="Launch",$C13*IF(15-'Schedule_Inputs'!$B$13=0,'Assumptions'!$B$22,IF(15-'Schedule_Inputs'!$B$13=1,'Assumptions'!$C$22,IF(15-'Schedule_Inputs'!$B$13=2,'Assumptions'!$D$22,IF(15-'Schedule_Inputs'!$B$13=3,'Assumptions'!$B$23,0)))),IF('Schedule_Inputs'!$C$13="Office Setup",$C13*IF(15-'Schedule_Inputs'!$B$13=0,'Assumptions'!$B$24,IF(15-'Schedule_Inputs'!$B$13=1,'Assumptions'!$C$24,IF(15-'Schedule_Inputs'!$B$13=2,'Assumptions'!$D$24,0))),IF(OR('Schedule_Inputs'!$C$13="Monthly",'Schedule_Inputs'!$C$13="Periodic"),IF(AND(15&gt;='Schedule_Inputs'!$B$13,MOD(15-'Schedule_Inputs'!$B$13,'Schedule_Inputs'!$E$13)=0,(15-'Schedule_Inputs'!$B$13)/'Schedule_Inputs'!$E$13&lt;'Schedule_Inputs'!$D$13),$C13/'Schedule_Inputs'!$D$13,0),0))))</f>
        <v/>
      </c>
      <c r="T13" s="231">
        <f>IF('Schedule_Inputs'!$C$13="Blueprint",$C13*IF(16-'Schedule_Inputs'!$B$13=0,'Assumptions'!$B$21,IF(16-'Schedule_Inputs'!$B$13=1,'Assumptions'!$C$21,IF(16-'Schedule_Inputs'!$B$13=2,'Assumptions'!$D$21,0))),IF('Schedule_Inputs'!$C$13="Launch",$C13*IF(16-'Schedule_Inputs'!$B$13=0,'Assumptions'!$B$22,IF(16-'Schedule_Inputs'!$B$13=1,'Assumptions'!$C$22,IF(16-'Schedule_Inputs'!$B$13=2,'Assumptions'!$D$22,IF(16-'Schedule_Inputs'!$B$13=3,'Assumptions'!$B$23,0)))),IF('Schedule_Inputs'!$C$13="Office Setup",$C13*IF(16-'Schedule_Inputs'!$B$13=0,'Assumptions'!$B$24,IF(16-'Schedule_Inputs'!$B$13=1,'Assumptions'!$C$24,IF(16-'Schedule_Inputs'!$B$13=2,'Assumptions'!$D$24,0))),IF(OR('Schedule_Inputs'!$C$13="Monthly",'Schedule_Inputs'!$C$13="Periodic"),IF(AND(16&gt;='Schedule_Inputs'!$B$13,MOD(16-'Schedule_Inputs'!$B$13,'Schedule_Inputs'!$E$13)=0,(16-'Schedule_Inputs'!$B$13)/'Schedule_Inputs'!$E$13&lt;'Schedule_Inputs'!$D$13),$C13/'Schedule_Inputs'!$D$13,0),0))))</f>
        <v/>
      </c>
      <c r="U13" s="231">
        <f>IF('Schedule_Inputs'!$C$13="Blueprint",$C13*IF(17-'Schedule_Inputs'!$B$13=0,'Assumptions'!$B$21,IF(17-'Schedule_Inputs'!$B$13=1,'Assumptions'!$C$21,IF(17-'Schedule_Inputs'!$B$13=2,'Assumptions'!$D$21,0))),IF('Schedule_Inputs'!$C$13="Launch",$C13*IF(17-'Schedule_Inputs'!$B$13=0,'Assumptions'!$B$22,IF(17-'Schedule_Inputs'!$B$13=1,'Assumptions'!$C$22,IF(17-'Schedule_Inputs'!$B$13=2,'Assumptions'!$D$22,IF(17-'Schedule_Inputs'!$B$13=3,'Assumptions'!$B$23,0)))),IF('Schedule_Inputs'!$C$13="Office Setup",$C13*IF(17-'Schedule_Inputs'!$B$13=0,'Assumptions'!$B$24,IF(17-'Schedule_Inputs'!$B$13=1,'Assumptions'!$C$24,IF(17-'Schedule_Inputs'!$B$13=2,'Assumptions'!$D$24,0))),IF(OR('Schedule_Inputs'!$C$13="Monthly",'Schedule_Inputs'!$C$13="Periodic"),IF(AND(17&gt;='Schedule_Inputs'!$B$13,MOD(17-'Schedule_Inputs'!$B$13,'Schedule_Inputs'!$E$13)=0,(17-'Schedule_Inputs'!$B$13)/'Schedule_Inputs'!$E$13&lt;'Schedule_Inputs'!$D$13),$C13/'Schedule_Inputs'!$D$13,0),0))))</f>
        <v/>
      </c>
      <c r="V13" s="231">
        <f>IF('Schedule_Inputs'!$C$13="Blueprint",$C13*IF(18-'Schedule_Inputs'!$B$13=0,'Assumptions'!$B$21,IF(18-'Schedule_Inputs'!$B$13=1,'Assumptions'!$C$21,IF(18-'Schedule_Inputs'!$B$13=2,'Assumptions'!$D$21,0))),IF('Schedule_Inputs'!$C$13="Launch",$C13*IF(18-'Schedule_Inputs'!$B$13=0,'Assumptions'!$B$22,IF(18-'Schedule_Inputs'!$B$13=1,'Assumptions'!$C$22,IF(18-'Schedule_Inputs'!$B$13=2,'Assumptions'!$D$22,IF(18-'Schedule_Inputs'!$B$13=3,'Assumptions'!$B$23,0)))),IF('Schedule_Inputs'!$C$13="Office Setup",$C13*IF(18-'Schedule_Inputs'!$B$13=0,'Assumptions'!$B$24,IF(18-'Schedule_Inputs'!$B$13=1,'Assumptions'!$C$24,IF(18-'Schedule_Inputs'!$B$13=2,'Assumptions'!$D$24,0))),IF(OR('Schedule_Inputs'!$C$13="Monthly",'Schedule_Inputs'!$C$13="Periodic"),IF(AND(18&gt;='Schedule_Inputs'!$B$13,MOD(18-'Schedule_Inputs'!$B$13,'Schedule_Inputs'!$E$13)=0,(18-'Schedule_Inputs'!$B$13)/'Schedule_Inputs'!$E$13&lt;'Schedule_Inputs'!$D$13),$C13/'Schedule_Inputs'!$D$13,0),0))))</f>
        <v/>
      </c>
      <c r="W13" s="231">
        <f>IF('Schedule_Inputs'!$C$13="Blueprint",$C13*IF(19-'Schedule_Inputs'!$B$13=0,'Assumptions'!$B$21,IF(19-'Schedule_Inputs'!$B$13=1,'Assumptions'!$C$21,IF(19-'Schedule_Inputs'!$B$13=2,'Assumptions'!$D$21,0))),IF('Schedule_Inputs'!$C$13="Launch",$C13*IF(19-'Schedule_Inputs'!$B$13=0,'Assumptions'!$B$22,IF(19-'Schedule_Inputs'!$B$13=1,'Assumptions'!$C$22,IF(19-'Schedule_Inputs'!$B$13=2,'Assumptions'!$D$22,IF(19-'Schedule_Inputs'!$B$13=3,'Assumptions'!$B$23,0)))),IF('Schedule_Inputs'!$C$13="Office Setup",$C13*IF(19-'Schedule_Inputs'!$B$13=0,'Assumptions'!$B$24,IF(19-'Schedule_Inputs'!$B$13=1,'Assumptions'!$C$24,IF(19-'Schedule_Inputs'!$B$13=2,'Assumptions'!$D$24,0))),IF(OR('Schedule_Inputs'!$C$13="Monthly",'Schedule_Inputs'!$C$13="Periodic"),IF(AND(19&gt;='Schedule_Inputs'!$B$13,MOD(19-'Schedule_Inputs'!$B$13,'Schedule_Inputs'!$E$13)=0,(19-'Schedule_Inputs'!$B$13)/'Schedule_Inputs'!$E$13&lt;'Schedule_Inputs'!$D$13),$C13/'Schedule_Inputs'!$D$13,0),0))))</f>
        <v/>
      </c>
      <c r="X13" s="231">
        <f>IF('Schedule_Inputs'!$C$13="Blueprint",$C13*IF(20-'Schedule_Inputs'!$B$13=0,'Assumptions'!$B$21,IF(20-'Schedule_Inputs'!$B$13=1,'Assumptions'!$C$21,IF(20-'Schedule_Inputs'!$B$13=2,'Assumptions'!$D$21,0))),IF('Schedule_Inputs'!$C$13="Launch",$C13*IF(20-'Schedule_Inputs'!$B$13=0,'Assumptions'!$B$22,IF(20-'Schedule_Inputs'!$B$13=1,'Assumptions'!$C$22,IF(20-'Schedule_Inputs'!$B$13=2,'Assumptions'!$D$22,IF(20-'Schedule_Inputs'!$B$13=3,'Assumptions'!$B$23,0)))),IF('Schedule_Inputs'!$C$13="Office Setup",$C13*IF(20-'Schedule_Inputs'!$B$13=0,'Assumptions'!$B$24,IF(20-'Schedule_Inputs'!$B$13=1,'Assumptions'!$C$24,IF(20-'Schedule_Inputs'!$B$13=2,'Assumptions'!$D$24,0))),IF(OR('Schedule_Inputs'!$C$13="Monthly",'Schedule_Inputs'!$C$13="Periodic"),IF(AND(20&gt;='Schedule_Inputs'!$B$13,MOD(20-'Schedule_Inputs'!$B$13,'Schedule_Inputs'!$E$13)=0,(20-'Schedule_Inputs'!$B$13)/'Schedule_Inputs'!$E$13&lt;'Schedule_Inputs'!$D$13),$C13/'Schedule_Inputs'!$D$13,0),0))))</f>
        <v/>
      </c>
      <c r="Y13" s="231">
        <f>IF('Schedule_Inputs'!$C$13="Blueprint",$C13*IF(21-'Schedule_Inputs'!$B$13=0,'Assumptions'!$B$21,IF(21-'Schedule_Inputs'!$B$13=1,'Assumptions'!$C$21,IF(21-'Schedule_Inputs'!$B$13=2,'Assumptions'!$D$21,0))),IF('Schedule_Inputs'!$C$13="Launch",$C13*IF(21-'Schedule_Inputs'!$B$13=0,'Assumptions'!$B$22,IF(21-'Schedule_Inputs'!$B$13=1,'Assumptions'!$C$22,IF(21-'Schedule_Inputs'!$B$13=2,'Assumptions'!$D$22,IF(21-'Schedule_Inputs'!$B$13=3,'Assumptions'!$B$23,0)))),IF('Schedule_Inputs'!$C$13="Office Setup",$C13*IF(21-'Schedule_Inputs'!$B$13=0,'Assumptions'!$B$24,IF(21-'Schedule_Inputs'!$B$13=1,'Assumptions'!$C$24,IF(21-'Schedule_Inputs'!$B$13=2,'Assumptions'!$D$24,0))),IF(OR('Schedule_Inputs'!$C$13="Monthly",'Schedule_Inputs'!$C$13="Periodic"),IF(AND(21&gt;='Schedule_Inputs'!$B$13,MOD(21-'Schedule_Inputs'!$B$13,'Schedule_Inputs'!$E$13)=0,(21-'Schedule_Inputs'!$B$13)/'Schedule_Inputs'!$E$13&lt;'Schedule_Inputs'!$D$13),$C13/'Schedule_Inputs'!$D$13,0),0))))</f>
        <v/>
      </c>
      <c r="Z13" s="231">
        <f>IF('Schedule_Inputs'!$C$13="Blueprint",$C13*IF(22-'Schedule_Inputs'!$B$13=0,'Assumptions'!$B$21,IF(22-'Schedule_Inputs'!$B$13=1,'Assumptions'!$C$21,IF(22-'Schedule_Inputs'!$B$13=2,'Assumptions'!$D$21,0))),IF('Schedule_Inputs'!$C$13="Launch",$C13*IF(22-'Schedule_Inputs'!$B$13=0,'Assumptions'!$B$22,IF(22-'Schedule_Inputs'!$B$13=1,'Assumptions'!$C$22,IF(22-'Schedule_Inputs'!$B$13=2,'Assumptions'!$D$22,IF(22-'Schedule_Inputs'!$B$13=3,'Assumptions'!$B$23,0)))),IF('Schedule_Inputs'!$C$13="Office Setup",$C13*IF(22-'Schedule_Inputs'!$B$13=0,'Assumptions'!$B$24,IF(22-'Schedule_Inputs'!$B$13=1,'Assumptions'!$C$24,IF(22-'Schedule_Inputs'!$B$13=2,'Assumptions'!$D$24,0))),IF(OR('Schedule_Inputs'!$C$13="Monthly",'Schedule_Inputs'!$C$13="Periodic"),IF(AND(22&gt;='Schedule_Inputs'!$B$13,MOD(22-'Schedule_Inputs'!$B$13,'Schedule_Inputs'!$E$13)=0,(22-'Schedule_Inputs'!$B$13)/'Schedule_Inputs'!$E$13&lt;'Schedule_Inputs'!$D$13),$C13/'Schedule_Inputs'!$D$13,0),0))))</f>
        <v/>
      </c>
      <c r="AA13" s="231">
        <f>IF('Schedule_Inputs'!$C$13="Blueprint",$C13*IF(23-'Schedule_Inputs'!$B$13=0,'Assumptions'!$B$21,IF(23-'Schedule_Inputs'!$B$13=1,'Assumptions'!$C$21,IF(23-'Schedule_Inputs'!$B$13=2,'Assumptions'!$D$21,0))),IF('Schedule_Inputs'!$C$13="Launch",$C13*IF(23-'Schedule_Inputs'!$B$13=0,'Assumptions'!$B$22,IF(23-'Schedule_Inputs'!$B$13=1,'Assumptions'!$C$22,IF(23-'Schedule_Inputs'!$B$13=2,'Assumptions'!$D$22,IF(23-'Schedule_Inputs'!$B$13=3,'Assumptions'!$B$23,0)))),IF('Schedule_Inputs'!$C$13="Office Setup",$C13*IF(23-'Schedule_Inputs'!$B$13=0,'Assumptions'!$B$24,IF(23-'Schedule_Inputs'!$B$13=1,'Assumptions'!$C$24,IF(23-'Schedule_Inputs'!$B$13=2,'Assumptions'!$D$24,0))),IF(OR('Schedule_Inputs'!$C$13="Monthly",'Schedule_Inputs'!$C$13="Periodic"),IF(AND(23&gt;='Schedule_Inputs'!$B$13,MOD(23-'Schedule_Inputs'!$B$13,'Schedule_Inputs'!$E$13)=0,(23-'Schedule_Inputs'!$B$13)/'Schedule_Inputs'!$E$13&lt;'Schedule_Inputs'!$D$13),$C13/'Schedule_Inputs'!$D$13,0),0))))</f>
        <v/>
      </c>
      <c r="AB13" s="231">
        <f>IF('Schedule_Inputs'!$C$13="Blueprint",$C13*IF(24-'Schedule_Inputs'!$B$13=0,'Assumptions'!$B$21,IF(24-'Schedule_Inputs'!$B$13=1,'Assumptions'!$C$21,IF(24-'Schedule_Inputs'!$B$13=2,'Assumptions'!$D$21,0))),IF('Schedule_Inputs'!$C$13="Launch",$C13*IF(24-'Schedule_Inputs'!$B$13=0,'Assumptions'!$B$22,IF(24-'Schedule_Inputs'!$B$13=1,'Assumptions'!$C$22,IF(24-'Schedule_Inputs'!$B$13=2,'Assumptions'!$D$22,IF(24-'Schedule_Inputs'!$B$13=3,'Assumptions'!$B$23,0)))),IF('Schedule_Inputs'!$C$13="Office Setup",$C13*IF(24-'Schedule_Inputs'!$B$13=0,'Assumptions'!$B$24,IF(24-'Schedule_Inputs'!$B$13=1,'Assumptions'!$C$24,IF(24-'Schedule_Inputs'!$B$13=2,'Assumptions'!$D$24,0))),IF(OR('Schedule_Inputs'!$C$13="Monthly",'Schedule_Inputs'!$C$13="Periodic"),IF(AND(24&gt;='Schedule_Inputs'!$B$13,MOD(24-'Schedule_Inputs'!$B$13,'Schedule_Inputs'!$E$13)=0,(24-'Schedule_Inputs'!$B$13)/'Schedule_Inputs'!$E$13&lt;'Schedule_Inputs'!$D$13),$C13/'Schedule_Inputs'!$D$13,0),0))))</f>
        <v/>
      </c>
      <c r="AC13" s="231">
        <f>IF('Schedule_Inputs'!$C$13="Blueprint",$C13*IF(25-'Schedule_Inputs'!$B$13=0,'Assumptions'!$B$21,IF(25-'Schedule_Inputs'!$B$13=1,'Assumptions'!$C$21,IF(25-'Schedule_Inputs'!$B$13=2,'Assumptions'!$D$21,0))),IF('Schedule_Inputs'!$C$13="Launch",$C13*IF(25-'Schedule_Inputs'!$B$13=0,'Assumptions'!$B$22,IF(25-'Schedule_Inputs'!$B$13=1,'Assumptions'!$C$22,IF(25-'Schedule_Inputs'!$B$13=2,'Assumptions'!$D$22,IF(25-'Schedule_Inputs'!$B$13=3,'Assumptions'!$B$23,0)))),IF('Schedule_Inputs'!$C$13="Office Setup",$C13*IF(25-'Schedule_Inputs'!$B$13=0,'Assumptions'!$B$24,IF(25-'Schedule_Inputs'!$B$13=1,'Assumptions'!$C$24,IF(25-'Schedule_Inputs'!$B$13=2,'Assumptions'!$D$24,0))),IF(OR('Schedule_Inputs'!$C$13="Monthly",'Schedule_Inputs'!$C$13="Periodic"),IF(AND(25&gt;='Schedule_Inputs'!$B$13,MOD(25-'Schedule_Inputs'!$B$13,'Schedule_Inputs'!$E$13)=0,(25-'Schedule_Inputs'!$B$13)/'Schedule_Inputs'!$E$13&lt;'Schedule_Inputs'!$D$13),$C13/'Schedule_Inputs'!$D$13,0),0))))</f>
        <v/>
      </c>
      <c r="AD13" s="231">
        <f>IF('Schedule_Inputs'!$C$13="Blueprint",$C13*IF(26-'Schedule_Inputs'!$B$13=0,'Assumptions'!$B$21,IF(26-'Schedule_Inputs'!$B$13=1,'Assumptions'!$C$21,IF(26-'Schedule_Inputs'!$B$13=2,'Assumptions'!$D$21,0))),IF('Schedule_Inputs'!$C$13="Launch",$C13*IF(26-'Schedule_Inputs'!$B$13=0,'Assumptions'!$B$22,IF(26-'Schedule_Inputs'!$B$13=1,'Assumptions'!$C$22,IF(26-'Schedule_Inputs'!$B$13=2,'Assumptions'!$D$22,IF(26-'Schedule_Inputs'!$B$13=3,'Assumptions'!$B$23,0)))),IF('Schedule_Inputs'!$C$13="Office Setup",$C13*IF(26-'Schedule_Inputs'!$B$13=0,'Assumptions'!$B$24,IF(26-'Schedule_Inputs'!$B$13=1,'Assumptions'!$C$24,IF(26-'Schedule_Inputs'!$B$13=2,'Assumptions'!$D$24,0))),IF(OR('Schedule_Inputs'!$C$13="Monthly",'Schedule_Inputs'!$C$13="Periodic"),IF(AND(26&gt;='Schedule_Inputs'!$B$13,MOD(26-'Schedule_Inputs'!$B$13,'Schedule_Inputs'!$E$13)=0,(26-'Schedule_Inputs'!$B$13)/'Schedule_Inputs'!$E$13&lt;'Schedule_Inputs'!$D$13),$C13/'Schedule_Inputs'!$D$13,0),0))))</f>
        <v/>
      </c>
      <c r="AE13" s="231">
        <f>IF('Schedule_Inputs'!$C$13="Blueprint",$C13*IF(27-'Schedule_Inputs'!$B$13=0,'Assumptions'!$B$21,IF(27-'Schedule_Inputs'!$B$13=1,'Assumptions'!$C$21,IF(27-'Schedule_Inputs'!$B$13=2,'Assumptions'!$D$21,0))),IF('Schedule_Inputs'!$C$13="Launch",$C13*IF(27-'Schedule_Inputs'!$B$13=0,'Assumptions'!$B$22,IF(27-'Schedule_Inputs'!$B$13=1,'Assumptions'!$C$22,IF(27-'Schedule_Inputs'!$B$13=2,'Assumptions'!$D$22,IF(27-'Schedule_Inputs'!$B$13=3,'Assumptions'!$B$23,0)))),IF('Schedule_Inputs'!$C$13="Office Setup",$C13*IF(27-'Schedule_Inputs'!$B$13=0,'Assumptions'!$B$24,IF(27-'Schedule_Inputs'!$B$13=1,'Assumptions'!$C$24,IF(27-'Schedule_Inputs'!$B$13=2,'Assumptions'!$D$24,0))),IF(OR('Schedule_Inputs'!$C$13="Monthly",'Schedule_Inputs'!$C$13="Periodic"),IF(AND(27&gt;='Schedule_Inputs'!$B$13,MOD(27-'Schedule_Inputs'!$B$13,'Schedule_Inputs'!$E$13)=0,(27-'Schedule_Inputs'!$B$13)/'Schedule_Inputs'!$E$13&lt;'Schedule_Inputs'!$D$13),$C13/'Schedule_Inputs'!$D$13,0),0))))</f>
        <v/>
      </c>
      <c r="AF13" s="231">
        <f>IF('Schedule_Inputs'!$C$13="Blueprint",$C13*IF(28-'Schedule_Inputs'!$B$13=0,'Assumptions'!$B$21,IF(28-'Schedule_Inputs'!$B$13=1,'Assumptions'!$C$21,IF(28-'Schedule_Inputs'!$B$13=2,'Assumptions'!$D$21,0))),IF('Schedule_Inputs'!$C$13="Launch",$C13*IF(28-'Schedule_Inputs'!$B$13=0,'Assumptions'!$B$22,IF(28-'Schedule_Inputs'!$B$13=1,'Assumptions'!$C$22,IF(28-'Schedule_Inputs'!$B$13=2,'Assumptions'!$D$22,IF(28-'Schedule_Inputs'!$B$13=3,'Assumptions'!$B$23,0)))),IF('Schedule_Inputs'!$C$13="Office Setup",$C13*IF(28-'Schedule_Inputs'!$B$13=0,'Assumptions'!$B$24,IF(28-'Schedule_Inputs'!$B$13=1,'Assumptions'!$C$24,IF(28-'Schedule_Inputs'!$B$13=2,'Assumptions'!$D$24,0))),IF(OR('Schedule_Inputs'!$C$13="Monthly",'Schedule_Inputs'!$C$13="Periodic"),IF(AND(28&gt;='Schedule_Inputs'!$B$13,MOD(28-'Schedule_Inputs'!$B$13,'Schedule_Inputs'!$E$13)=0,(28-'Schedule_Inputs'!$B$13)/'Schedule_Inputs'!$E$13&lt;'Schedule_Inputs'!$D$13),$C13/'Schedule_Inputs'!$D$13,0),0))))</f>
        <v/>
      </c>
      <c r="AG13" s="231">
        <f>IF('Schedule_Inputs'!$C$13="Blueprint",$C13*IF(29-'Schedule_Inputs'!$B$13=0,'Assumptions'!$B$21,IF(29-'Schedule_Inputs'!$B$13=1,'Assumptions'!$C$21,IF(29-'Schedule_Inputs'!$B$13=2,'Assumptions'!$D$21,0))),IF('Schedule_Inputs'!$C$13="Launch",$C13*IF(29-'Schedule_Inputs'!$B$13=0,'Assumptions'!$B$22,IF(29-'Schedule_Inputs'!$B$13=1,'Assumptions'!$C$22,IF(29-'Schedule_Inputs'!$B$13=2,'Assumptions'!$D$22,IF(29-'Schedule_Inputs'!$B$13=3,'Assumptions'!$B$23,0)))),IF('Schedule_Inputs'!$C$13="Office Setup",$C13*IF(29-'Schedule_Inputs'!$B$13=0,'Assumptions'!$B$24,IF(29-'Schedule_Inputs'!$B$13=1,'Assumptions'!$C$24,IF(29-'Schedule_Inputs'!$B$13=2,'Assumptions'!$D$24,0))),IF(OR('Schedule_Inputs'!$C$13="Monthly",'Schedule_Inputs'!$C$13="Periodic"),IF(AND(29&gt;='Schedule_Inputs'!$B$13,MOD(29-'Schedule_Inputs'!$B$13,'Schedule_Inputs'!$E$13)=0,(29-'Schedule_Inputs'!$B$13)/'Schedule_Inputs'!$E$13&lt;'Schedule_Inputs'!$D$13),$C13/'Schedule_Inputs'!$D$13,0),0))))</f>
        <v/>
      </c>
      <c r="AH13" s="231">
        <f>IF('Schedule_Inputs'!$C$13="Blueprint",$C13*IF(30-'Schedule_Inputs'!$B$13=0,'Assumptions'!$B$21,IF(30-'Schedule_Inputs'!$B$13=1,'Assumptions'!$C$21,IF(30-'Schedule_Inputs'!$B$13=2,'Assumptions'!$D$21,0))),IF('Schedule_Inputs'!$C$13="Launch",$C13*IF(30-'Schedule_Inputs'!$B$13=0,'Assumptions'!$B$22,IF(30-'Schedule_Inputs'!$B$13=1,'Assumptions'!$C$22,IF(30-'Schedule_Inputs'!$B$13=2,'Assumptions'!$D$22,IF(30-'Schedule_Inputs'!$B$13=3,'Assumptions'!$B$23,0)))),IF('Schedule_Inputs'!$C$13="Office Setup",$C13*IF(30-'Schedule_Inputs'!$B$13=0,'Assumptions'!$B$24,IF(30-'Schedule_Inputs'!$B$13=1,'Assumptions'!$C$24,IF(30-'Schedule_Inputs'!$B$13=2,'Assumptions'!$D$24,0))),IF(OR('Schedule_Inputs'!$C$13="Monthly",'Schedule_Inputs'!$C$13="Periodic"),IF(AND(30&gt;='Schedule_Inputs'!$B$13,MOD(30-'Schedule_Inputs'!$B$13,'Schedule_Inputs'!$E$13)=0,(30-'Schedule_Inputs'!$B$13)/'Schedule_Inputs'!$E$13&lt;'Schedule_Inputs'!$D$13),$C13/'Schedule_Inputs'!$D$13,0),0))))</f>
        <v/>
      </c>
      <c r="AI13" s="231">
        <f>IF('Schedule_Inputs'!$C$13="Blueprint",$C13*IF(31-'Schedule_Inputs'!$B$13=0,'Assumptions'!$B$21,IF(31-'Schedule_Inputs'!$B$13=1,'Assumptions'!$C$21,IF(31-'Schedule_Inputs'!$B$13=2,'Assumptions'!$D$21,0))),IF('Schedule_Inputs'!$C$13="Launch",$C13*IF(31-'Schedule_Inputs'!$B$13=0,'Assumptions'!$B$22,IF(31-'Schedule_Inputs'!$B$13=1,'Assumptions'!$C$22,IF(31-'Schedule_Inputs'!$B$13=2,'Assumptions'!$D$22,IF(31-'Schedule_Inputs'!$B$13=3,'Assumptions'!$B$23,0)))),IF('Schedule_Inputs'!$C$13="Office Setup",$C13*IF(31-'Schedule_Inputs'!$B$13=0,'Assumptions'!$B$24,IF(31-'Schedule_Inputs'!$B$13=1,'Assumptions'!$C$24,IF(31-'Schedule_Inputs'!$B$13=2,'Assumptions'!$D$24,0))),IF(OR('Schedule_Inputs'!$C$13="Monthly",'Schedule_Inputs'!$C$13="Periodic"),IF(AND(31&gt;='Schedule_Inputs'!$B$13,MOD(31-'Schedule_Inputs'!$B$13,'Schedule_Inputs'!$E$13)=0,(31-'Schedule_Inputs'!$B$13)/'Schedule_Inputs'!$E$13&lt;'Schedule_Inputs'!$D$13),$C13/'Schedule_Inputs'!$D$13,0),0))))</f>
        <v/>
      </c>
      <c r="AJ13" s="231">
        <f>IF('Schedule_Inputs'!$C$13="Blueprint",$C13*IF(32-'Schedule_Inputs'!$B$13=0,'Assumptions'!$B$21,IF(32-'Schedule_Inputs'!$B$13=1,'Assumptions'!$C$21,IF(32-'Schedule_Inputs'!$B$13=2,'Assumptions'!$D$21,0))),IF('Schedule_Inputs'!$C$13="Launch",$C13*IF(32-'Schedule_Inputs'!$B$13=0,'Assumptions'!$B$22,IF(32-'Schedule_Inputs'!$B$13=1,'Assumptions'!$C$22,IF(32-'Schedule_Inputs'!$B$13=2,'Assumptions'!$D$22,IF(32-'Schedule_Inputs'!$B$13=3,'Assumptions'!$B$23,0)))),IF('Schedule_Inputs'!$C$13="Office Setup",$C13*IF(32-'Schedule_Inputs'!$B$13=0,'Assumptions'!$B$24,IF(32-'Schedule_Inputs'!$B$13=1,'Assumptions'!$C$24,IF(32-'Schedule_Inputs'!$B$13=2,'Assumptions'!$D$24,0))),IF(OR('Schedule_Inputs'!$C$13="Monthly",'Schedule_Inputs'!$C$13="Periodic"),IF(AND(32&gt;='Schedule_Inputs'!$B$13,MOD(32-'Schedule_Inputs'!$B$13,'Schedule_Inputs'!$E$13)=0,(32-'Schedule_Inputs'!$B$13)/'Schedule_Inputs'!$E$13&lt;'Schedule_Inputs'!$D$13),$C13/'Schedule_Inputs'!$D$13,0),0))))</f>
        <v/>
      </c>
      <c r="AK13" s="231">
        <f>IF('Schedule_Inputs'!$C$13="Blueprint",$C13*IF(33-'Schedule_Inputs'!$B$13=0,'Assumptions'!$B$21,IF(33-'Schedule_Inputs'!$B$13=1,'Assumptions'!$C$21,IF(33-'Schedule_Inputs'!$B$13=2,'Assumptions'!$D$21,0))),IF('Schedule_Inputs'!$C$13="Launch",$C13*IF(33-'Schedule_Inputs'!$B$13=0,'Assumptions'!$B$22,IF(33-'Schedule_Inputs'!$B$13=1,'Assumptions'!$C$22,IF(33-'Schedule_Inputs'!$B$13=2,'Assumptions'!$D$22,IF(33-'Schedule_Inputs'!$B$13=3,'Assumptions'!$B$23,0)))),IF('Schedule_Inputs'!$C$13="Office Setup",$C13*IF(33-'Schedule_Inputs'!$B$13=0,'Assumptions'!$B$24,IF(33-'Schedule_Inputs'!$B$13=1,'Assumptions'!$C$24,IF(33-'Schedule_Inputs'!$B$13=2,'Assumptions'!$D$24,0))),IF(OR('Schedule_Inputs'!$C$13="Monthly",'Schedule_Inputs'!$C$13="Periodic"),IF(AND(33&gt;='Schedule_Inputs'!$B$13,MOD(33-'Schedule_Inputs'!$B$13,'Schedule_Inputs'!$E$13)=0,(33-'Schedule_Inputs'!$B$13)/'Schedule_Inputs'!$E$13&lt;'Schedule_Inputs'!$D$13),$C13/'Schedule_Inputs'!$D$13,0),0))))</f>
        <v/>
      </c>
      <c r="AL13" s="231">
        <f>IF('Schedule_Inputs'!$C$13="Blueprint",$C13*IF(34-'Schedule_Inputs'!$B$13=0,'Assumptions'!$B$21,IF(34-'Schedule_Inputs'!$B$13=1,'Assumptions'!$C$21,IF(34-'Schedule_Inputs'!$B$13=2,'Assumptions'!$D$21,0))),IF('Schedule_Inputs'!$C$13="Launch",$C13*IF(34-'Schedule_Inputs'!$B$13=0,'Assumptions'!$B$22,IF(34-'Schedule_Inputs'!$B$13=1,'Assumptions'!$C$22,IF(34-'Schedule_Inputs'!$B$13=2,'Assumptions'!$D$22,IF(34-'Schedule_Inputs'!$B$13=3,'Assumptions'!$B$23,0)))),IF('Schedule_Inputs'!$C$13="Office Setup",$C13*IF(34-'Schedule_Inputs'!$B$13=0,'Assumptions'!$B$24,IF(34-'Schedule_Inputs'!$B$13=1,'Assumptions'!$C$24,IF(34-'Schedule_Inputs'!$B$13=2,'Assumptions'!$D$24,0))),IF(OR('Schedule_Inputs'!$C$13="Monthly",'Schedule_Inputs'!$C$13="Periodic"),IF(AND(34&gt;='Schedule_Inputs'!$B$13,MOD(34-'Schedule_Inputs'!$B$13,'Schedule_Inputs'!$E$13)=0,(34-'Schedule_Inputs'!$B$13)/'Schedule_Inputs'!$E$13&lt;'Schedule_Inputs'!$D$13),$C13/'Schedule_Inputs'!$D$13,0),0))))</f>
        <v/>
      </c>
      <c r="AM13" s="231">
        <f>IF('Schedule_Inputs'!$C$13="Blueprint",$C13*IF(35-'Schedule_Inputs'!$B$13=0,'Assumptions'!$B$21,IF(35-'Schedule_Inputs'!$B$13=1,'Assumptions'!$C$21,IF(35-'Schedule_Inputs'!$B$13=2,'Assumptions'!$D$21,0))),IF('Schedule_Inputs'!$C$13="Launch",$C13*IF(35-'Schedule_Inputs'!$B$13=0,'Assumptions'!$B$22,IF(35-'Schedule_Inputs'!$B$13=1,'Assumptions'!$C$22,IF(35-'Schedule_Inputs'!$B$13=2,'Assumptions'!$D$22,IF(35-'Schedule_Inputs'!$B$13=3,'Assumptions'!$B$23,0)))),IF('Schedule_Inputs'!$C$13="Office Setup",$C13*IF(35-'Schedule_Inputs'!$B$13=0,'Assumptions'!$B$24,IF(35-'Schedule_Inputs'!$B$13=1,'Assumptions'!$C$24,IF(35-'Schedule_Inputs'!$B$13=2,'Assumptions'!$D$24,0))),IF(OR('Schedule_Inputs'!$C$13="Monthly",'Schedule_Inputs'!$C$13="Periodic"),IF(AND(35&gt;='Schedule_Inputs'!$B$13,MOD(35-'Schedule_Inputs'!$B$13,'Schedule_Inputs'!$E$13)=0,(35-'Schedule_Inputs'!$B$13)/'Schedule_Inputs'!$E$13&lt;'Schedule_Inputs'!$D$13),$C13/'Schedule_Inputs'!$D$13,0),0))))</f>
        <v/>
      </c>
      <c r="AN13" s="231">
        <f>IF('Schedule_Inputs'!$C$13="Blueprint",$C13*IF(36-'Schedule_Inputs'!$B$13=0,'Assumptions'!$B$21,IF(36-'Schedule_Inputs'!$B$13=1,'Assumptions'!$C$21,IF(36-'Schedule_Inputs'!$B$13=2,'Assumptions'!$D$21,0))),IF('Schedule_Inputs'!$C$13="Launch",$C13*IF(36-'Schedule_Inputs'!$B$13=0,'Assumptions'!$B$22,IF(36-'Schedule_Inputs'!$B$13=1,'Assumptions'!$C$22,IF(36-'Schedule_Inputs'!$B$13=2,'Assumptions'!$D$22,IF(36-'Schedule_Inputs'!$B$13=3,'Assumptions'!$B$23,0)))),IF('Schedule_Inputs'!$C$13="Office Setup",$C13*IF(36-'Schedule_Inputs'!$B$13=0,'Assumptions'!$B$24,IF(36-'Schedule_Inputs'!$B$13=1,'Assumptions'!$C$24,IF(36-'Schedule_Inputs'!$B$13=2,'Assumptions'!$D$24,0))),IF(OR('Schedule_Inputs'!$C$13="Monthly",'Schedule_Inputs'!$C$13="Periodic"),IF(AND(36&gt;='Schedule_Inputs'!$B$13,MOD(36-'Schedule_Inputs'!$B$13,'Schedule_Inputs'!$E$13)=0,(36-'Schedule_Inputs'!$B$13)/'Schedule_Inputs'!$E$13&lt;'Schedule_Inputs'!$D$13),$C13/'Schedule_Inputs'!$D$13,0),0))))</f>
        <v/>
      </c>
    </row>
    <row r="14">
      <c r="A14" s="106" t="inlineStr">
        <is>
          <t>Launch 03</t>
        </is>
      </c>
      <c r="B14" s="106" t="n">
        <v>2</v>
      </c>
      <c r="C14" s="230" t="n">
        <v>50000</v>
      </c>
      <c r="D14" s="231" t="inlineStr">
        <is>
          <t>30 / 30 / 30 / 10</t>
        </is>
      </c>
      <c r="E14" s="231">
        <f>IF('Schedule_Inputs'!$C$14="Blueprint",$C14*IF(1-'Schedule_Inputs'!$B$14=0,'Assumptions'!$B$21,IF(1-'Schedule_Inputs'!$B$14=1,'Assumptions'!$C$21,IF(1-'Schedule_Inputs'!$B$14=2,'Assumptions'!$D$21,0))),IF('Schedule_Inputs'!$C$14="Launch",$C14*IF(1-'Schedule_Inputs'!$B$14=0,'Assumptions'!$B$22,IF(1-'Schedule_Inputs'!$B$14=1,'Assumptions'!$C$22,IF(1-'Schedule_Inputs'!$B$14=2,'Assumptions'!$D$22,IF(1-'Schedule_Inputs'!$B$14=3,'Assumptions'!$B$23,0)))),IF('Schedule_Inputs'!$C$14="Office Setup",$C14*IF(1-'Schedule_Inputs'!$B$14=0,'Assumptions'!$B$24,IF(1-'Schedule_Inputs'!$B$14=1,'Assumptions'!$C$24,IF(1-'Schedule_Inputs'!$B$14=2,'Assumptions'!$D$24,0))),IF(OR('Schedule_Inputs'!$C$14="Monthly",'Schedule_Inputs'!$C$14="Periodic"),IF(AND(1&gt;='Schedule_Inputs'!$B$14,MOD(1-'Schedule_Inputs'!$B$14,'Schedule_Inputs'!$E$14)=0,(1-'Schedule_Inputs'!$B$14)/'Schedule_Inputs'!$E$14&lt;'Schedule_Inputs'!$D$14),$C14/'Schedule_Inputs'!$D$14,0),0))))</f>
        <v/>
      </c>
      <c r="F14" s="231">
        <f>IF('Schedule_Inputs'!$C$14="Blueprint",$C14*IF(2-'Schedule_Inputs'!$B$14=0,'Assumptions'!$B$21,IF(2-'Schedule_Inputs'!$B$14=1,'Assumptions'!$C$21,IF(2-'Schedule_Inputs'!$B$14=2,'Assumptions'!$D$21,0))),IF('Schedule_Inputs'!$C$14="Launch",$C14*IF(2-'Schedule_Inputs'!$B$14=0,'Assumptions'!$B$22,IF(2-'Schedule_Inputs'!$B$14=1,'Assumptions'!$C$22,IF(2-'Schedule_Inputs'!$B$14=2,'Assumptions'!$D$22,IF(2-'Schedule_Inputs'!$B$14=3,'Assumptions'!$B$23,0)))),IF('Schedule_Inputs'!$C$14="Office Setup",$C14*IF(2-'Schedule_Inputs'!$B$14=0,'Assumptions'!$B$24,IF(2-'Schedule_Inputs'!$B$14=1,'Assumptions'!$C$24,IF(2-'Schedule_Inputs'!$B$14=2,'Assumptions'!$D$24,0))),IF(OR('Schedule_Inputs'!$C$14="Monthly",'Schedule_Inputs'!$C$14="Periodic"),IF(AND(2&gt;='Schedule_Inputs'!$B$14,MOD(2-'Schedule_Inputs'!$B$14,'Schedule_Inputs'!$E$14)=0,(2-'Schedule_Inputs'!$B$14)/'Schedule_Inputs'!$E$14&lt;'Schedule_Inputs'!$D$14),$C14/'Schedule_Inputs'!$D$14,0),0))))</f>
        <v/>
      </c>
      <c r="G14" s="231">
        <f>IF('Schedule_Inputs'!$C$14="Blueprint",$C14*IF(3-'Schedule_Inputs'!$B$14=0,'Assumptions'!$B$21,IF(3-'Schedule_Inputs'!$B$14=1,'Assumptions'!$C$21,IF(3-'Schedule_Inputs'!$B$14=2,'Assumptions'!$D$21,0))),IF('Schedule_Inputs'!$C$14="Launch",$C14*IF(3-'Schedule_Inputs'!$B$14=0,'Assumptions'!$B$22,IF(3-'Schedule_Inputs'!$B$14=1,'Assumptions'!$C$22,IF(3-'Schedule_Inputs'!$B$14=2,'Assumptions'!$D$22,IF(3-'Schedule_Inputs'!$B$14=3,'Assumptions'!$B$23,0)))),IF('Schedule_Inputs'!$C$14="Office Setup",$C14*IF(3-'Schedule_Inputs'!$B$14=0,'Assumptions'!$B$24,IF(3-'Schedule_Inputs'!$B$14=1,'Assumptions'!$C$24,IF(3-'Schedule_Inputs'!$B$14=2,'Assumptions'!$D$24,0))),IF(OR('Schedule_Inputs'!$C$14="Monthly",'Schedule_Inputs'!$C$14="Periodic"),IF(AND(3&gt;='Schedule_Inputs'!$B$14,MOD(3-'Schedule_Inputs'!$B$14,'Schedule_Inputs'!$E$14)=0,(3-'Schedule_Inputs'!$B$14)/'Schedule_Inputs'!$E$14&lt;'Schedule_Inputs'!$D$14),$C14/'Schedule_Inputs'!$D$14,0),0))))</f>
        <v/>
      </c>
      <c r="H14" s="231">
        <f>IF('Schedule_Inputs'!$C$14="Blueprint",$C14*IF(4-'Schedule_Inputs'!$B$14=0,'Assumptions'!$B$21,IF(4-'Schedule_Inputs'!$B$14=1,'Assumptions'!$C$21,IF(4-'Schedule_Inputs'!$B$14=2,'Assumptions'!$D$21,0))),IF('Schedule_Inputs'!$C$14="Launch",$C14*IF(4-'Schedule_Inputs'!$B$14=0,'Assumptions'!$B$22,IF(4-'Schedule_Inputs'!$B$14=1,'Assumptions'!$C$22,IF(4-'Schedule_Inputs'!$B$14=2,'Assumptions'!$D$22,IF(4-'Schedule_Inputs'!$B$14=3,'Assumptions'!$B$23,0)))),IF('Schedule_Inputs'!$C$14="Office Setup",$C14*IF(4-'Schedule_Inputs'!$B$14=0,'Assumptions'!$B$24,IF(4-'Schedule_Inputs'!$B$14=1,'Assumptions'!$C$24,IF(4-'Schedule_Inputs'!$B$14=2,'Assumptions'!$D$24,0))),IF(OR('Schedule_Inputs'!$C$14="Monthly",'Schedule_Inputs'!$C$14="Periodic"),IF(AND(4&gt;='Schedule_Inputs'!$B$14,MOD(4-'Schedule_Inputs'!$B$14,'Schedule_Inputs'!$E$14)=0,(4-'Schedule_Inputs'!$B$14)/'Schedule_Inputs'!$E$14&lt;'Schedule_Inputs'!$D$14),$C14/'Schedule_Inputs'!$D$14,0),0))))</f>
        <v/>
      </c>
      <c r="I14" s="231">
        <f>IF('Schedule_Inputs'!$C$14="Blueprint",$C14*IF(5-'Schedule_Inputs'!$B$14=0,'Assumptions'!$B$21,IF(5-'Schedule_Inputs'!$B$14=1,'Assumptions'!$C$21,IF(5-'Schedule_Inputs'!$B$14=2,'Assumptions'!$D$21,0))),IF('Schedule_Inputs'!$C$14="Launch",$C14*IF(5-'Schedule_Inputs'!$B$14=0,'Assumptions'!$B$22,IF(5-'Schedule_Inputs'!$B$14=1,'Assumptions'!$C$22,IF(5-'Schedule_Inputs'!$B$14=2,'Assumptions'!$D$22,IF(5-'Schedule_Inputs'!$B$14=3,'Assumptions'!$B$23,0)))),IF('Schedule_Inputs'!$C$14="Office Setup",$C14*IF(5-'Schedule_Inputs'!$B$14=0,'Assumptions'!$B$24,IF(5-'Schedule_Inputs'!$B$14=1,'Assumptions'!$C$24,IF(5-'Schedule_Inputs'!$B$14=2,'Assumptions'!$D$24,0))),IF(OR('Schedule_Inputs'!$C$14="Monthly",'Schedule_Inputs'!$C$14="Periodic"),IF(AND(5&gt;='Schedule_Inputs'!$B$14,MOD(5-'Schedule_Inputs'!$B$14,'Schedule_Inputs'!$E$14)=0,(5-'Schedule_Inputs'!$B$14)/'Schedule_Inputs'!$E$14&lt;'Schedule_Inputs'!$D$14),$C14/'Schedule_Inputs'!$D$14,0),0))))</f>
        <v/>
      </c>
      <c r="J14" s="231">
        <f>IF('Schedule_Inputs'!$C$14="Blueprint",$C14*IF(6-'Schedule_Inputs'!$B$14=0,'Assumptions'!$B$21,IF(6-'Schedule_Inputs'!$B$14=1,'Assumptions'!$C$21,IF(6-'Schedule_Inputs'!$B$14=2,'Assumptions'!$D$21,0))),IF('Schedule_Inputs'!$C$14="Launch",$C14*IF(6-'Schedule_Inputs'!$B$14=0,'Assumptions'!$B$22,IF(6-'Schedule_Inputs'!$B$14=1,'Assumptions'!$C$22,IF(6-'Schedule_Inputs'!$B$14=2,'Assumptions'!$D$22,IF(6-'Schedule_Inputs'!$B$14=3,'Assumptions'!$B$23,0)))),IF('Schedule_Inputs'!$C$14="Office Setup",$C14*IF(6-'Schedule_Inputs'!$B$14=0,'Assumptions'!$B$24,IF(6-'Schedule_Inputs'!$B$14=1,'Assumptions'!$C$24,IF(6-'Schedule_Inputs'!$B$14=2,'Assumptions'!$D$24,0))),IF(OR('Schedule_Inputs'!$C$14="Monthly",'Schedule_Inputs'!$C$14="Periodic"),IF(AND(6&gt;='Schedule_Inputs'!$B$14,MOD(6-'Schedule_Inputs'!$B$14,'Schedule_Inputs'!$E$14)=0,(6-'Schedule_Inputs'!$B$14)/'Schedule_Inputs'!$E$14&lt;'Schedule_Inputs'!$D$14),$C14/'Schedule_Inputs'!$D$14,0),0))))</f>
        <v/>
      </c>
      <c r="K14" s="231">
        <f>IF('Schedule_Inputs'!$C$14="Blueprint",$C14*IF(7-'Schedule_Inputs'!$B$14=0,'Assumptions'!$B$21,IF(7-'Schedule_Inputs'!$B$14=1,'Assumptions'!$C$21,IF(7-'Schedule_Inputs'!$B$14=2,'Assumptions'!$D$21,0))),IF('Schedule_Inputs'!$C$14="Launch",$C14*IF(7-'Schedule_Inputs'!$B$14=0,'Assumptions'!$B$22,IF(7-'Schedule_Inputs'!$B$14=1,'Assumptions'!$C$22,IF(7-'Schedule_Inputs'!$B$14=2,'Assumptions'!$D$22,IF(7-'Schedule_Inputs'!$B$14=3,'Assumptions'!$B$23,0)))),IF('Schedule_Inputs'!$C$14="Office Setup",$C14*IF(7-'Schedule_Inputs'!$B$14=0,'Assumptions'!$B$24,IF(7-'Schedule_Inputs'!$B$14=1,'Assumptions'!$C$24,IF(7-'Schedule_Inputs'!$B$14=2,'Assumptions'!$D$24,0))),IF(OR('Schedule_Inputs'!$C$14="Monthly",'Schedule_Inputs'!$C$14="Periodic"),IF(AND(7&gt;='Schedule_Inputs'!$B$14,MOD(7-'Schedule_Inputs'!$B$14,'Schedule_Inputs'!$E$14)=0,(7-'Schedule_Inputs'!$B$14)/'Schedule_Inputs'!$E$14&lt;'Schedule_Inputs'!$D$14),$C14/'Schedule_Inputs'!$D$14,0),0))))</f>
        <v/>
      </c>
      <c r="L14" s="231">
        <f>IF('Schedule_Inputs'!$C$14="Blueprint",$C14*IF(8-'Schedule_Inputs'!$B$14=0,'Assumptions'!$B$21,IF(8-'Schedule_Inputs'!$B$14=1,'Assumptions'!$C$21,IF(8-'Schedule_Inputs'!$B$14=2,'Assumptions'!$D$21,0))),IF('Schedule_Inputs'!$C$14="Launch",$C14*IF(8-'Schedule_Inputs'!$B$14=0,'Assumptions'!$B$22,IF(8-'Schedule_Inputs'!$B$14=1,'Assumptions'!$C$22,IF(8-'Schedule_Inputs'!$B$14=2,'Assumptions'!$D$22,IF(8-'Schedule_Inputs'!$B$14=3,'Assumptions'!$B$23,0)))),IF('Schedule_Inputs'!$C$14="Office Setup",$C14*IF(8-'Schedule_Inputs'!$B$14=0,'Assumptions'!$B$24,IF(8-'Schedule_Inputs'!$B$14=1,'Assumptions'!$C$24,IF(8-'Schedule_Inputs'!$B$14=2,'Assumptions'!$D$24,0))),IF(OR('Schedule_Inputs'!$C$14="Monthly",'Schedule_Inputs'!$C$14="Periodic"),IF(AND(8&gt;='Schedule_Inputs'!$B$14,MOD(8-'Schedule_Inputs'!$B$14,'Schedule_Inputs'!$E$14)=0,(8-'Schedule_Inputs'!$B$14)/'Schedule_Inputs'!$E$14&lt;'Schedule_Inputs'!$D$14),$C14/'Schedule_Inputs'!$D$14,0),0))))</f>
        <v/>
      </c>
      <c r="M14" s="231">
        <f>IF('Schedule_Inputs'!$C$14="Blueprint",$C14*IF(9-'Schedule_Inputs'!$B$14=0,'Assumptions'!$B$21,IF(9-'Schedule_Inputs'!$B$14=1,'Assumptions'!$C$21,IF(9-'Schedule_Inputs'!$B$14=2,'Assumptions'!$D$21,0))),IF('Schedule_Inputs'!$C$14="Launch",$C14*IF(9-'Schedule_Inputs'!$B$14=0,'Assumptions'!$B$22,IF(9-'Schedule_Inputs'!$B$14=1,'Assumptions'!$C$22,IF(9-'Schedule_Inputs'!$B$14=2,'Assumptions'!$D$22,IF(9-'Schedule_Inputs'!$B$14=3,'Assumptions'!$B$23,0)))),IF('Schedule_Inputs'!$C$14="Office Setup",$C14*IF(9-'Schedule_Inputs'!$B$14=0,'Assumptions'!$B$24,IF(9-'Schedule_Inputs'!$B$14=1,'Assumptions'!$C$24,IF(9-'Schedule_Inputs'!$B$14=2,'Assumptions'!$D$24,0))),IF(OR('Schedule_Inputs'!$C$14="Monthly",'Schedule_Inputs'!$C$14="Periodic"),IF(AND(9&gt;='Schedule_Inputs'!$B$14,MOD(9-'Schedule_Inputs'!$B$14,'Schedule_Inputs'!$E$14)=0,(9-'Schedule_Inputs'!$B$14)/'Schedule_Inputs'!$E$14&lt;'Schedule_Inputs'!$D$14),$C14/'Schedule_Inputs'!$D$14,0),0))))</f>
        <v/>
      </c>
      <c r="N14" s="231">
        <f>IF('Schedule_Inputs'!$C$14="Blueprint",$C14*IF(10-'Schedule_Inputs'!$B$14=0,'Assumptions'!$B$21,IF(10-'Schedule_Inputs'!$B$14=1,'Assumptions'!$C$21,IF(10-'Schedule_Inputs'!$B$14=2,'Assumptions'!$D$21,0))),IF('Schedule_Inputs'!$C$14="Launch",$C14*IF(10-'Schedule_Inputs'!$B$14=0,'Assumptions'!$B$22,IF(10-'Schedule_Inputs'!$B$14=1,'Assumptions'!$C$22,IF(10-'Schedule_Inputs'!$B$14=2,'Assumptions'!$D$22,IF(10-'Schedule_Inputs'!$B$14=3,'Assumptions'!$B$23,0)))),IF('Schedule_Inputs'!$C$14="Office Setup",$C14*IF(10-'Schedule_Inputs'!$B$14=0,'Assumptions'!$B$24,IF(10-'Schedule_Inputs'!$B$14=1,'Assumptions'!$C$24,IF(10-'Schedule_Inputs'!$B$14=2,'Assumptions'!$D$24,0))),IF(OR('Schedule_Inputs'!$C$14="Monthly",'Schedule_Inputs'!$C$14="Periodic"),IF(AND(10&gt;='Schedule_Inputs'!$B$14,MOD(10-'Schedule_Inputs'!$B$14,'Schedule_Inputs'!$E$14)=0,(10-'Schedule_Inputs'!$B$14)/'Schedule_Inputs'!$E$14&lt;'Schedule_Inputs'!$D$14),$C14/'Schedule_Inputs'!$D$14,0),0))))</f>
        <v/>
      </c>
      <c r="O14" s="231">
        <f>IF('Schedule_Inputs'!$C$14="Blueprint",$C14*IF(11-'Schedule_Inputs'!$B$14=0,'Assumptions'!$B$21,IF(11-'Schedule_Inputs'!$B$14=1,'Assumptions'!$C$21,IF(11-'Schedule_Inputs'!$B$14=2,'Assumptions'!$D$21,0))),IF('Schedule_Inputs'!$C$14="Launch",$C14*IF(11-'Schedule_Inputs'!$B$14=0,'Assumptions'!$B$22,IF(11-'Schedule_Inputs'!$B$14=1,'Assumptions'!$C$22,IF(11-'Schedule_Inputs'!$B$14=2,'Assumptions'!$D$22,IF(11-'Schedule_Inputs'!$B$14=3,'Assumptions'!$B$23,0)))),IF('Schedule_Inputs'!$C$14="Office Setup",$C14*IF(11-'Schedule_Inputs'!$B$14=0,'Assumptions'!$B$24,IF(11-'Schedule_Inputs'!$B$14=1,'Assumptions'!$C$24,IF(11-'Schedule_Inputs'!$B$14=2,'Assumptions'!$D$24,0))),IF(OR('Schedule_Inputs'!$C$14="Monthly",'Schedule_Inputs'!$C$14="Periodic"),IF(AND(11&gt;='Schedule_Inputs'!$B$14,MOD(11-'Schedule_Inputs'!$B$14,'Schedule_Inputs'!$E$14)=0,(11-'Schedule_Inputs'!$B$14)/'Schedule_Inputs'!$E$14&lt;'Schedule_Inputs'!$D$14),$C14/'Schedule_Inputs'!$D$14,0),0))))</f>
        <v/>
      </c>
      <c r="P14" s="231">
        <f>IF('Schedule_Inputs'!$C$14="Blueprint",$C14*IF(12-'Schedule_Inputs'!$B$14=0,'Assumptions'!$B$21,IF(12-'Schedule_Inputs'!$B$14=1,'Assumptions'!$C$21,IF(12-'Schedule_Inputs'!$B$14=2,'Assumptions'!$D$21,0))),IF('Schedule_Inputs'!$C$14="Launch",$C14*IF(12-'Schedule_Inputs'!$B$14=0,'Assumptions'!$B$22,IF(12-'Schedule_Inputs'!$B$14=1,'Assumptions'!$C$22,IF(12-'Schedule_Inputs'!$B$14=2,'Assumptions'!$D$22,IF(12-'Schedule_Inputs'!$B$14=3,'Assumptions'!$B$23,0)))),IF('Schedule_Inputs'!$C$14="Office Setup",$C14*IF(12-'Schedule_Inputs'!$B$14=0,'Assumptions'!$B$24,IF(12-'Schedule_Inputs'!$B$14=1,'Assumptions'!$C$24,IF(12-'Schedule_Inputs'!$B$14=2,'Assumptions'!$D$24,0))),IF(OR('Schedule_Inputs'!$C$14="Monthly",'Schedule_Inputs'!$C$14="Periodic"),IF(AND(12&gt;='Schedule_Inputs'!$B$14,MOD(12-'Schedule_Inputs'!$B$14,'Schedule_Inputs'!$E$14)=0,(12-'Schedule_Inputs'!$B$14)/'Schedule_Inputs'!$E$14&lt;'Schedule_Inputs'!$D$14),$C14/'Schedule_Inputs'!$D$14,0),0))))</f>
        <v/>
      </c>
      <c r="Q14" s="231">
        <f>IF('Schedule_Inputs'!$C$14="Blueprint",$C14*IF(13-'Schedule_Inputs'!$B$14=0,'Assumptions'!$B$21,IF(13-'Schedule_Inputs'!$B$14=1,'Assumptions'!$C$21,IF(13-'Schedule_Inputs'!$B$14=2,'Assumptions'!$D$21,0))),IF('Schedule_Inputs'!$C$14="Launch",$C14*IF(13-'Schedule_Inputs'!$B$14=0,'Assumptions'!$B$22,IF(13-'Schedule_Inputs'!$B$14=1,'Assumptions'!$C$22,IF(13-'Schedule_Inputs'!$B$14=2,'Assumptions'!$D$22,IF(13-'Schedule_Inputs'!$B$14=3,'Assumptions'!$B$23,0)))),IF('Schedule_Inputs'!$C$14="Office Setup",$C14*IF(13-'Schedule_Inputs'!$B$14=0,'Assumptions'!$B$24,IF(13-'Schedule_Inputs'!$B$14=1,'Assumptions'!$C$24,IF(13-'Schedule_Inputs'!$B$14=2,'Assumptions'!$D$24,0))),IF(OR('Schedule_Inputs'!$C$14="Monthly",'Schedule_Inputs'!$C$14="Periodic"),IF(AND(13&gt;='Schedule_Inputs'!$B$14,MOD(13-'Schedule_Inputs'!$B$14,'Schedule_Inputs'!$E$14)=0,(13-'Schedule_Inputs'!$B$14)/'Schedule_Inputs'!$E$14&lt;'Schedule_Inputs'!$D$14),$C14/'Schedule_Inputs'!$D$14,0),0))))</f>
        <v/>
      </c>
      <c r="R14" s="231">
        <f>IF('Schedule_Inputs'!$C$14="Blueprint",$C14*IF(14-'Schedule_Inputs'!$B$14=0,'Assumptions'!$B$21,IF(14-'Schedule_Inputs'!$B$14=1,'Assumptions'!$C$21,IF(14-'Schedule_Inputs'!$B$14=2,'Assumptions'!$D$21,0))),IF('Schedule_Inputs'!$C$14="Launch",$C14*IF(14-'Schedule_Inputs'!$B$14=0,'Assumptions'!$B$22,IF(14-'Schedule_Inputs'!$B$14=1,'Assumptions'!$C$22,IF(14-'Schedule_Inputs'!$B$14=2,'Assumptions'!$D$22,IF(14-'Schedule_Inputs'!$B$14=3,'Assumptions'!$B$23,0)))),IF('Schedule_Inputs'!$C$14="Office Setup",$C14*IF(14-'Schedule_Inputs'!$B$14=0,'Assumptions'!$B$24,IF(14-'Schedule_Inputs'!$B$14=1,'Assumptions'!$C$24,IF(14-'Schedule_Inputs'!$B$14=2,'Assumptions'!$D$24,0))),IF(OR('Schedule_Inputs'!$C$14="Monthly",'Schedule_Inputs'!$C$14="Periodic"),IF(AND(14&gt;='Schedule_Inputs'!$B$14,MOD(14-'Schedule_Inputs'!$B$14,'Schedule_Inputs'!$E$14)=0,(14-'Schedule_Inputs'!$B$14)/'Schedule_Inputs'!$E$14&lt;'Schedule_Inputs'!$D$14),$C14/'Schedule_Inputs'!$D$14,0),0))))</f>
        <v/>
      </c>
      <c r="S14" s="231">
        <f>IF('Schedule_Inputs'!$C$14="Blueprint",$C14*IF(15-'Schedule_Inputs'!$B$14=0,'Assumptions'!$B$21,IF(15-'Schedule_Inputs'!$B$14=1,'Assumptions'!$C$21,IF(15-'Schedule_Inputs'!$B$14=2,'Assumptions'!$D$21,0))),IF('Schedule_Inputs'!$C$14="Launch",$C14*IF(15-'Schedule_Inputs'!$B$14=0,'Assumptions'!$B$22,IF(15-'Schedule_Inputs'!$B$14=1,'Assumptions'!$C$22,IF(15-'Schedule_Inputs'!$B$14=2,'Assumptions'!$D$22,IF(15-'Schedule_Inputs'!$B$14=3,'Assumptions'!$B$23,0)))),IF('Schedule_Inputs'!$C$14="Office Setup",$C14*IF(15-'Schedule_Inputs'!$B$14=0,'Assumptions'!$B$24,IF(15-'Schedule_Inputs'!$B$14=1,'Assumptions'!$C$24,IF(15-'Schedule_Inputs'!$B$14=2,'Assumptions'!$D$24,0))),IF(OR('Schedule_Inputs'!$C$14="Monthly",'Schedule_Inputs'!$C$14="Periodic"),IF(AND(15&gt;='Schedule_Inputs'!$B$14,MOD(15-'Schedule_Inputs'!$B$14,'Schedule_Inputs'!$E$14)=0,(15-'Schedule_Inputs'!$B$14)/'Schedule_Inputs'!$E$14&lt;'Schedule_Inputs'!$D$14),$C14/'Schedule_Inputs'!$D$14,0),0))))</f>
        <v/>
      </c>
      <c r="T14" s="231">
        <f>IF('Schedule_Inputs'!$C$14="Blueprint",$C14*IF(16-'Schedule_Inputs'!$B$14=0,'Assumptions'!$B$21,IF(16-'Schedule_Inputs'!$B$14=1,'Assumptions'!$C$21,IF(16-'Schedule_Inputs'!$B$14=2,'Assumptions'!$D$21,0))),IF('Schedule_Inputs'!$C$14="Launch",$C14*IF(16-'Schedule_Inputs'!$B$14=0,'Assumptions'!$B$22,IF(16-'Schedule_Inputs'!$B$14=1,'Assumptions'!$C$22,IF(16-'Schedule_Inputs'!$B$14=2,'Assumptions'!$D$22,IF(16-'Schedule_Inputs'!$B$14=3,'Assumptions'!$B$23,0)))),IF('Schedule_Inputs'!$C$14="Office Setup",$C14*IF(16-'Schedule_Inputs'!$B$14=0,'Assumptions'!$B$24,IF(16-'Schedule_Inputs'!$B$14=1,'Assumptions'!$C$24,IF(16-'Schedule_Inputs'!$B$14=2,'Assumptions'!$D$24,0))),IF(OR('Schedule_Inputs'!$C$14="Monthly",'Schedule_Inputs'!$C$14="Periodic"),IF(AND(16&gt;='Schedule_Inputs'!$B$14,MOD(16-'Schedule_Inputs'!$B$14,'Schedule_Inputs'!$E$14)=0,(16-'Schedule_Inputs'!$B$14)/'Schedule_Inputs'!$E$14&lt;'Schedule_Inputs'!$D$14),$C14/'Schedule_Inputs'!$D$14,0),0))))</f>
        <v/>
      </c>
      <c r="U14" s="231">
        <f>IF('Schedule_Inputs'!$C$14="Blueprint",$C14*IF(17-'Schedule_Inputs'!$B$14=0,'Assumptions'!$B$21,IF(17-'Schedule_Inputs'!$B$14=1,'Assumptions'!$C$21,IF(17-'Schedule_Inputs'!$B$14=2,'Assumptions'!$D$21,0))),IF('Schedule_Inputs'!$C$14="Launch",$C14*IF(17-'Schedule_Inputs'!$B$14=0,'Assumptions'!$B$22,IF(17-'Schedule_Inputs'!$B$14=1,'Assumptions'!$C$22,IF(17-'Schedule_Inputs'!$B$14=2,'Assumptions'!$D$22,IF(17-'Schedule_Inputs'!$B$14=3,'Assumptions'!$B$23,0)))),IF('Schedule_Inputs'!$C$14="Office Setup",$C14*IF(17-'Schedule_Inputs'!$B$14=0,'Assumptions'!$B$24,IF(17-'Schedule_Inputs'!$B$14=1,'Assumptions'!$C$24,IF(17-'Schedule_Inputs'!$B$14=2,'Assumptions'!$D$24,0))),IF(OR('Schedule_Inputs'!$C$14="Monthly",'Schedule_Inputs'!$C$14="Periodic"),IF(AND(17&gt;='Schedule_Inputs'!$B$14,MOD(17-'Schedule_Inputs'!$B$14,'Schedule_Inputs'!$E$14)=0,(17-'Schedule_Inputs'!$B$14)/'Schedule_Inputs'!$E$14&lt;'Schedule_Inputs'!$D$14),$C14/'Schedule_Inputs'!$D$14,0),0))))</f>
        <v/>
      </c>
      <c r="V14" s="231">
        <f>IF('Schedule_Inputs'!$C$14="Blueprint",$C14*IF(18-'Schedule_Inputs'!$B$14=0,'Assumptions'!$B$21,IF(18-'Schedule_Inputs'!$B$14=1,'Assumptions'!$C$21,IF(18-'Schedule_Inputs'!$B$14=2,'Assumptions'!$D$21,0))),IF('Schedule_Inputs'!$C$14="Launch",$C14*IF(18-'Schedule_Inputs'!$B$14=0,'Assumptions'!$B$22,IF(18-'Schedule_Inputs'!$B$14=1,'Assumptions'!$C$22,IF(18-'Schedule_Inputs'!$B$14=2,'Assumptions'!$D$22,IF(18-'Schedule_Inputs'!$B$14=3,'Assumptions'!$B$23,0)))),IF('Schedule_Inputs'!$C$14="Office Setup",$C14*IF(18-'Schedule_Inputs'!$B$14=0,'Assumptions'!$B$24,IF(18-'Schedule_Inputs'!$B$14=1,'Assumptions'!$C$24,IF(18-'Schedule_Inputs'!$B$14=2,'Assumptions'!$D$24,0))),IF(OR('Schedule_Inputs'!$C$14="Monthly",'Schedule_Inputs'!$C$14="Periodic"),IF(AND(18&gt;='Schedule_Inputs'!$B$14,MOD(18-'Schedule_Inputs'!$B$14,'Schedule_Inputs'!$E$14)=0,(18-'Schedule_Inputs'!$B$14)/'Schedule_Inputs'!$E$14&lt;'Schedule_Inputs'!$D$14),$C14/'Schedule_Inputs'!$D$14,0),0))))</f>
        <v/>
      </c>
      <c r="W14" s="231">
        <f>IF('Schedule_Inputs'!$C$14="Blueprint",$C14*IF(19-'Schedule_Inputs'!$B$14=0,'Assumptions'!$B$21,IF(19-'Schedule_Inputs'!$B$14=1,'Assumptions'!$C$21,IF(19-'Schedule_Inputs'!$B$14=2,'Assumptions'!$D$21,0))),IF('Schedule_Inputs'!$C$14="Launch",$C14*IF(19-'Schedule_Inputs'!$B$14=0,'Assumptions'!$B$22,IF(19-'Schedule_Inputs'!$B$14=1,'Assumptions'!$C$22,IF(19-'Schedule_Inputs'!$B$14=2,'Assumptions'!$D$22,IF(19-'Schedule_Inputs'!$B$14=3,'Assumptions'!$B$23,0)))),IF('Schedule_Inputs'!$C$14="Office Setup",$C14*IF(19-'Schedule_Inputs'!$B$14=0,'Assumptions'!$B$24,IF(19-'Schedule_Inputs'!$B$14=1,'Assumptions'!$C$24,IF(19-'Schedule_Inputs'!$B$14=2,'Assumptions'!$D$24,0))),IF(OR('Schedule_Inputs'!$C$14="Monthly",'Schedule_Inputs'!$C$14="Periodic"),IF(AND(19&gt;='Schedule_Inputs'!$B$14,MOD(19-'Schedule_Inputs'!$B$14,'Schedule_Inputs'!$E$14)=0,(19-'Schedule_Inputs'!$B$14)/'Schedule_Inputs'!$E$14&lt;'Schedule_Inputs'!$D$14),$C14/'Schedule_Inputs'!$D$14,0),0))))</f>
        <v/>
      </c>
      <c r="X14" s="231">
        <f>IF('Schedule_Inputs'!$C$14="Blueprint",$C14*IF(20-'Schedule_Inputs'!$B$14=0,'Assumptions'!$B$21,IF(20-'Schedule_Inputs'!$B$14=1,'Assumptions'!$C$21,IF(20-'Schedule_Inputs'!$B$14=2,'Assumptions'!$D$21,0))),IF('Schedule_Inputs'!$C$14="Launch",$C14*IF(20-'Schedule_Inputs'!$B$14=0,'Assumptions'!$B$22,IF(20-'Schedule_Inputs'!$B$14=1,'Assumptions'!$C$22,IF(20-'Schedule_Inputs'!$B$14=2,'Assumptions'!$D$22,IF(20-'Schedule_Inputs'!$B$14=3,'Assumptions'!$B$23,0)))),IF('Schedule_Inputs'!$C$14="Office Setup",$C14*IF(20-'Schedule_Inputs'!$B$14=0,'Assumptions'!$B$24,IF(20-'Schedule_Inputs'!$B$14=1,'Assumptions'!$C$24,IF(20-'Schedule_Inputs'!$B$14=2,'Assumptions'!$D$24,0))),IF(OR('Schedule_Inputs'!$C$14="Monthly",'Schedule_Inputs'!$C$14="Periodic"),IF(AND(20&gt;='Schedule_Inputs'!$B$14,MOD(20-'Schedule_Inputs'!$B$14,'Schedule_Inputs'!$E$14)=0,(20-'Schedule_Inputs'!$B$14)/'Schedule_Inputs'!$E$14&lt;'Schedule_Inputs'!$D$14),$C14/'Schedule_Inputs'!$D$14,0),0))))</f>
        <v/>
      </c>
      <c r="Y14" s="231">
        <f>IF('Schedule_Inputs'!$C$14="Blueprint",$C14*IF(21-'Schedule_Inputs'!$B$14=0,'Assumptions'!$B$21,IF(21-'Schedule_Inputs'!$B$14=1,'Assumptions'!$C$21,IF(21-'Schedule_Inputs'!$B$14=2,'Assumptions'!$D$21,0))),IF('Schedule_Inputs'!$C$14="Launch",$C14*IF(21-'Schedule_Inputs'!$B$14=0,'Assumptions'!$B$22,IF(21-'Schedule_Inputs'!$B$14=1,'Assumptions'!$C$22,IF(21-'Schedule_Inputs'!$B$14=2,'Assumptions'!$D$22,IF(21-'Schedule_Inputs'!$B$14=3,'Assumptions'!$B$23,0)))),IF('Schedule_Inputs'!$C$14="Office Setup",$C14*IF(21-'Schedule_Inputs'!$B$14=0,'Assumptions'!$B$24,IF(21-'Schedule_Inputs'!$B$14=1,'Assumptions'!$C$24,IF(21-'Schedule_Inputs'!$B$14=2,'Assumptions'!$D$24,0))),IF(OR('Schedule_Inputs'!$C$14="Monthly",'Schedule_Inputs'!$C$14="Periodic"),IF(AND(21&gt;='Schedule_Inputs'!$B$14,MOD(21-'Schedule_Inputs'!$B$14,'Schedule_Inputs'!$E$14)=0,(21-'Schedule_Inputs'!$B$14)/'Schedule_Inputs'!$E$14&lt;'Schedule_Inputs'!$D$14),$C14/'Schedule_Inputs'!$D$14,0),0))))</f>
        <v/>
      </c>
      <c r="Z14" s="231">
        <f>IF('Schedule_Inputs'!$C$14="Blueprint",$C14*IF(22-'Schedule_Inputs'!$B$14=0,'Assumptions'!$B$21,IF(22-'Schedule_Inputs'!$B$14=1,'Assumptions'!$C$21,IF(22-'Schedule_Inputs'!$B$14=2,'Assumptions'!$D$21,0))),IF('Schedule_Inputs'!$C$14="Launch",$C14*IF(22-'Schedule_Inputs'!$B$14=0,'Assumptions'!$B$22,IF(22-'Schedule_Inputs'!$B$14=1,'Assumptions'!$C$22,IF(22-'Schedule_Inputs'!$B$14=2,'Assumptions'!$D$22,IF(22-'Schedule_Inputs'!$B$14=3,'Assumptions'!$B$23,0)))),IF('Schedule_Inputs'!$C$14="Office Setup",$C14*IF(22-'Schedule_Inputs'!$B$14=0,'Assumptions'!$B$24,IF(22-'Schedule_Inputs'!$B$14=1,'Assumptions'!$C$24,IF(22-'Schedule_Inputs'!$B$14=2,'Assumptions'!$D$24,0))),IF(OR('Schedule_Inputs'!$C$14="Monthly",'Schedule_Inputs'!$C$14="Periodic"),IF(AND(22&gt;='Schedule_Inputs'!$B$14,MOD(22-'Schedule_Inputs'!$B$14,'Schedule_Inputs'!$E$14)=0,(22-'Schedule_Inputs'!$B$14)/'Schedule_Inputs'!$E$14&lt;'Schedule_Inputs'!$D$14),$C14/'Schedule_Inputs'!$D$14,0),0))))</f>
        <v/>
      </c>
      <c r="AA14" s="231">
        <f>IF('Schedule_Inputs'!$C$14="Blueprint",$C14*IF(23-'Schedule_Inputs'!$B$14=0,'Assumptions'!$B$21,IF(23-'Schedule_Inputs'!$B$14=1,'Assumptions'!$C$21,IF(23-'Schedule_Inputs'!$B$14=2,'Assumptions'!$D$21,0))),IF('Schedule_Inputs'!$C$14="Launch",$C14*IF(23-'Schedule_Inputs'!$B$14=0,'Assumptions'!$B$22,IF(23-'Schedule_Inputs'!$B$14=1,'Assumptions'!$C$22,IF(23-'Schedule_Inputs'!$B$14=2,'Assumptions'!$D$22,IF(23-'Schedule_Inputs'!$B$14=3,'Assumptions'!$B$23,0)))),IF('Schedule_Inputs'!$C$14="Office Setup",$C14*IF(23-'Schedule_Inputs'!$B$14=0,'Assumptions'!$B$24,IF(23-'Schedule_Inputs'!$B$14=1,'Assumptions'!$C$24,IF(23-'Schedule_Inputs'!$B$14=2,'Assumptions'!$D$24,0))),IF(OR('Schedule_Inputs'!$C$14="Monthly",'Schedule_Inputs'!$C$14="Periodic"),IF(AND(23&gt;='Schedule_Inputs'!$B$14,MOD(23-'Schedule_Inputs'!$B$14,'Schedule_Inputs'!$E$14)=0,(23-'Schedule_Inputs'!$B$14)/'Schedule_Inputs'!$E$14&lt;'Schedule_Inputs'!$D$14),$C14/'Schedule_Inputs'!$D$14,0),0))))</f>
        <v/>
      </c>
      <c r="AB14" s="231">
        <f>IF('Schedule_Inputs'!$C$14="Blueprint",$C14*IF(24-'Schedule_Inputs'!$B$14=0,'Assumptions'!$B$21,IF(24-'Schedule_Inputs'!$B$14=1,'Assumptions'!$C$21,IF(24-'Schedule_Inputs'!$B$14=2,'Assumptions'!$D$21,0))),IF('Schedule_Inputs'!$C$14="Launch",$C14*IF(24-'Schedule_Inputs'!$B$14=0,'Assumptions'!$B$22,IF(24-'Schedule_Inputs'!$B$14=1,'Assumptions'!$C$22,IF(24-'Schedule_Inputs'!$B$14=2,'Assumptions'!$D$22,IF(24-'Schedule_Inputs'!$B$14=3,'Assumptions'!$B$23,0)))),IF('Schedule_Inputs'!$C$14="Office Setup",$C14*IF(24-'Schedule_Inputs'!$B$14=0,'Assumptions'!$B$24,IF(24-'Schedule_Inputs'!$B$14=1,'Assumptions'!$C$24,IF(24-'Schedule_Inputs'!$B$14=2,'Assumptions'!$D$24,0))),IF(OR('Schedule_Inputs'!$C$14="Monthly",'Schedule_Inputs'!$C$14="Periodic"),IF(AND(24&gt;='Schedule_Inputs'!$B$14,MOD(24-'Schedule_Inputs'!$B$14,'Schedule_Inputs'!$E$14)=0,(24-'Schedule_Inputs'!$B$14)/'Schedule_Inputs'!$E$14&lt;'Schedule_Inputs'!$D$14),$C14/'Schedule_Inputs'!$D$14,0),0))))</f>
        <v/>
      </c>
      <c r="AC14" s="231">
        <f>IF('Schedule_Inputs'!$C$14="Blueprint",$C14*IF(25-'Schedule_Inputs'!$B$14=0,'Assumptions'!$B$21,IF(25-'Schedule_Inputs'!$B$14=1,'Assumptions'!$C$21,IF(25-'Schedule_Inputs'!$B$14=2,'Assumptions'!$D$21,0))),IF('Schedule_Inputs'!$C$14="Launch",$C14*IF(25-'Schedule_Inputs'!$B$14=0,'Assumptions'!$B$22,IF(25-'Schedule_Inputs'!$B$14=1,'Assumptions'!$C$22,IF(25-'Schedule_Inputs'!$B$14=2,'Assumptions'!$D$22,IF(25-'Schedule_Inputs'!$B$14=3,'Assumptions'!$B$23,0)))),IF('Schedule_Inputs'!$C$14="Office Setup",$C14*IF(25-'Schedule_Inputs'!$B$14=0,'Assumptions'!$B$24,IF(25-'Schedule_Inputs'!$B$14=1,'Assumptions'!$C$24,IF(25-'Schedule_Inputs'!$B$14=2,'Assumptions'!$D$24,0))),IF(OR('Schedule_Inputs'!$C$14="Monthly",'Schedule_Inputs'!$C$14="Periodic"),IF(AND(25&gt;='Schedule_Inputs'!$B$14,MOD(25-'Schedule_Inputs'!$B$14,'Schedule_Inputs'!$E$14)=0,(25-'Schedule_Inputs'!$B$14)/'Schedule_Inputs'!$E$14&lt;'Schedule_Inputs'!$D$14),$C14/'Schedule_Inputs'!$D$14,0),0))))</f>
        <v/>
      </c>
      <c r="AD14" s="231">
        <f>IF('Schedule_Inputs'!$C$14="Blueprint",$C14*IF(26-'Schedule_Inputs'!$B$14=0,'Assumptions'!$B$21,IF(26-'Schedule_Inputs'!$B$14=1,'Assumptions'!$C$21,IF(26-'Schedule_Inputs'!$B$14=2,'Assumptions'!$D$21,0))),IF('Schedule_Inputs'!$C$14="Launch",$C14*IF(26-'Schedule_Inputs'!$B$14=0,'Assumptions'!$B$22,IF(26-'Schedule_Inputs'!$B$14=1,'Assumptions'!$C$22,IF(26-'Schedule_Inputs'!$B$14=2,'Assumptions'!$D$22,IF(26-'Schedule_Inputs'!$B$14=3,'Assumptions'!$B$23,0)))),IF('Schedule_Inputs'!$C$14="Office Setup",$C14*IF(26-'Schedule_Inputs'!$B$14=0,'Assumptions'!$B$24,IF(26-'Schedule_Inputs'!$B$14=1,'Assumptions'!$C$24,IF(26-'Schedule_Inputs'!$B$14=2,'Assumptions'!$D$24,0))),IF(OR('Schedule_Inputs'!$C$14="Monthly",'Schedule_Inputs'!$C$14="Periodic"),IF(AND(26&gt;='Schedule_Inputs'!$B$14,MOD(26-'Schedule_Inputs'!$B$14,'Schedule_Inputs'!$E$14)=0,(26-'Schedule_Inputs'!$B$14)/'Schedule_Inputs'!$E$14&lt;'Schedule_Inputs'!$D$14),$C14/'Schedule_Inputs'!$D$14,0),0))))</f>
        <v/>
      </c>
      <c r="AE14" s="231">
        <f>IF('Schedule_Inputs'!$C$14="Blueprint",$C14*IF(27-'Schedule_Inputs'!$B$14=0,'Assumptions'!$B$21,IF(27-'Schedule_Inputs'!$B$14=1,'Assumptions'!$C$21,IF(27-'Schedule_Inputs'!$B$14=2,'Assumptions'!$D$21,0))),IF('Schedule_Inputs'!$C$14="Launch",$C14*IF(27-'Schedule_Inputs'!$B$14=0,'Assumptions'!$B$22,IF(27-'Schedule_Inputs'!$B$14=1,'Assumptions'!$C$22,IF(27-'Schedule_Inputs'!$B$14=2,'Assumptions'!$D$22,IF(27-'Schedule_Inputs'!$B$14=3,'Assumptions'!$B$23,0)))),IF('Schedule_Inputs'!$C$14="Office Setup",$C14*IF(27-'Schedule_Inputs'!$B$14=0,'Assumptions'!$B$24,IF(27-'Schedule_Inputs'!$B$14=1,'Assumptions'!$C$24,IF(27-'Schedule_Inputs'!$B$14=2,'Assumptions'!$D$24,0))),IF(OR('Schedule_Inputs'!$C$14="Monthly",'Schedule_Inputs'!$C$14="Periodic"),IF(AND(27&gt;='Schedule_Inputs'!$B$14,MOD(27-'Schedule_Inputs'!$B$14,'Schedule_Inputs'!$E$14)=0,(27-'Schedule_Inputs'!$B$14)/'Schedule_Inputs'!$E$14&lt;'Schedule_Inputs'!$D$14),$C14/'Schedule_Inputs'!$D$14,0),0))))</f>
        <v/>
      </c>
      <c r="AF14" s="231">
        <f>IF('Schedule_Inputs'!$C$14="Blueprint",$C14*IF(28-'Schedule_Inputs'!$B$14=0,'Assumptions'!$B$21,IF(28-'Schedule_Inputs'!$B$14=1,'Assumptions'!$C$21,IF(28-'Schedule_Inputs'!$B$14=2,'Assumptions'!$D$21,0))),IF('Schedule_Inputs'!$C$14="Launch",$C14*IF(28-'Schedule_Inputs'!$B$14=0,'Assumptions'!$B$22,IF(28-'Schedule_Inputs'!$B$14=1,'Assumptions'!$C$22,IF(28-'Schedule_Inputs'!$B$14=2,'Assumptions'!$D$22,IF(28-'Schedule_Inputs'!$B$14=3,'Assumptions'!$B$23,0)))),IF('Schedule_Inputs'!$C$14="Office Setup",$C14*IF(28-'Schedule_Inputs'!$B$14=0,'Assumptions'!$B$24,IF(28-'Schedule_Inputs'!$B$14=1,'Assumptions'!$C$24,IF(28-'Schedule_Inputs'!$B$14=2,'Assumptions'!$D$24,0))),IF(OR('Schedule_Inputs'!$C$14="Monthly",'Schedule_Inputs'!$C$14="Periodic"),IF(AND(28&gt;='Schedule_Inputs'!$B$14,MOD(28-'Schedule_Inputs'!$B$14,'Schedule_Inputs'!$E$14)=0,(28-'Schedule_Inputs'!$B$14)/'Schedule_Inputs'!$E$14&lt;'Schedule_Inputs'!$D$14),$C14/'Schedule_Inputs'!$D$14,0),0))))</f>
        <v/>
      </c>
      <c r="AG14" s="231">
        <f>IF('Schedule_Inputs'!$C$14="Blueprint",$C14*IF(29-'Schedule_Inputs'!$B$14=0,'Assumptions'!$B$21,IF(29-'Schedule_Inputs'!$B$14=1,'Assumptions'!$C$21,IF(29-'Schedule_Inputs'!$B$14=2,'Assumptions'!$D$21,0))),IF('Schedule_Inputs'!$C$14="Launch",$C14*IF(29-'Schedule_Inputs'!$B$14=0,'Assumptions'!$B$22,IF(29-'Schedule_Inputs'!$B$14=1,'Assumptions'!$C$22,IF(29-'Schedule_Inputs'!$B$14=2,'Assumptions'!$D$22,IF(29-'Schedule_Inputs'!$B$14=3,'Assumptions'!$B$23,0)))),IF('Schedule_Inputs'!$C$14="Office Setup",$C14*IF(29-'Schedule_Inputs'!$B$14=0,'Assumptions'!$B$24,IF(29-'Schedule_Inputs'!$B$14=1,'Assumptions'!$C$24,IF(29-'Schedule_Inputs'!$B$14=2,'Assumptions'!$D$24,0))),IF(OR('Schedule_Inputs'!$C$14="Monthly",'Schedule_Inputs'!$C$14="Periodic"),IF(AND(29&gt;='Schedule_Inputs'!$B$14,MOD(29-'Schedule_Inputs'!$B$14,'Schedule_Inputs'!$E$14)=0,(29-'Schedule_Inputs'!$B$14)/'Schedule_Inputs'!$E$14&lt;'Schedule_Inputs'!$D$14),$C14/'Schedule_Inputs'!$D$14,0),0))))</f>
        <v/>
      </c>
      <c r="AH14" s="231">
        <f>IF('Schedule_Inputs'!$C$14="Blueprint",$C14*IF(30-'Schedule_Inputs'!$B$14=0,'Assumptions'!$B$21,IF(30-'Schedule_Inputs'!$B$14=1,'Assumptions'!$C$21,IF(30-'Schedule_Inputs'!$B$14=2,'Assumptions'!$D$21,0))),IF('Schedule_Inputs'!$C$14="Launch",$C14*IF(30-'Schedule_Inputs'!$B$14=0,'Assumptions'!$B$22,IF(30-'Schedule_Inputs'!$B$14=1,'Assumptions'!$C$22,IF(30-'Schedule_Inputs'!$B$14=2,'Assumptions'!$D$22,IF(30-'Schedule_Inputs'!$B$14=3,'Assumptions'!$B$23,0)))),IF('Schedule_Inputs'!$C$14="Office Setup",$C14*IF(30-'Schedule_Inputs'!$B$14=0,'Assumptions'!$B$24,IF(30-'Schedule_Inputs'!$B$14=1,'Assumptions'!$C$24,IF(30-'Schedule_Inputs'!$B$14=2,'Assumptions'!$D$24,0))),IF(OR('Schedule_Inputs'!$C$14="Monthly",'Schedule_Inputs'!$C$14="Periodic"),IF(AND(30&gt;='Schedule_Inputs'!$B$14,MOD(30-'Schedule_Inputs'!$B$14,'Schedule_Inputs'!$E$14)=0,(30-'Schedule_Inputs'!$B$14)/'Schedule_Inputs'!$E$14&lt;'Schedule_Inputs'!$D$14),$C14/'Schedule_Inputs'!$D$14,0),0))))</f>
        <v/>
      </c>
      <c r="AI14" s="231">
        <f>IF('Schedule_Inputs'!$C$14="Blueprint",$C14*IF(31-'Schedule_Inputs'!$B$14=0,'Assumptions'!$B$21,IF(31-'Schedule_Inputs'!$B$14=1,'Assumptions'!$C$21,IF(31-'Schedule_Inputs'!$B$14=2,'Assumptions'!$D$21,0))),IF('Schedule_Inputs'!$C$14="Launch",$C14*IF(31-'Schedule_Inputs'!$B$14=0,'Assumptions'!$B$22,IF(31-'Schedule_Inputs'!$B$14=1,'Assumptions'!$C$22,IF(31-'Schedule_Inputs'!$B$14=2,'Assumptions'!$D$22,IF(31-'Schedule_Inputs'!$B$14=3,'Assumptions'!$B$23,0)))),IF('Schedule_Inputs'!$C$14="Office Setup",$C14*IF(31-'Schedule_Inputs'!$B$14=0,'Assumptions'!$B$24,IF(31-'Schedule_Inputs'!$B$14=1,'Assumptions'!$C$24,IF(31-'Schedule_Inputs'!$B$14=2,'Assumptions'!$D$24,0))),IF(OR('Schedule_Inputs'!$C$14="Monthly",'Schedule_Inputs'!$C$14="Periodic"),IF(AND(31&gt;='Schedule_Inputs'!$B$14,MOD(31-'Schedule_Inputs'!$B$14,'Schedule_Inputs'!$E$14)=0,(31-'Schedule_Inputs'!$B$14)/'Schedule_Inputs'!$E$14&lt;'Schedule_Inputs'!$D$14),$C14/'Schedule_Inputs'!$D$14,0),0))))</f>
        <v/>
      </c>
      <c r="AJ14" s="231">
        <f>IF('Schedule_Inputs'!$C$14="Blueprint",$C14*IF(32-'Schedule_Inputs'!$B$14=0,'Assumptions'!$B$21,IF(32-'Schedule_Inputs'!$B$14=1,'Assumptions'!$C$21,IF(32-'Schedule_Inputs'!$B$14=2,'Assumptions'!$D$21,0))),IF('Schedule_Inputs'!$C$14="Launch",$C14*IF(32-'Schedule_Inputs'!$B$14=0,'Assumptions'!$B$22,IF(32-'Schedule_Inputs'!$B$14=1,'Assumptions'!$C$22,IF(32-'Schedule_Inputs'!$B$14=2,'Assumptions'!$D$22,IF(32-'Schedule_Inputs'!$B$14=3,'Assumptions'!$B$23,0)))),IF('Schedule_Inputs'!$C$14="Office Setup",$C14*IF(32-'Schedule_Inputs'!$B$14=0,'Assumptions'!$B$24,IF(32-'Schedule_Inputs'!$B$14=1,'Assumptions'!$C$24,IF(32-'Schedule_Inputs'!$B$14=2,'Assumptions'!$D$24,0))),IF(OR('Schedule_Inputs'!$C$14="Monthly",'Schedule_Inputs'!$C$14="Periodic"),IF(AND(32&gt;='Schedule_Inputs'!$B$14,MOD(32-'Schedule_Inputs'!$B$14,'Schedule_Inputs'!$E$14)=0,(32-'Schedule_Inputs'!$B$14)/'Schedule_Inputs'!$E$14&lt;'Schedule_Inputs'!$D$14),$C14/'Schedule_Inputs'!$D$14,0),0))))</f>
        <v/>
      </c>
      <c r="AK14" s="231">
        <f>IF('Schedule_Inputs'!$C$14="Blueprint",$C14*IF(33-'Schedule_Inputs'!$B$14=0,'Assumptions'!$B$21,IF(33-'Schedule_Inputs'!$B$14=1,'Assumptions'!$C$21,IF(33-'Schedule_Inputs'!$B$14=2,'Assumptions'!$D$21,0))),IF('Schedule_Inputs'!$C$14="Launch",$C14*IF(33-'Schedule_Inputs'!$B$14=0,'Assumptions'!$B$22,IF(33-'Schedule_Inputs'!$B$14=1,'Assumptions'!$C$22,IF(33-'Schedule_Inputs'!$B$14=2,'Assumptions'!$D$22,IF(33-'Schedule_Inputs'!$B$14=3,'Assumptions'!$B$23,0)))),IF('Schedule_Inputs'!$C$14="Office Setup",$C14*IF(33-'Schedule_Inputs'!$B$14=0,'Assumptions'!$B$24,IF(33-'Schedule_Inputs'!$B$14=1,'Assumptions'!$C$24,IF(33-'Schedule_Inputs'!$B$14=2,'Assumptions'!$D$24,0))),IF(OR('Schedule_Inputs'!$C$14="Monthly",'Schedule_Inputs'!$C$14="Periodic"),IF(AND(33&gt;='Schedule_Inputs'!$B$14,MOD(33-'Schedule_Inputs'!$B$14,'Schedule_Inputs'!$E$14)=0,(33-'Schedule_Inputs'!$B$14)/'Schedule_Inputs'!$E$14&lt;'Schedule_Inputs'!$D$14),$C14/'Schedule_Inputs'!$D$14,0),0))))</f>
        <v/>
      </c>
      <c r="AL14" s="231">
        <f>IF('Schedule_Inputs'!$C$14="Blueprint",$C14*IF(34-'Schedule_Inputs'!$B$14=0,'Assumptions'!$B$21,IF(34-'Schedule_Inputs'!$B$14=1,'Assumptions'!$C$21,IF(34-'Schedule_Inputs'!$B$14=2,'Assumptions'!$D$21,0))),IF('Schedule_Inputs'!$C$14="Launch",$C14*IF(34-'Schedule_Inputs'!$B$14=0,'Assumptions'!$B$22,IF(34-'Schedule_Inputs'!$B$14=1,'Assumptions'!$C$22,IF(34-'Schedule_Inputs'!$B$14=2,'Assumptions'!$D$22,IF(34-'Schedule_Inputs'!$B$14=3,'Assumptions'!$B$23,0)))),IF('Schedule_Inputs'!$C$14="Office Setup",$C14*IF(34-'Schedule_Inputs'!$B$14=0,'Assumptions'!$B$24,IF(34-'Schedule_Inputs'!$B$14=1,'Assumptions'!$C$24,IF(34-'Schedule_Inputs'!$B$14=2,'Assumptions'!$D$24,0))),IF(OR('Schedule_Inputs'!$C$14="Monthly",'Schedule_Inputs'!$C$14="Periodic"),IF(AND(34&gt;='Schedule_Inputs'!$B$14,MOD(34-'Schedule_Inputs'!$B$14,'Schedule_Inputs'!$E$14)=0,(34-'Schedule_Inputs'!$B$14)/'Schedule_Inputs'!$E$14&lt;'Schedule_Inputs'!$D$14),$C14/'Schedule_Inputs'!$D$14,0),0))))</f>
        <v/>
      </c>
      <c r="AM14" s="231">
        <f>IF('Schedule_Inputs'!$C$14="Blueprint",$C14*IF(35-'Schedule_Inputs'!$B$14=0,'Assumptions'!$B$21,IF(35-'Schedule_Inputs'!$B$14=1,'Assumptions'!$C$21,IF(35-'Schedule_Inputs'!$B$14=2,'Assumptions'!$D$21,0))),IF('Schedule_Inputs'!$C$14="Launch",$C14*IF(35-'Schedule_Inputs'!$B$14=0,'Assumptions'!$B$22,IF(35-'Schedule_Inputs'!$B$14=1,'Assumptions'!$C$22,IF(35-'Schedule_Inputs'!$B$14=2,'Assumptions'!$D$22,IF(35-'Schedule_Inputs'!$B$14=3,'Assumptions'!$B$23,0)))),IF('Schedule_Inputs'!$C$14="Office Setup",$C14*IF(35-'Schedule_Inputs'!$B$14=0,'Assumptions'!$B$24,IF(35-'Schedule_Inputs'!$B$14=1,'Assumptions'!$C$24,IF(35-'Schedule_Inputs'!$B$14=2,'Assumptions'!$D$24,0))),IF(OR('Schedule_Inputs'!$C$14="Monthly",'Schedule_Inputs'!$C$14="Periodic"),IF(AND(35&gt;='Schedule_Inputs'!$B$14,MOD(35-'Schedule_Inputs'!$B$14,'Schedule_Inputs'!$E$14)=0,(35-'Schedule_Inputs'!$B$14)/'Schedule_Inputs'!$E$14&lt;'Schedule_Inputs'!$D$14),$C14/'Schedule_Inputs'!$D$14,0),0))))</f>
        <v/>
      </c>
      <c r="AN14" s="231">
        <f>IF('Schedule_Inputs'!$C$14="Blueprint",$C14*IF(36-'Schedule_Inputs'!$B$14=0,'Assumptions'!$B$21,IF(36-'Schedule_Inputs'!$B$14=1,'Assumptions'!$C$21,IF(36-'Schedule_Inputs'!$B$14=2,'Assumptions'!$D$21,0))),IF('Schedule_Inputs'!$C$14="Launch",$C14*IF(36-'Schedule_Inputs'!$B$14=0,'Assumptions'!$B$22,IF(36-'Schedule_Inputs'!$B$14=1,'Assumptions'!$C$22,IF(36-'Schedule_Inputs'!$B$14=2,'Assumptions'!$D$22,IF(36-'Schedule_Inputs'!$B$14=3,'Assumptions'!$B$23,0)))),IF('Schedule_Inputs'!$C$14="Office Setup",$C14*IF(36-'Schedule_Inputs'!$B$14=0,'Assumptions'!$B$24,IF(36-'Schedule_Inputs'!$B$14=1,'Assumptions'!$C$24,IF(36-'Schedule_Inputs'!$B$14=2,'Assumptions'!$D$24,0))),IF(OR('Schedule_Inputs'!$C$14="Monthly",'Schedule_Inputs'!$C$14="Periodic"),IF(AND(36&gt;='Schedule_Inputs'!$B$14,MOD(36-'Schedule_Inputs'!$B$14,'Schedule_Inputs'!$E$14)=0,(36-'Schedule_Inputs'!$B$14)/'Schedule_Inputs'!$E$14&lt;'Schedule_Inputs'!$D$14),$C14/'Schedule_Inputs'!$D$14,0),0))))</f>
        <v/>
      </c>
    </row>
    <row r="15">
      <c r="A15" s="106" t="inlineStr">
        <is>
          <t>Office Setup 02</t>
        </is>
      </c>
      <c r="B15" s="106" t="n">
        <v>2</v>
      </c>
      <c r="C15" s="230" t="n">
        <v>25000</v>
      </c>
      <c r="D15" s="231" t="inlineStr">
        <is>
          <t>50 / 30 / 20</t>
        </is>
      </c>
      <c r="E15" s="231">
        <f>IF('Schedule_Inputs'!$C$15="Blueprint",$C15*IF(1-'Schedule_Inputs'!$B$15=0,'Assumptions'!$B$21,IF(1-'Schedule_Inputs'!$B$15=1,'Assumptions'!$C$21,IF(1-'Schedule_Inputs'!$B$15=2,'Assumptions'!$D$21,0))),IF('Schedule_Inputs'!$C$15="Launch",$C15*IF(1-'Schedule_Inputs'!$B$15=0,'Assumptions'!$B$22,IF(1-'Schedule_Inputs'!$B$15=1,'Assumptions'!$C$22,IF(1-'Schedule_Inputs'!$B$15=2,'Assumptions'!$D$22,IF(1-'Schedule_Inputs'!$B$15=3,'Assumptions'!$B$23,0)))),IF('Schedule_Inputs'!$C$15="Office Setup",$C15*IF(1-'Schedule_Inputs'!$B$15=0,'Assumptions'!$B$24,IF(1-'Schedule_Inputs'!$B$15=1,'Assumptions'!$C$24,IF(1-'Schedule_Inputs'!$B$15=2,'Assumptions'!$D$24,0))),IF(OR('Schedule_Inputs'!$C$15="Monthly",'Schedule_Inputs'!$C$15="Periodic"),IF(AND(1&gt;='Schedule_Inputs'!$B$15,MOD(1-'Schedule_Inputs'!$B$15,'Schedule_Inputs'!$E$15)=0,(1-'Schedule_Inputs'!$B$15)/'Schedule_Inputs'!$E$15&lt;'Schedule_Inputs'!$D$15),$C15/'Schedule_Inputs'!$D$15,0),0))))</f>
        <v/>
      </c>
      <c r="F15" s="231">
        <f>IF('Schedule_Inputs'!$C$15="Blueprint",$C15*IF(2-'Schedule_Inputs'!$B$15=0,'Assumptions'!$B$21,IF(2-'Schedule_Inputs'!$B$15=1,'Assumptions'!$C$21,IF(2-'Schedule_Inputs'!$B$15=2,'Assumptions'!$D$21,0))),IF('Schedule_Inputs'!$C$15="Launch",$C15*IF(2-'Schedule_Inputs'!$B$15=0,'Assumptions'!$B$22,IF(2-'Schedule_Inputs'!$B$15=1,'Assumptions'!$C$22,IF(2-'Schedule_Inputs'!$B$15=2,'Assumptions'!$D$22,IF(2-'Schedule_Inputs'!$B$15=3,'Assumptions'!$B$23,0)))),IF('Schedule_Inputs'!$C$15="Office Setup",$C15*IF(2-'Schedule_Inputs'!$B$15=0,'Assumptions'!$B$24,IF(2-'Schedule_Inputs'!$B$15=1,'Assumptions'!$C$24,IF(2-'Schedule_Inputs'!$B$15=2,'Assumptions'!$D$24,0))),IF(OR('Schedule_Inputs'!$C$15="Monthly",'Schedule_Inputs'!$C$15="Periodic"),IF(AND(2&gt;='Schedule_Inputs'!$B$15,MOD(2-'Schedule_Inputs'!$B$15,'Schedule_Inputs'!$E$15)=0,(2-'Schedule_Inputs'!$B$15)/'Schedule_Inputs'!$E$15&lt;'Schedule_Inputs'!$D$15),$C15/'Schedule_Inputs'!$D$15,0),0))))</f>
        <v/>
      </c>
      <c r="G15" s="231">
        <f>IF('Schedule_Inputs'!$C$15="Blueprint",$C15*IF(3-'Schedule_Inputs'!$B$15=0,'Assumptions'!$B$21,IF(3-'Schedule_Inputs'!$B$15=1,'Assumptions'!$C$21,IF(3-'Schedule_Inputs'!$B$15=2,'Assumptions'!$D$21,0))),IF('Schedule_Inputs'!$C$15="Launch",$C15*IF(3-'Schedule_Inputs'!$B$15=0,'Assumptions'!$B$22,IF(3-'Schedule_Inputs'!$B$15=1,'Assumptions'!$C$22,IF(3-'Schedule_Inputs'!$B$15=2,'Assumptions'!$D$22,IF(3-'Schedule_Inputs'!$B$15=3,'Assumptions'!$B$23,0)))),IF('Schedule_Inputs'!$C$15="Office Setup",$C15*IF(3-'Schedule_Inputs'!$B$15=0,'Assumptions'!$B$24,IF(3-'Schedule_Inputs'!$B$15=1,'Assumptions'!$C$24,IF(3-'Schedule_Inputs'!$B$15=2,'Assumptions'!$D$24,0))),IF(OR('Schedule_Inputs'!$C$15="Monthly",'Schedule_Inputs'!$C$15="Periodic"),IF(AND(3&gt;='Schedule_Inputs'!$B$15,MOD(3-'Schedule_Inputs'!$B$15,'Schedule_Inputs'!$E$15)=0,(3-'Schedule_Inputs'!$B$15)/'Schedule_Inputs'!$E$15&lt;'Schedule_Inputs'!$D$15),$C15/'Schedule_Inputs'!$D$15,0),0))))</f>
        <v/>
      </c>
      <c r="H15" s="231">
        <f>IF('Schedule_Inputs'!$C$15="Blueprint",$C15*IF(4-'Schedule_Inputs'!$B$15=0,'Assumptions'!$B$21,IF(4-'Schedule_Inputs'!$B$15=1,'Assumptions'!$C$21,IF(4-'Schedule_Inputs'!$B$15=2,'Assumptions'!$D$21,0))),IF('Schedule_Inputs'!$C$15="Launch",$C15*IF(4-'Schedule_Inputs'!$B$15=0,'Assumptions'!$B$22,IF(4-'Schedule_Inputs'!$B$15=1,'Assumptions'!$C$22,IF(4-'Schedule_Inputs'!$B$15=2,'Assumptions'!$D$22,IF(4-'Schedule_Inputs'!$B$15=3,'Assumptions'!$B$23,0)))),IF('Schedule_Inputs'!$C$15="Office Setup",$C15*IF(4-'Schedule_Inputs'!$B$15=0,'Assumptions'!$B$24,IF(4-'Schedule_Inputs'!$B$15=1,'Assumptions'!$C$24,IF(4-'Schedule_Inputs'!$B$15=2,'Assumptions'!$D$24,0))),IF(OR('Schedule_Inputs'!$C$15="Monthly",'Schedule_Inputs'!$C$15="Periodic"),IF(AND(4&gt;='Schedule_Inputs'!$B$15,MOD(4-'Schedule_Inputs'!$B$15,'Schedule_Inputs'!$E$15)=0,(4-'Schedule_Inputs'!$B$15)/'Schedule_Inputs'!$E$15&lt;'Schedule_Inputs'!$D$15),$C15/'Schedule_Inputs'!$D$15,0),0))))</f>
        <v/>
      </c>
      <c r="I15" s="231">
        <f>IF('Schedule_Inputs'!$C$15="Blueprint",$C15*IF(5-'Schedule_Inputs'!$B$15=0,'Assumptions'!$B$21,IF(5-'Schedule_Inputs'!$B$15=1,'Assumptions'!$C$21,IF(5-'Schedule_Inputs'!$B$15=2,'Assumptions'!$D$21,0))),IF('Schedule_Inputs'!$C$15="Launch",$C15*IF(5-'Schedule_Inputs'!$B$15=0,'Assumptions'!$B$22,IF(5-'Schedule_Inputs'!$B$15=1,'Assumptions'!$C$22,IF(5-'Schedule_Inputs'!$B$15=2,'Assumptions'!$D$22,IF(5-'Schedule_Inputs'!$B$15=3,'Assumptions'!$B$23,0)))),IF('Schedule_Inputs'!$C$15="Office Setup",$C15*IF(5-'Schedule_Inputs'!$B$15=0,'Assumptions'!$B$24,IF(5-'Schedule_Inputs'!$B$15=1,'Assumptions'!$C$24,IF(5-'Schedule_Inputs'!$B$15=2,'Assumptions'!$D$24,0))),IF(OR('Schedule_Inputs'!$C$15="Monthly",'Schedule_Inputs'!$C$15="Periodic"),IF(AND(5&gt;='Schedule_Inputs'!$B$15,MOD(5-'Schedule_Inputs'!$B$15,'Schedule_Inputs'!$E$15)=0,(5-'Schedule_Inputs'!$B$15)/'Schedule_Inputs'!$E$15&lt;'Schedule_Inputs'!$D$15),$C15/'Schedule_Inputs'!$D$15,0),0))))</f>
        <v/>
      </c>
      <c r="J15" s="231">
        <f>IF('Schedule_Inputs'!$C$15="Blueprint",$C15*IF(6-'Schedule_Inputs'!$B$15=0,'Assumptions'!$B$21,IF(6-'Schedule_Inputs'!$B$15=1,'Assumptions'!$C$21,IF(6-'Schedule_Inputs'!$B$15=2,'Assumptions'!$D$21,0))),IF('Schedule_Inputs'!$C$15="Launch",$C15*IF(6-'Schedule_Inputs'!$B$15=0,'Assumptions'!$B$22,IF(6-'Schedule_Inputs'!$B$15=1,'Assumptions'!$C$22,IF(6-'Schedule_Inputs'!$B$15=2,'Assumptions'!$D$22,IF(6-'Schedule_Inputs'!$B$15=3,'Assumptions'!$B$23,0)))),IF('Schedule_Inputs'!$C$15="Office Setup",$C15*IF(6-'Schedule_Inputs'!$B$15=0,'Assumptions'!$B$24,IF(6-'Schedule_Inputs'!$B$15=1,'Assumptions'!$C$24,IF(6-'Schedule_Inputs'!$B$15=2,'Assumptions'!$D$24,0))),IF(OR('Schedule_Inputs'!$C$15="Monthly",'Schedule_Inputs'!$C$15="Periodic"),IF(AND(6&gt;='Schedule_Inputs'!$B$15,MOD(6-'Schedule_Inputs'!$B$15,'Schedule_Inputs'!$E$15)=0,(6-'Schedule_Inputs'!$B$15)/'Schedule_Inputs'!$E$15&lt;'Schedule_Inputs'!$D$15),$C15/'Schedule_Inputs'!$D$15,0),0))))</f>
        <v/>
      </c>
      <c r="K15" s="231">
        <f>IF('Schedule_Inputs'!$C$15="Blueprint",$C15*IF(7-'Schedule_Inputs'!$B$15=0,'Assumptions'!$B$21,IF(7-'Schedule_Inputs'!$B$15=1,'Assumptions'!$C$21,IF(7-'Schedule_Inputs'!$B$15=2,'Assumptions'!$D$21,0))),IF('Schedule_Inputs'!$C$15="Launch",$C15*IF(7-'Schedule_Inputs'!$B$15=0,'Assumptions'!$B$22,IF(7-'Schedule_Inputs'!$B$15=1,'Assumptions'!$C$22,IF(7-'Schedule_Inputs'!$B$15=2,'Assumptions'!$D$22,IF(7-'Schedule_Inputs'!$B$15=3,'Assumptions'!$B$23,0)))),IF('Schedule_Inputs'!$C$15="Office Setup",$C15*IF(7-'Schedule_Inputs'!$B$15=0,'Assumptions'!$B$24,IF(7-'Schedule_Inputs'!$B$15=1,'Assumptions'!$C$24,IF(7-'Schedule_Inputs'!$B$15=2,'Assumptions'!$D$24,0))),IF(OR('Schedule_Inputs'!$C$15="Monthly",'Schedule_Inputs'!$C$15="Periodic"),IF(AND(7&gt;='Schedule_Inputs'!$B$15,MOD(7-'Schedule_Inputs'!$B$15,'Schedule_Inputs'!$E$15)=0,(7-'Schedule_Inputs'!$B$15)/'Schedule_Inputs'!$E$15&lt;'Schedule_Inputs'!$D$15),$C15/'Schedule_Inputs'!$D$15,0),0))))</f>
        <v/>
      </c>
      <c r="L15" s="231">
        <f>IF('Schedule_Inputs'!$C$15="Blueprint",$C15*IF(8-'Schedule_Inputs'!$B$15=0,'Assumptions'!$B$21,IF(8-'Schedule_Inputs'!$B$15=1,'Assumptions'!$C$21,IF(8-'Schedule_Inputs'!$B$15=2,'Assumptions'!$D$21,0))),IF('Schedule_Inputs'!$C$15="Launch",$C15*IF(8-'Schedule_Inputs'!$B$15=0,'Assumptions'!$B$22,IF(8-'Schedule_Inputs'!$B$15=1,'Assumptions'!$C$22,IF(8-'Schedule_Inputs'!$B$15=2,'Assumptions'!$D$22,IF(8-'Schedule_Inputs'!$B$15=3,'Assumptions'!$B$23,0)))),IF('Schedule_Inputs'!$C$15="Office Setup",$C15*IF(8-'Schedule_Inputs'!$B$15=0,'Assumptions'!$B$24,IF(8-'Schedule_Inputs'!$B$15=1,'Assumptions'!$C$24,IF(8-'Schedule_Inputs'!$B$15=2,'Assumptions'!$D$24,0))),IF(OR('Schedule_Inputs'!$C$15="Monthly",'Schedule_Inputs'!$C$15="Periodic"),IF(AND(8&gt;='Schedule_Inputs'!$B$15,MOD(8-'Schedule_Inputs'!$B$15,'Schedule_Inputs'!$E$15)=0,(8-'Schedule_Inputs'!$B$15)/'Schedule_Inputs'!$E$15&lt;'Schedule_Inputs'!$D$15),$C15/'Schedule_Inputs'!$D$15,0),0))))</f>
        <v/>
      </c>
      <c r="M15" s="231">
        <f>IF('Schedule_Inputs'!$C$15="Blueprint",$C15*IF(9-'Schedule_Inputs'!$B$15=0,'Assumptions'!$B$21,IF(9-'Schedule_Inputs'!$B$15=1,'Assumptions'!$C$21,IF(9-'Schedule_Inputs'!$B$15=2,'Assumptions'!$D$21,0))),IF('Schedule_Inputs'!$C$15="Launch",$C15*IF(9-'Schedule_Inputs'!$B$15=0,'Assumptions'!$B$22,IF(9-'Schedule_Inputs'!$B$15=1,'Assumptions'!$C$22,IF(9-'Schedule_Inputs'!$B$15=2,'Assumptions'!$D$22,IF(9-'Schedule_Inputs'!$B$15=3,'Assumptions'!$B$23,0)))),IF('Schedule_Inputs'!$C$15="Office Setup",$C15*IF(9-'Schedule_Inputs'!$B$15=0,'Assumptions'!$B$24,IF(9-'Schedule_Inputs'!$B$15=1,'Assumptions'!$C$24,IF(9-'Schedule_Inputs'!$B$15=2,'Assumptions'!$D$24,0))),IF(OR('Schedule_Inputs'!$C$15="Monthly",'Schedule_Inputs'!$C$15="Periodic"),IF(AND(9&gt;='Schedule_Inputs'!$B$15,MOD(9-'Schedule_Inputs'!$B$15,'Schedule_Inputs'!$E$15)=0,(9-'Schedule_Inputs'!$B$15)/'Schedule_Inputs'!$E$15&lt;'Schedule_Inputs'!$D$15),$C15/'Schedule_Inputs'!$D$15,0),0))))</f>
        <v/>
      </c>
      <c r="N15" s="231">
        <f>IF('Schedule_Inputs'!$C$15="Blueprint",$C15*IF(10-'Schedule_Inputs'!$B$15=0,'Assumptions'!$B$21,IF(10-'Schedule_Inputs'!$B$15=1,'Assumptions'!$C$21,IF(10-'Schedule_Inputs'!$B$15=2,'Assumptions'!$D$21,0))),IF('Schedule_Inputs'!$C$15="Launch",$C15*IF(10-'Schedule_Inputs'!$B$15=0,'Assumptions'!$B$22,IF(10-'Schedule_Inputs'!$B$15=1,'Assumptions'!$C$22,IF(10-'Schedule_Inputs'!$B$15=2,'Assumptions'!$D$22,IF(10-'Schedule_Inputs'!$B$15=3,'Assumptions'!$B$23,0)))),IF('Schedule_Inputs'!$C$15="Office Setup",$C15*IF(10-'Schedule_Inputs'!$B$15=0,'Assumptions'!$B$24,IF(10-'Schedule_Inputs'!$B$15=1,'Assumptions'!$C$24,IF(10-'Schedule_Inputs'!$B$15=2,'Assumptions'!$D$24,0))),IF(OR('Schedule_Inputs'!$C$15="Monthly",'Schedule_Inputs'!$C$15="Periodic"),IF(AND(10&gt;='Schedule_Inputs'!$B$15,MOD(10-'Schedule_Inputs'!$B$15,'Schedule_Inputs'!$E$15)=0,(10-'Schedule_Inputs'!$B$15)/'Schedule_Inputs'!$E$15&lt;'Schedule_Inputs'!$D$15),$C15/'Schedule_Inputs'!$D$15,0),0))))</f>
        <v/>
      </c>
      <c r="O15" s="231">
        <f>IF('Schedule_Inputs'!$C$15="Blueprint",$C15*IF(11-'Schedule_Inputs'!$B$15=0,'Assumptions'!$B$21,IF(11-'Schedule_Inputs'!$B$15=1,'Assumptions'!$C$21,IF(11-'Schedule_Inputs'!$B$15=2,'Assumptions'!$D$21,0))),IF('Schedule_Inputs'!$C$15="Launch",$C15*IF(11-'Schedule_Inputs'!$B$15=0,'Assumptions'!$B$22,IF(11-'Schedule_Inputs'!$B$15=1,'Assumptions'!$C$22,IF(11-'Schedule_Inputs'!$B$15=2,'Assumptions'!$D$22,IF(11-'Schedule_Inputs'!$B$15=3,'Assumptions'!$B$23,0)))),IF('Schedule_Inputs'!$C$15="Office Setup",$C15*IF(11-'Schedule_Inputs'!$B$15=0,'Assumptions'!$B$24,IF(11-'Schedule_Inputs'!$B$15=1,'Assumptions'!$C$24,IF(11-'Schedule_Inputs'!$B$15=2,'Assumptions'!$D$24,0))),IF(OR('Schedule_Inputs'!$C$15="Monthly",'Schedule_Inputs'!$C$15="Periodic"),IF(AND(11&gt;='Schedule_Inputs'!$B$15,MOD(11-'Schedule_Inputs'!$B$15,'Schedule_Inputs'!$E$15)=0,(11-'Schedule_Inputs'!$B$15)/'Schedule_Inputs'!$E$15&lt;'Schedule_Inputs'!$D$15),$C15/'Schedule_Inputs'!$D$15,0),0))))</f>
        <v/>
      </c>
      <c r="P15" s="231">
        <f>IF('Schedule_Inputs'!$C$15="Blueprint",$C15*IF(12-'Schedule_Inputs'!$B$15=0,'Assumptions'!$B$21,IF(12-'Schedule_Inputs'!$B$15=1,'Assumptions'!$C$21,IF(12-'Schedule_Inputs'!$B$15=2,'Assumptions'!$D$21,0))),IF('Schedule_Inputs'!$C$15="Launch",$C15*IF(12-'Schedule_Inputs'!$B$15=0,'Assumptions'!$B$22,IF(12-'Schedule_Inputs'!$B$15=1,'Assumptions'!$C$22,IF(12-'Schedule_Inputs'!$B$15=2,'Assumptions'!$D$22,IF(12-'Schedule_Inputs'!$B$15=3,'Assumptions'!$B$23,0)))),IF('Schedule_Inputs'!$C$15="Office Setup",$C15*IF(12-'Schedule_Inputs'!$B$15=0,'Assumptions'!$B$24,IF(12-'Schedule_Inputs'!$B$15=1,'Assumptions'!$C$24,IF(12-'Schedule_Inputs'!$B$15=2,'Assumptions'!$D$24,0))),IF(OR('Schedule_Inputs'!$C$15="Monthly",'Schedule_Inputs'!$C$15="Periodic"),IF(AND(12&gt;='Schedule_Inputs'!$B$15,MOD(12-'Schedule_Inputs'!$B$15,'Schedule_Inputs'!$E$15)=0,(12-'Schedule_Inputs'!$B$15)/'Schedule_Inputs'!$E$15&lt;'Schedule_Inputs'!$D$15),$C15/'Schedule_Inputs'!$D$15,0),0))))</f>
        <v/>
      </c>
      <c r="Q15" s="231">
        <f>IF('Schedule_Inputs'!$C$15="Blueprint",$C15*IF(13-'Schedule_Inputs'!$B$15=0,'Assumptions'!$B$21,IF(13-'Schedule_Inputs'!$B$15=1,'Assumptions'!$C$21,IF(13-'Schedule_Inputs'!$B$15=2,'Assumptions'!$D$21,0))),IF('Schedule_Inputs'!$C$15="Launch",$C15*IF(13-'Schedule_Inputs'!$B$15=0,'Assumptions'!$B$22,IF(13-'Schedule_Inputs'!$B$15=1,'Assumptions'!$C$22,IF(13-'Schedule_Inputs'!$B$15=2,'Assumptions'!$D$22,IF(13-'Schedule_Inputs'!$B$15=3,'Assumptions'!$B$23,0)))),IF('Schedule_Inputs'!$C$15="Office Setup",$C15*IF(13-'Schedule_Inputs'!$B$15=0,'Assumptions'!$B$24,IF(13-'Schedule_Inputs'!$B$15=1,'Assumptions'!$C$24,IF(13-'Schedule_Inputs'!$B$15=2,'Assumptions'!$D$24,0))),IF(OR('Schedule_Inputs'!$C$15="Monthly",'Schedule_Inputs'!$C$15="Periodic"),IF(AND(13&gt;='Schedule_Inputs'!$B$15,MOD(13-'Schedule_Inputs'!$B$15,'Schedule_Inputs'!$E$15)=0,(13-'Schedule_Inputs'!$B$15)/'Schedule_Inputs'!$E$15&lt;'Schedule_Inputs'!$D$15),$C15/'Schedule_Inputs'!$D$15,0),0))))</f>
        <v/>
      </c>
      <c r="R15" s="231">
        <f>IF('Schedule_Inputs'!$C$15="Blueprint",$C15*IF(14-'Schedule_Inputs'!$B$15=0,'Assumptions'!$B$21,IF(14-'Schedule_Inputs'!$B$15=1,'Assumptions'!$C$21,IF(14-'Schedule_Inputs'!$B$15=2,'Assumptions'!$D$21,0))),IF('Schedule_Inputs'!$C$15="Launch",$C15*IF(14-'Schedule_Inputs'!$B$15=0,'Assumptions'!$B$22,IF(14-'Schedule_Inputs'!$B$15=1,'Assumptions'!$C$22,IF(14-'Schedule_Inputs'!$B$15=2,'Assumptions'!$D$22,IF(14-'Schedule_Inputs'!$B$15=3,'Assumptions'!$B$23,0)))),IF('Schedule_Inputs'!$C$15="Office Setup",$C15*IF(14-'Schedule_Inputs'!$B$15=0,'Assumptions'!$B$24,IF(14-'Schedule_Inputs'!$B$15=1,'Assumptions'!$C$24,IF(14-'Schedule_Inputs'!$B$15=2,'Assumptions'!$D$24,0))),IF(OR('Schedule_Inputs'!$C$15="Monthly",'Schedule_Inputs'!$C$15="Periodic"),IF(AND(14&gt;='Schedule_Inputs'!$B$15,MOD(14-'Schedule_Inputs'!$B$15,'Schedule_Inputs'!$E$15)=0,(14-'Schedule_Inputs'!$B$15)/'Schedule_Inputs'!$E$15&lt;'Schedule_Inputs'!$D$15),$C15/'Schedule_Inputs'!$D$15,0),0))))</f>
        <v/>
      </c>
      <c r="S15" s="231">
        <f>IF('Schedule_Inputs'!$C$15="Blueprint",$C15*IF(15-'Schedule_Inputs'!$B$15=0,'Assumptions'!$B$21,IF(15-'Schedule_Inputs'!$B$15=1,'Assumptions'!$C$21,IF(15-'Schedule_Inputs'!$B$15=2,'Assumptions'!$D$21,0))),IF('Schedule_Inputs'!$C$15="Launch",$C15*IF(15-'Schedule_Inputs'!$B$15=0,'Assumptions'!$B$22,IF(15-'Schedule_Inputs'!$B$15=1,'Assumptions'!$C$22,IF(15-'Schedule_Inputs'!$B$15=2,'Assumptions'!$D$22,IF(15-'Schedule_Inputs'!$B$15=3,'Assumptions'!$B$23,0)))),IF('Schedule_Inputs'!$C$15="Office Setup",$C15*IF(15-'Schedule_Inputs'!$B$15=0,'Assumptions'!$B$24,IF(15-'Schedule_Inputs'!$B$15=1,'Assumptions'!$C$24,IF(15-'Schedule_Inputs'!$B$15=2,'Assumptions'!$D$24,0))),IF(OR('Schedule_Inputs'!$C$15="Monthly",'Schedule_Inputs'!$C$15="Periodic"),IF(AND(15&gt;='Schedule_Inputs'!$B$15,MOD(15-'Schedule_Inputs'!$B$15,'Schedule_Inputs'!$E$15)=0,(15-'Schedule_Inputs'!$B$15)/'Schedule_Inputs'!$E$15&lt;'Schedule_Inputs'!$D$15),$C15/'Schedule_Inputs'!$D$15,0),0))))</f>
        <v/>
      </c>
      <c r="T15" s="231">
        <f>IF('Schedule_Inputs'!$C$15="Blueprint",$C15*IF(16-'Schedule_Inputs'!$B$15=0,'Assumptions'!$B$21,IF(16-'Schedule_Inputs'!$B$15=1,'Assumptions'!$C$21,IF(16-'Schedule_Inputs'!$B$15=2,'Assumptions'!$D$21,0))),IF('Schedule_Inputs'!$C$15="Launch",$C15*IF(16-'Schedule_Inputs'!$B$15=0,'Assumptions'!$B$22,IF(16-'Schedule_Inputs'!$B$15=1,'Assumptions'!$C$22,IF(16-'Schedule_Inputs'!$B$15=2,'Assumptions'!$D$22,IF(16-'Schedule_Inputs'!$B$15=3,'Assumptions'!$B$23,0)))),IF('Schedule_Inputs'!$C$15="Office Setup",$C15*IF(16-'Schedule_Inputs'!$B$15=0,'Assumptions'!$B$24,IF(16-'Schedule_Inputs'!$B$15=1,'Assumptions'!$C$24,IF(16-'Schedule_Inputs'!$B$15=2,'Assumptions'!$D$24,0))),IF(OR('Schedule_Inputs'!$C$15="Monthly",'Schedule_Inputs'!$C$15="Periodic"),IF(AND(16&gt;='Schedule_Inputs'!$B$15,MOD(16-'Schedule_Inputs'!$B$15,'Schedule_Inputs'!$E$15)=0,(16-'Schedule_Inputs'!$B$15)/'Schedule_Inputs'!$E$15&lt;'Schedule_Inputs'!$D$15),$C15/'Schedule_Inputs'!$D$15,0),0))))</f>
        <v/>
      </c>
      <c r="U15" s="231">
        <f>IF('Schedule_Inputs'!$C$15="Blueprint",$C15*IF(17-'Schedule_Inputs'!$B$15=0,'Assumptions'!$B$21,IF(17-'Schedule_Inputs'!$B$15=1,'Assumptions'!$C$21,IF(17-'Schedule_Inputs'!$B$15=2,'Assumptions'!$D$21,0))),IF('Schedule_Inputs'!$C$15="Launch",$C15*IF(17-'Schedule_Inputs'!$B$15=0,'Assumptions'!$B$22,IF(17-'Schedule_Inputs'!$B$15=1,'Assumptions'!$C$22,IF(17-'Schedule_Inputs'!$B$15=2,'Assumptions'!$D$22,IF(17-'Schedule_Inputs'!$B$15=3,'Assumptions'!$B$23,0)))),IF('Schedule_Inputs'!$C$15="Office Setup",$C15*IF(17-'Schedule_Inputs'!$B$15=0,'Assumptions'!$B$24,IF(17-'Schedule_Inputs'!$B$15=1,'Assumptions'!$C$24,IF(17-'Schedule_Inputs'!$B$15=2,'Assumptions'!$D$24,0))),IF(OR('Schedule_Inputs'!$C$15="Monthly",'Schedule_Inputs'!$C$15="Periodic"),IF(AND(17&gt;='Schedule_Inputs'!$B$15,MOD(17-'Schedule_Inputs'!$B$15,'Schedule_Inputs'!$E$15)=0,(17-'Schedule_Inputs'!$B$15)/'Schedule_Inputs'!$E$15&lt;'Schedule_Inputs'!$D$15),$C15/'Schedule_Inputs'!$D$15,0),0))))</f>
        <v/>
      </c>
      <c r="V15" s="231">
        <f>IF('Schedule_Inputs'!$C$15="Blueprint",$C15*IF(18-'Schedule_Inputs'!$B$15=0,'Assumptions'!$B$21,IF(18-'Schedule_Inputs'!$B$15=1,'Assumptions'!$C$21,IF(18-'Schedule_Inputs'!$B$15=2,'Assumptions'!$D$21,0))),IF('Schedule_Inputs'!$C$15="Launch",$C15*IF(18-'Schedule_Inputs'!$B$15=0,'Assumptions'!$B$22,IF(18-'Schedule_Inputs'!$B$15=1,'Assumptions'!$C$22,IF(18-'Schedule_Inputs'!$B$15=2,'Assumptions'!$D$22,IF(18-'Schedule_Inputs'!$B$15=3,'Assumptions'!$B$23,0)))),IF('Schedule_Inputs'!$C$15="Office Setup",$C15*IF(18-'Schedule_Inputs'!$B$15=0,'Assumptions'!$B$24,IF(18-'Schedule_Inputs'!$B$15=1,'Assumptions'!$C$24,IF(18-'Schedule_Inputs'!$B$15=2,'Assumptions'!$D$24,0))),IF(OR('Schedule_Inputs'!$C$15="Monthly",'Schedule_Inputs'!$C$15="Periodic"),IF(AND(18&gt;='Schedule_Inputs'!$B$15,MOD(18-'Schedule_Inputs'!$B$15,'Schedule_Inputs'!$E$15)=0,(18-'Schedule_Inputs'!$B$15)/'Schedule_Inputs'!$E$15&lt;'Schedule_Inputs'!$D$15),$C15/'Schedule_Inputs'!$D$15,0),0))))</f>
        <v/>
      </c>
      <c r="W15" s="231">
        <f>IF('Schedule_Inputs'!$C$15="Blueprint",$C15*IF(19-'Schedule_Inputs'!$B$15=0,'Assumptions'!$B$21,IF(19-'Schedule_Inputs'!$B$15=1,'Assumptions'!$C$21,IF(19-'Schedule_Inputs'!$B$15=2,'Assumptions'!$D$21,0))),IF('Schedule_Inputs'!$C$15="Launch",$C15*IF(19-'Schedule_Inputs'!$B$15=0,'Assumptions'!$B$22,IF(19-'Schedule_Inputs'!$B$15=1,'Assumptions'!$C$22,IF(19-'Schedule_Inputs'!$B$15=2,'Assumptions'!$D$22,IF(19-'Schedule_Inputs'!$B$15=3,'Assumptions'!$B$23,0)))),IF('Schedule_Inputs'!$C$15="Office Setup",$C15*IF(19-'Schedule_Inputs'!$B$15=0,'Assumptions'!$B$24,IF(19-'Schedule_Inputs'!$B$15=1,'Assumptions'!$C$24,IF(19-'Schedule_Inputs'!$B$15=2,'Assumptions'!$D$24,0))),IF(OR('Schedule_Inputs'!$C$15="Monthly",'Schedule_Inputs'!$C$15="Periodic"),IF(AND(19&gt;='Schedule_Inputs'!$B$15,MOD(19-'Schedule_Inputs'!$B$15,'Schedule_Inputs'!$E$15)=0,(19-'Schedule_Inputs'!$B$15)/'Schedule_Inputs'!$E$15&lt;'Schedule_Inputs'!$D$15),$C15/'Schedule_Inputs'!$D$15,0),0))))</f>
        <v/>
      </c>
      <c r="X15" s="231">
        <f>IF('Schedule_Inputs'!$C$15="Blueprint",$C15*IF(20-'Schedule_Inputs'!$B$15=0,'Assumptions'!$B$21,IF(20-'Schedule_Inputs'!$B$15=1,'Assumptions'!$C$21,IF(20-'Schedule_Inputs'!$B$15=2,'Assumptions'!$D$21,0))),IF('Schedule_Inputs'!$C$15="Launch",$C15*IF(20-'Schedule_Inputs'!$B$15=0,'Assumptions'!$B$22,IF(20-'Schedule_Inputs'!$B$15=1,'Assumptions'!$C$22,IF(20-'Schedule_Inputs'!$B$15=2,'Assumptions'!$D$22,IF(20-'Schedule_Inputs'!$B$15=3,'Assumptions'!$B$23,0)))),IF('Schedule_Inputs'!$C$15="Office Setup",$C15*IF(20-'Schedule_Inputs'!$B$15=0,'Assumptions'!$B$24,IF(20-'Schedule_Inputs'!$B$15=1,'Assumptions'!$C$24,IF(20-'Schedule_Inputs'!$B$15=2,'Assumptions'!$D$24,0))),IF(OR('Schedule_Inputs'!$C$15="Monthly",'Schedule_Inputs'!$C$15="Periodic"),IF(AND(20&gt;='Schedule_Inputs'!$B$15,MOD(20-'Schedule_Inputs'!$B$15,'Schedule_Inputs'!$E$15)=0,(20-'Schedule_Inputs'!$B$15)/'Schedule_Inputs'!$E$15&lt;'Schedule_Inputs'!$D$15),$C15/'Schedule_Inputs'!$D$15,0),0))))</f>
        <v/>
      </c>
      <c r="Y15" s="231">
        <f>IF('Schedule_Inputs'!$C$15="Blueprint",$C15*IF(21-'Schedule_Inputs'!$B$15=0,'Assumptions'!$B$21,IF(21-'Schedule_Inputs'!$B$15=1,'Assumptions'!$C$21,IF(21-'Schedule_Inputs'!$B$15=2,'Assumptions'!$D$21,0))),IF('Schedule_Inputs'!$C$15="Launch",$C15*IF(21-'Schedule_Inputs'!$B$15=0,'Assumptions'!$B$22,IF(21-'Schedule_Inputs'!$B$15=1,'Assumptions'!$C$22,IF(21-'Schedule_Inputs'!$B$15=2,'Assumptions'!$D$22,IF(21-'Schedule_Inputs'!$B$15=3,'Assumptions'!$B$23,0)))),IF('Schedule_Inputs'!$C$15="Office Setup",$C15*IF(21-'Schedule_Inputs'!$B$15=0,'Assumptions'!$B$24,IF(21-'Schedule_Inputs'!$B$15=1,'Assumptions'!$C$24,IF(21-'Schedule_Inputs'!$B$15=2,'Assumptions'!$D$24,0))),IF(OR('Schedule_Inputs'!$C$15="Monthly",'Schedule_Inputs'!$C$15="Periodic"),IF(AND(21&gt;='Schedule_Inputs'!$B$15,MOD(21-'Schedule_Inputs'!$B$15,'Schedule_Inputs'!$E$15)=0,(21-'Schedule_Inputs'!$B$15)/'Schedule_Inputs'!$E$15&lt;'Schedule_Inputs'!$D$15),$C15/'Schedule_Inputs'!$D$15,0),0))))</f>
        <v/>
      </c>
      <c r="Z15" s="231">
        <f>IF('Schedule_Inputs'!$C$15="Blueprint",$C15*IF(22-'Schedule_Inputs'!$B$15=0,'Assumptions'!$B$21,IF(22-'Schedule_Inputs'!$B$15=1,'Assumptions'!$C$21,IF(22-'Schedule_Inputs'!$B$15=2,'Assumptions'!$D$21,0))),IF('Schedule_Inputs'!$C$15="Launch",$C15*IF(22-'Schedule_Inputs'!$B$15=0,'Assumptions'!$B$22,IF(22-'Schedule_Inputs'!$B$15=1,'Assumptions'!$C$22,IF(22-'Schedule_Inputs'!$B$15=2,'Assumptions'!$D$22,IF(22-'Schedule_Inputs'!$B$15=3,'Assumptions'!$B$23,0)))),IF('Schedule_Inputs'!$C$15="Office Setup",$C15*IF(22-'Schedule_Inputs'!$B$15=0,'Assumptions'!$B$24,IF(22-'Schedule_Inputs'!$B$15=1,'Assumptions'!$C$24,IF(22-'Schedule_Inputs'!$B$15=2,'Assumptions'!$D$24,0))),IF(OR('Schedule_Inputs'!$C$15="Monthly",'Schedule_Inputs'!$C$15="Periodic"),IF(AND(22&gt;='Schedule_Inputs'!$B$15,MOD(22-'Schedule_Inputs'!$B$15,'Schedule_Inputs'!$E$15)=0,(22-'Schedule_Inputs'!$B$15)/'Schedule_Inputs'!$E$15&lt;'Schedule_Inputs'!$D$15),$C15/'Schedule_Inputs'!$D$15,0),0))))</f>
        <v/>
      </c>
      <c r="AA15" s="231">
        <f>IF('Schedule_Inputs'!$C$15="Blueprint",$C15*IF(23-'Schedule_Inputs'!$B$15=0,'Assumptions'!$B$21,IF(23-'Schedule_Inputs'!$B$15=1,'Assumptions'!$C$21,IF(23-'Schedule_Inputs'!$B$15=2,'Assumptions'!$D$21,0))),IF('Schedule_Inputs'!$C$15="Launch",$C15*IF(23-'Schedule_Inputs'!$B$15=0,'Assumptions'!$B$22,IF(23-'Schedule_Inputs'!$B$15=1,'Assumptions'!$C$22,IF(23-'Schedule_Inputs'!$B$15=2,'Assumptions'!$D$22,IF(23-'Schedule_Inputs'!$B$15=3,'Assumptions'!$B$23,0)))),IF('Schedule_Inputs'!$C$15="Office Setup",$C15*IF(23-'Schedule_Inputs'!$B$15=0,'Assumptions'!$B$24,IF(23-'Schedule_Inputs'!$B$15=1,'Assumptions'!$C$24,IF(23-'Schedule_Inputs'!$B$15=2,'Assumptions'!$D$24,0))),IF(OR('Schedule_Inputs'!$C$15="Monthly",'Schedule_Inputs'!$C$15="Periodic"),IF(AND(23&gt;='Schedule_Inputs'!$B$15,MOD(23-'Schedule_Inputs'!$B$15,'Schedule_Inputs'!$E$15)=0,(23-'Schedule_Inputs'!$B$15)/'Schedule_Inputs'!$E$15&lt;'Schedule_Inputs'!$D$15),$C15/'Schedule_Inputs'!$D$15,0),0))))</f>
        <v/>
      </c>
      <c r="AB15" s="231">
        <f>IF('Schedule_Inputs'!$C$15="Blueprint",$C15*IF(24-'Schedule_Inputs'!$B$15=0,'Assumptions'!$B$21,IF(24-'Schedule_Inputs'!$B$15=1,'Assumptions'!$C$21,IF(24-'Schedule_Inputs'!$B$15=2,'Assumptions'!$D$21,0))),IF('Schedule_Inputs'!$C$15="Launch",$C15*IF(24-'Schedule_Inputs'!$B$15=0,'Assumptions'!$B$22,IF(24-'Schedule_Inputs'!$B$15=1,'Assumptions'!$C$22,IF(24-'Schedule_Inputs'!$B$15=2,'Assumptions'!$D$22,IF(24-'Schedule_Inputs'!$B$15=3,'Assumptions'!$B$23,0)))),IF('Schedule_Inputs'!$C$15="Office Setup",$C15*IF(24-'Schedule_Inputs'!$B$15=0,'Assumptions'!$B$24,IF(24-'Schedule_Inputs'!$B$15=1,'Assumptions'!$C$24,IF(24-'Schedule_Inputs'!$B$15=2,'Assumptions'!$D$24,0))),IF(OR('Schedule_Inputs'!$C$15="Monthly",'Schedule_Inputs'!$C$15="Periodic"),IF(AND(24&gt;='Schedule_Inputs'!$B$15,MOD(24-'Schedule_Inputs'!$B$15,'Schedule_Inputs'!$E$15)=0,(24-'Schedule_Inputs'!$B$15)/'Schedule_Inputs'!$E$15&lt;'Schedule_Inputs'!$D$15),$C15/'Schedule_Inputs'!$D$15,0),0))))</f>
        <v/>
      </c>
      <c r="AC15" s="231">
        <f>IF('Schedule_Inputs'!$C$15="Blueprint",$C15*IF(25-'Schedule_Inputs'!$B$15=0,'Assumptions'!$B$21,IF(25-'Schedule_Inputs'!$B$15=1,'Assumptions'!$C$21,IF(25-'Schedule_Inputs'!$B$15=2,'Assumptions'!$D$21,0))),IF('Schedule_Inputs'!$C$15="Launch",$C15*IF(25-'Schedule_Inputs'!$B$15=0,'Assumptions'!$B$22,IF(25-'Schedule_Inputs'!$B$15=1,'Assumptions'!$C$22,IF(25-'Schedule_Inputs'!$B$15=2,'Assumptions'!$D$22,IF(25-'Schedule_Inputs'!$B$15=3,'Assumptions'!$B$23,0)))),IF('Schedule_Inputs'!$C$15="Office Setup",$C15*IF(25-'Schedule_Inputs'!$B$15=0,'Assumptions'!$B$24,IF(25-'Schedule_Inputs'!$B$15=1,'Assumptions'!$C$24,IF(25-'Schedule_Inputs'!$B$15=2,'Assumptions'!$D$24,0))),IF(OR('Schedule_Inputs'!$C$15="Monthly",'Schedule_Inputs'!$C$15="Periodic"),IF(AND(25&gt;='Schedule_Inputs'!$B$15,MOD(25-'Schedule_Inputs'!$B$15,'Schedule_Inputs'!$E$15)=0,(25-'Schedule_Inputs'!$B$15)/'Schedule_Inputs'!$E$15&lt;'Schedule_Inputs'!$D$15),$C15/'Schedule_Inputs'!$D$15,0),0))))</f>
        <v/>
      </c>
      <c r="AD15" s="231">
        <f>IF('Schedule_Inputs'!$C$15="Blueprint",$C15*IF(26-'Schedule_Inputs'!$B$15=0,'Assumptions'!$B$21,IF(26-'Schedule_Inputs'!$B$15=1,'Assumptions'!$C$21,IF(26-'Schedule_Inputs'!$B$15=2,'Assumptions'!$D$21,0))),IF('Schedule_Inputs'!$C$15="Launch",$C15*IF(26-'Schedule_Inputs'!$B$15=0,'Assumptions'!$B$22,IF(26-'Schedule_Inputs'!$B$15=1,'Assumptions'!$C$22,IF(26-'Schedule_Inputs'!$B$15=2,'Assumptions'!$D$22,IF(26-'Schedule_Inputs'!$B$15=3,'Assumptions'!$B$23,0)))),IF('Schedule_Inputs'!$C$15="Office Setup",$C15*IF(26-'Schedule_Inputs'!$B$15=0,'Assumptions'!$B$24,IF(26-'Schedule_Inputs'!$B$15=1,'Assumptions'!$C$24,IF(26-'Schedule_Inputs'!$B$15=2,'Assumptions'!$D$24,0))),IF(OR('Schedule_Inputs'!$C$15="Monthly",'Schedule_Inputs'!$C$15="Periodic"),IF(AND(26&gt;='Schedule_Inputs'!$B$15,MOD(26-'Schedule_Inputs'!$B$15,'Schedule_Inputs'!$E$15)=0,(26-'Schedule_Inputs'!$B$15)/'Schedule_Inputs'!$E$15&lt;'Schedule_Inputs'!$D$15),$C15/'Schedule_Inputs'!$D$15,0),0))))</f>
        <v/>
      </c>
      <c r="AE15" s="231">
        <f>IF('Schedule_Inputs'!$C$15="Blueprint",$C15*IF(27-'Schedule_Inputs'!$B$15=0,'Assumptions'!$B$21,IF(27-'Schedule_Inputs'!$B$15=1,'Assumptions'!$C$21,IF(27-'Schedule_Inputs'!$B$15=2,'Assumptions'!$D$21,0))),IF('Schedule_Inputs'!$C$15="Launch",$C15*IF(27-'Schedule_Inputs'!$B$15=0,'Assumptions'!$B$22,IF(27-'Schedule_Inputs'!$B$15=1,'Assumptions'!$C$22,IF(27-'Schedule_Inputs'!$B$15=2,'Assumptions'!$D$22,IF(27-'Schedule_Inputs'!$B$15=3,'Assumptions'!$B$23,0)))),IF('Schedule_Inputs'!$C$15="Office Setup",$C15*IF(27-'Schedule_Inputs'!$B$15=0,'Assumptions'!$B$24,IF(27-'Schedule_Inputs'!$B$15=1,'Assumptions'!$C$24,IF(27-'Schedule_Inputs'!$B$15=2,'Assumptions'!$D$24,0))),IF(OR('Schedule_Inputs'!$C$15="Monthly",'Schedule_Inputs'!$C$15="Periodic"),IF(AND(27&gt;='Schedule_Inputs'!$B$15,MOD(27-'Schedule_Inputs'!$B$15,'Schedule_Inputs'!$E$15)=0,(27-'Schedule_Inputs'!$B$15)/'Schedule_Inputs'!$E$15&lt;'Schedule_Inputs'!$D$15),$C15/'Schedule_Inputs'!$D$15,0),0))))</f>
        <v/>
      </c>
      <c r="AF15" s="231">
        <f>IF('Schedule_Inputs'!$C$15="Blueprint",$C15*IF(28-'Schedule_Inputs'!$B$15=0,'Assumptions'!$B$21,IF(28-'Schedule_Inputs'!$B$15=1,'Assumptions'!$C$21,IF(28-'Schedule_Inputs'!$B$15=2,'Assumptions'!$D$21,0))),IF('Schedule_Inputs'!$C$15="Launch",$C15*IF(28-'Schedule_Inputs'!$B$15=0,'Assumptions'!$B$22,IF(28-'Schedule_Inputs'!$B$15=1,'Assumptions'!$C$22,IF(28-'Schedule_Inputs'!$B$15=2,'Assumptions'!$D$22,IF(28-'Schedule_Inputs'!$B$15=3,'Assumptions'!$B$23,0)))),IF('Schedule_Inputs'!$C$15="Office Setup",$C15*IF(28-'Schedule_Inputs'!$B$15=0,'Assumptions'!$B$24,IF(28-'Schedule_Inputs'!$B$15=1,'Assumptions'!$C$24,IF(28-'Schedule_Inputs'!$B$15=2,'Assumptions'!$D$24,0))),IF(OR('Schedule_Inputs'!$C$15="Monthly",'Schedule_Inputs'!$C$15="Periodic"),IF(AND(28&gt;='Schedule_Inputs'!$B$15,MOD(28-'Schedule_Inputs'!$B$15,'Schedule_Inputs'!$E$15)=0,(28-'Schedule_Inputs'!$B$15)/'Schedule_Inputs'!$E$15&lt;'Schedule_Inputs'!$D$15),$C15/'Schedule_Inputs'!$D$15,0),0))))</f>
        <v/>
      </c>
      <c r="AG15" s="231">
        <f>IF('Schedule_Inputs'!$C$15="Blueprint",$C15*IF(29-'Schedule_Inputs'!$B$15=0,'Assumptions'!$B$21,IF(29-'Schedule_Inputs'!$B$15=1,'Assumptions'!$C$21,IF(29-'Schedule_Inputs'!$B$15=2,'Assumptions'!$D$21,0))),IF('Schedule_Inputs'!$C$15="Launch",$C15*IF(29-'Schedule_Inputs'!$B$15=0,'Assumptions'!$B$22,IF(29-'Schedule_Inputs'!$B$15=1,'Assumptions'!$C$22,IF(29-'Schedule_Inputs'!$B$15=2,'Assumptions'!$D$22,IF(29-'Schedule_Inputs'!$B$15=3,'Assumptions'!$B$23,0)))),IF('Schedule_Inputs'!$C$15="Office Setup",$C15*IF(29-'Schedule_Inputs'!$B$15=0,'Assumptions'!$B$24,IF(29-'Schedule_Inputs'!$B$15=1,'Assumptions'!$C$24,IF(29-'Schedule_Inputs'!$B$15=2,'Assumptions'!$D$24,0))),IF(OR('Schedule_Inputs'!$C$15="Monthly",'Schedule_Inputs'!$C$15="Periodic"),IF(AND(29&gt;='Schedule_Inputs'!$B$15,MOD(29-'Schedule_Inputs'!$B$15,'Schedule_Inputs'!$E$15)=0,(29-'Schedule_Inputs'!$B$15)/'Schedule_Inputs'!$E$15&lt;'Schedule_Inputs'!$D$15),$C15/'Schedule_Inputs'!$D$15,0),0))))</f>
        <v/>
      </c>
      <c r="AH15" s="231">
        <f>IF('Schedule_Inputs'!$C$15="Blueprint",$C15*IF(30-'Schedule_Inputs'!$B$15=0,'Assumptions'!$B$21,IF(30-'Schedule_Inputs'!$B$15=1,'Assumptions'!$C$21,IF(30-'Schedule_Inputs'!$B$15=2,'Assumptions'!$D$21,0))),IF('Schedule_Inputs'!$C$15="Launch",$C15*IF(30-'Schedule_Inputs'!$B$15=0,'Assumptions'!$B$22,IF(30-'Schedule_Inputs'!$B$15=1,'Assumptions'!$C$22,IF(30-'Schedule_Inputs'!$B$15=2,'Assumptions'!$D$22,IF(30-'Schedule_Inputs'!$B$15=3,'Assumptions'!$B$23,0)))),IF('Schedule_Inputs'!$C$15="Office Setup",$C15*IF(30-'Schedule_Inputs'!$B$15=0,'Assumptions'!$B$24,IF(30-'Schedule_Inputs'!$B$15=1,'Assumptions'!$C$24,IF(30-'Schedule_Inputs'!$B$15=2,'Assumptions'!$D$24,0))),IF(OR('Schedule_Inputs'!$C$15="Monthly",'Schedule_Inputs'!$C$15="Periodic"),IF(AND(30&gt;='Schedule_Inputs'!$B$15,MOD(30-'Schedule_Inputs'!$B$15,'Schedule_Inputs'!$E$15)=0,(30-'Schedule_Inputs'!$B$15)/'Schedule_Inputs'!$E$15&lt;'Schedule_Inputs'!$D$15),$C15/'Schedule_Inputs'!$D$15,0),0))))</f>
        <v/>
      </c>
      <c r="AI15" s="231">
        <f>IF('Schedule_Inputs'!$C$15="Blueprint",$C15*IF(31-'Schedule_Inputs'!$B$15=0,'Assumptions'!$B$21,IF(31-'Schedule_Inputs'!$B$15=1,'Assumptions'!$C$21,IF(31-'Schedule_Inputs'!$B$15=2,'Assumptions'!$D$21,0))),IF('Schedule_Inputs'!$C$15="Launch",$C15*IF(31-'Schedule_Inputs'!$B$15=0,'Assumptions'!$B$22,IF(31-'Schedule_Inputs'!$B$15=1,'Assumptions'!$C$22,IF(31-'Schedule_Inputs'!$B$15=2,'Assumptions'!$D$22,IF(31-'Schedule_Inputs'!$B$15=3,'Assumptions'!$B$23,0)))),IF('Schedule_Inputs'!$C$15="Office Setup",$C15*IF(31-'Schedule_Inputs'!$B$15=0,'Assumptions'!$B$24,IF(31-'Schedule_Inputs'!$B$15=1,'Assumptions'!$C$24,IF(31-'Schedule_Inputs'!$B$15=2,'Assumptions'!$D$24,0))),IF(OR('Schedule_Inputs'!$C$15="Monthly",'Schedule_Inputs'!$C$15="Periodic"),IF(AND(31&gt;='Schedule_Inputs'!$B$15,MOD(31-'Schedule_Inputs'!$B$15,'Schedule_Inputs'!$E$15)=0,(31-'Schedule_Inputs'!$B$15)/'Schedule_Inputs'!$E$15&lt;'Schedule_Inputs'!$D$15),$C15/'Schedule_Inputs'!$D$15,0),0))))</f>
        <v/>
      </c>
      <c r="AJ15" s="231">
        <f>IF('Schedule_Inputs'!$C$15="Blueprint",$C15*IF(32-'Schedule_Inputs'!$B$15=0,'Assumptions'!$B$21,IF(32-'Schedule_Inputs'!$B$15=1,'Assumptions'!$C$21,IF(32-'Schedule_Inputs'!$B$15=2,'Assumptions'!$D$21,0))),IF('Schedule_Inputs'!$C$15="Launch",$C15*IF(32-'Schedule_Inputs'!$B$15=0,'Assumptions'!$B$22,IF(32-'Schedule_Inputs'!$B$15=1,'Assumptions'!$C$22,IF(32-'Schedule_Inputs'!$B$15=2,'Assumptions'!$D$22,IF(32-'Schedule_Inputs'!$B$15=3,'Assumptions'!$B$23,0)))),IF('Schedule_Inputs'!$C$15="Office Setup",$C15*IF(32-'Schedule_Inputs'!$B$15=0,'Assumptions'!$B$24,IF(32-'Schedule_Inputs'!$B$15=1,'Assumptions'!$C$24,IF(32-'Schedule_Inputs'!$B$15=2,'Assumptions'!$D$24,0))),IF(OR('Schedule_Inputs'!$C$15="Monthly",'Schedule_Inputs'!$C$15="Periodic"),IF(AND(32&gt;='Schedule_Inputs'!$B$15,MOD(32-'Schedule_Inputs'!$B$15,'Schedule_Inputs'!$E$15)=0,(32-'Schedule_Inputs'!$B$15)/'Schedule_Inputs'!$E$15&lt;'Schedule_Inputs'!$D$15),$C15/'Schedule_Inputs'!$D$15,0),0))))</f>
        <v/>
      </c>
      <c r="AK15" s="231">
        <f>IF('Schedule_Inputs'!$C$15="Blueprint",$C15*IF(33-'Schedule_Inputs'!$B$15=0,'Assumptions'!$B$21,IF(33-'Schedule_Inputs'!$B$15=1,'Assumptions'!$C$21,IF(33-'Schedule_Inputs'!$B$15=2,'Assumptions'!$D$21,0))),IF('Schedule_Inputs'!$C$15="Launch",$C15*IF(33-'Schedule_Inputs'!$B$15=0,'Assumptions'!$B$22,IF(33-'Schedule_Inputs'!$B$15=1,'Assumptions'!$C$22,IF(33-'Schedule_Inputs'!$B$15=2,'Assumptions'!$D$22,IF(33-'Schedule_Inputs'!$B$15=3,'Assumptions'!$B$23,0)))),IF('Schedule_Inputs'!$C$15="Office Setup",$C15*IF(33-'Schedule_Inputs'!$B$15=0,'Assumptions'!$B$24,IF(33-'Schedule_Inputs'!$B$15=1,'Assumptions'!$C$24,IF(33-'Schedule_Inputs'!$B$15=2,'Assumptions'!$D$24,0))),IF(OR('Schedule_Inputs'!$C$15="Monthly",'Schedule_Inputs'!$C$15="Periodic"),IF(AND(33&gt;='Schedule_Inputs'!$B$15,MOD(33-'Schedule_Inputs'!$B$15,'Schedule_Inputs'!$E$15)=0,(33-'Schedule_Inputs'!$B$15)/'Schedule_Inputs'!$E$15&lt;'Schedule_Inputs'!$D$15),$C15/'Schedule_Inputs'!$D$15,0),0))))</f>
        <v/>
      </c>
      <c r="AL15" s="231">
        <f>IF('Schedule_Inputs'!$C$15="Blueprint",$C15*IF(34-'Schedule_Inputs'!$B$15=0,'Assumptions'!$B$21,IF(34-'Schedule_Inputs'!$B$15=1,'Assumptions'!$C$21,IF(34-'Schedule_Inputs'!$B$15=2,'Assumptions'!$D$21,0))),IF('Schedule_Inputs'!$C$15="Launch",$C15*IF(34-'Schedule_Inputs'!$B$15=0,'Assumptions'!$B$22,IF(34-'Schedule_Inputs'!$B$15=1,'Assumptions'!$C$22,IF(34-'Schedule_Inputs'!$B$15=2,'Assumptions'!$D$22,IF(34-'Schedule_Inputs'!$B$15=3,'Assumptions'!$B$23,0)))),IF('Schedule_Inputs'!$C$15="Office Setup",$C15*IF(34-'Schedule_Inputs'!$B$15=0,'Assumptions'!$B$24,IF(34-'Schedule_Inputs'!$B$15=1,'Assumptions'!$C$24,IF(34-'Schedule_Inputs'!$B$15=2,'Assumptions'!$D$24,0))),IF(OR('Schedule_Inputs'!$C$15="Monthly",'Schedule_Inputs'!$C$15="Periodic"),IF(AND(34&gt;='Schedule_Inputs'!$B$15,MOD(34-'Schedule_Inputs'!$B$15,'Schedule_Inputs'!$E$15)=0,(34-'Schedule_Inputs'!$B$15)/'Schedule_Inputs'!$E$15&lt;'Schedule_Inputs'!$D$15),$C15/'Schedule_Inputs'!$D$15,0),0))))</f>
        <v/>
      </c>
      <c r="AM15" s="231">
        <f>IF('Schedule_Inputs'!$C$15="Blueprint",$C15*IF(35-'Schedule_Inputs'!$B$15=0,'Assumptions'!$B$21,IF(35-'Schedule_Inputs'!$B$15=1,'Assumptions'!$C$21,IF(35-'Schedule_Inputs'!$B$15=2,'Assumptions'!$D$21,0))),IF('Schedule_Inputs'!$C$15="Launch",$C15*IF(35-'Schedule_Inputs'!$B$15=0,'Assumptions'!$B$22,IF(35-'Schedule_Inputs'!$B$15=1,'Assumptions'!$C$22,IF(35-'Schedule_Inputs'!$B$15=2,'Assumptions'!$D$22,IF(35-'Schedule_Inputs'!$B$15=3,'Assumptions'!$B$23,0)))),IF('Schedule_Inputs'!$C$15="Office Setup",$C15*IF(35-'Schedule_Inputs'!$B$15=0,'Assumptions'!$B$24,IF(35-'Schedule_Inputs'!$B$15=1,'Assumptions'!$C$24,IF(35-'Schedule_Inputs'!$B$15=2,'Assumptions'!$D$24,0))),IF(OR('Schedule_Inputs'!$C$15="Monthly",'Schedule_Inputs'!$C$15="Periodic"),IF(AND(35&gt;='Schedule_Inputs'!$B$15,MOD(35-'Schedule_Inputs'!$B$15,'Schedule_Inputs'!$E$15)=0,(35-'Schedule_Inputs'!$B$15)/'Schedule_Inputs'!$E$15&lt;'Schedule_Inputs'!$D$15),$C15/'Schedule_Inputs'!$D$15,0),0))))</f>
        <v/>
      </c>
      <c r="AN15" s="231">
        <f>IF('Schedule_Inputs'!$C$15="Blueprint",$C15*IF(36-'Schedule_Inputs'!$B$15=0,'Assumptions'!$B$21,IF(36-'Schedule_Inputs'!$B$15=1,'Assumptions'!$C$21,IF(36-'Schedule_Inputs'!$B$15=2,'Assumptions'!$D$21,0))),IF('Schedule_Inputs'!$C$15="Launch",$C15*IF(36-'Schedule_Inputs'!$B$15=0,'Assumptions'!$B$22,IF(36-'Schedule_Inputs'!$B$15=1,'Assumptions'!$C$22,IF(36-'Schedule_Inputs'!$B$15=2,'Assumptions'!$D$22,IF(36-'Schedule_Inputs'!$B$15=3,'Assumptions'!$B$23,0)))),IF('Schedule_Inputs'!$C$15="Office Setup",$C15*IF(36-'Schedule_Inputs'!$B$15=0,'Assumptions'!$B$24,IF(36-'Schedule_Inputs'!$B$15=1,'Assumptions'!$C$24,IF(36-'Schedule_Inputs'!$B$15=2,'Assumptions'!$D$24,0))),IF(OR('Schedule_Inputs'!$C$15="Monthly",'Schedule_Inputs'!$C$15="Periodic"),IF(AND(36&gt;='Schedule_Inputs'!$B$15,MOD(36-'Schedule_Inputs'!$B$15,'Schedule_Inputs'!$E$15)=0,(36-'Schedule_Inputs'!$B$15)/'Schedule_Inputs'!$E$15&lt;'Schedule_Inputs'!$D$15),$C15/'Schedule_Inputs'!$D$15,0),0))))</f>
        <v/>
      </c>
    </row>
    <row r="16">
      <c r="A16" s="106" t="inlineStr">
        <is>
          <t>Retainer 02</t>
        </is>
      </c>
      <c r="B16" s="106" t="n">
        <v>2</v>
      </c>
      <c r="C16" s="230" t="n">
        <v>72000</v>
      </c>
      <c r="D16" s="231" t="inlineStr">
        <is>
          <t>monthly in advance</t>
        </is>
      </c>
      <c r="E16" s="231">
        <f>IF('Schedule_Inputs'!$C$16="Blueprint",$C16*IF(1-'Schedule_Inputs'!$B$16=0,'Assumptions'!$B$21,IF(1-'Schedule_Inputs'!$B$16=1,'Assumptions'!$C$21,IF(1-'Schedule_Inputs'!$B$16=2,'Assumptions'!$D$21,0))),IF('Schedule_Inputs'!$C$16="Launch",$C16*IF(1-'Schedule_Inputs'!$B$16=0,'Assumptions'!$B$22,IF(1-'Schedule_Inputs'!$B$16=1,'Assumptions'!$C$22,IF(1-'Schedule_Inputs'!$B$16=2,'Assumptions'!$D$22,IF(1-'Schedule_Inputs'!$B$16=3,'Assumptions'!$B$23,0)))),IF('Schedule_Inputs'!$C$16="Office Setup",$C16*IF(1-'Schedule_Inputs'!$B$16=0,'Assumptions'!$B$24,IF(1-'Schedule_Inputs'!$B$16=1,'Assumptions'!$C$24,IF(1-'Schedule_Inputs'!$B$16=2,'Assumptions'!$D$24,0))),IF(OR('Schedule_Inputs'!$C$16="Monthly",'Schedule_Inputs'!$C$16="Periodic"),IF(AND(1&gt;='Schedule_Inputs'!$B$16,MOD(1-'Schedule_Inputs'!$B$16,'Schedule_Inputs'!$E$16)=0,(1-'Schedule_Inputs'!$B$16)/'Schedule_Inputs'!$E$16&lt;'Schedule_Inputs'!$D$16),$C16/'Schedule_Inputs'!$D$16,0),0))))</f>
        <v/>
      </c>
      <c r="F16" s="231">
        <f>IF('Schedule_Inputs'!$C$16="Blueprint",$C16*IF(2-'Schedule_Inputs'!$B$16=0,'Assumptions'!$B$21,IF(2-'Schedule_Inputs'!$B$16=1,'Assumptions'!$C$21,IF(2-'Schedule_Inputs'!$B$16=2,'Assumptions'!$D$21,0))),IF('Schedule_Inputs'!$C$16="Launch",$C16*IF(2-'Schedule_Inputs'!$B$16=0,'Assumptions'!$B$22,IF(2-'Schedule_Inputs'!$B$16=1,'Assumptions'!$C$22,IF(2-'Schedule_Inputs'!$B$16=2,'Assumptions'!$D$22,IF(2-'Schedule_Inputs'!$B$16=3,'Assumptions'!$B$23,0)))),IF('Schedule_Inputs'!$C$16="Office Setup",$C16*IF(2-'Schedule_Inputs'!$B$16=0,'Assumptions'!$B$24,IF(2-'Schedule_Inputs'!$B$16=1,'Assumptions'!$C$24,IF(2-'Schedule_Inputs'!$B$16=2,'Assumptions'!$D$24,0))),IF(OR('Schedule_Inputs'!$C$16="Monthly",'Schedule_Inputs'!$C$16="Periodic"),IF(AND(2&gt;='Schedule_Inputs'!$B$16,MOD(2-'Schedule_Inputs'!$B$16,'Schedule_Inputs'!$E$16)=0,(2-'Schedule_Inputs'!$B$16)/'Schedule_Inputs'!$E$16&lt;'Schedule_Inputs'!$D$16),$C16/'Schedule_Inputs'!$D$16,0),0))))</f>
        <v/>
      </c>
      <c r="G16" s="231">
        <f>IF('Schedule_Inputs'!$C$16="Blueprint",$C16*IF(3-'Schedule_Inputs'!$B$16=0,'Assumptions'!$B$21,IF(3-'Schedule_Inputs'!$B$16=1,'Assumptions'!$C$21,IF(3-'Schedule_Inputs'!$B$16=2,'Assumptions'!$D$21,0))),IF('Schedule_Inputs'!$C$16="Launch",$C16*IF(3-'Schedule_Inputs'!$B$16=0,'Assumptions'!$B$22,IF(3-'Schedule_Inputs'!$B$16=1,'Assumptions'!$C$22,IF(3-'Schedule_Inputs'!$B$16=2,'Assumptions'!$D$22,IF(3-'Schedule_Inputs'!$B$16=3,'Assumptions'!$B$23,0)))),IF('Schedule_Inputs'!$C$16="Office Setup",$C16*IF(3-'Schedule_Inputs'!$B$16=0,'Assumptions'!$B$24,IF(3-'Schedule_Inputs'!$B$16=1,'Assumptions'!$C$24,IF(3-'Schedule_Inputs'!$B$16=2,'Assumptions'!$D$24,0))),IF(OR('Schedule_Inputs'!$C$16="Monthly",'Schedule_Inputs'!$C$16="Periodic"),IF(AND(3&gt;='Schedule_Inputs'!$B$16,MOD(3-'Schedule_Inputs'!$B$16,'Schedule_Inputs'!$E$16)=0,(3-'Schedule_Inputs'!$B$16)/'Schedule_Inputs'!$E$16&lt;'Schedule_Inputs'!$D$16),$C16/'Schedule_Inputs'!$D$16,0),0))))</f>
        <v/>
      </c>
      <c r="H16" s="231">
        <f>IF('Schedule_Inputs'!$C$16="Blueprint",$C16*IF(4-'Schedule_Inputs'!$B$16=0,'Assumptions'!$B$21,IF(4-'Schedule_Inputs'!$B$16=1,'Assumptions'!$C$21,IF(4-'Schedule_Inputs'!$B$16=2,'Assumptions'!$D$21,0))),IF('Schedule_Inputs'!$C$16="Launch",$C16*IF(4-'Schedule_Inputs'!$B$16=0,'Assumptions'!$B$22,IF(4-'Schedule_Inputs'!$B$16=1,'Assumptions'!$C$22,IF(4-'Schedule_Inputs'!$B$16=2,'Assumptions'!$D$22,IF(4-'Schedule_Inputs'!$B$16=3,'Assumptions'!$B$23,0)))),IF('Schedule_Inputs'!$C$16="Office Setup",$C16*IF(4-'Schedule_Inputs'!$B$16=0,'Assumptions'!$B$24,IF(4-'Schedule_Inputs'!$B$16=1,'Assumptions'!$C$24,IF(4-'Schedule_Inputs'!$B$16=2,'Assumptions'!$D$24,0))),IF(OR('Schedule_Inputs'!$C$16="Monthly",'Schedule_Inputs'!$C$16="Periodic"),IF(AND(4&gt;='Schedule_Inputs'!$B$16,MOD(4-'Schedule_Inputs'!$B$16,'Schedule_Inputs'!$E$16)=0,(4-'Schedule_Inputs'!$B$16)/'Schedule_Inputs'!$E$16&lt;'Schedule_Inputs'!$D$16),$C16/'Schedule_Inputs'!$D$16,0),0))))</f>
        <v/>
      </c>
      <c r="I16" s="231">
        <f>IF('Schedule_Inputs'!$C$16="Blueprint",$C16*IF(5-'Schedule_Inputs'!$B$16=0,'Assumptions'!$B$21,IF(5-'Schedule_Inputs'!$B$16=1,'Assumptions'!$C$21,IF(5-'Schedule_Inputs'!$B$16=2,'Assumptions'!$D$21,0))),IF('Schedule_Inputs'!$C$16="Launch",$C16*IF(5-'Schedule_Inputs'!$B$16=0,'Assumptions'!$B$22,IF(5-'Schedule_Inputs'!$B$16=1,'Assumptions'!$C$22,IF(5-'Schedule_Inputs'!$B$16=2,'Assumptions'!$D$22,IF(5-'Schedule_Inputs'!$B$16=3,'Assumptions'!$B$23,0)))),IF('Schedule_Inputs'!$C$16="Office Setup",$C16*IF(5-'Schedule_Inputs'!$B$16=0,'Assumptions'!$B$24,IF(5-'Schedule_Inputs'!$B$16=1,'Assumptions'!$C$24,IF(5-'Schedule_Inputs'!$B$16=2,'Assumptions'!$D$24,0))),IF(OR('Schedule_Inputs'!$C$16="Monthly",'Schedule_Inputs'!$C$16="Periodic"),IF(AND(5&gt;='Schedule_Inputs'!$B$16,MOD(5-'Schedule_Inputs'!$B$16,'Schedule_Inputs'!$E$16)=0,(5-'Schedule_Inputs'!$B$16)/'Schedule_Inputs'!$E$16&lt;'Schedule_Inputs'!$D$16),$C16/'Schedule_Inputs'!$D$16,0),0))))</f>
        <v/>
      </c>
      <c r="J16" s="231">
        <f>IF('Schedule_Inputs'!$C$16="Blueprint",$C16*IF(6-'Schedule_Inputs'!$B$16=0,'Assumptions'!$B$21,IF(6-'Schedule_Inputs'!$B$16=1,'Assumptions'!$C$21,IF(6-'Schedule_Inputs'!$B$16=2,'Assumptions'!$D$21,0))),IF('Schedule_Inputs'!$C$16="Launch",$C16*IF(6-'Schedule_Inputs'!$B$16=0,'Assumptions'!$B$22,IF(6-'Schedule_Inputs'!$B$16=1,'Assumptions'!$C$22,IF(6-'Schedule_Inputs'!$B$16=2,'Assumptions'!$D$22,IF(6-'Schedule_Inputs'!$B$16=3,'Assumptions'!$B$23,0)))),IF('Schedule_Inputs'!$C$16="Office Setup",$C16*IF(6-'Schedule_Inputs'!$B$16=0,'Assumptions'!$B$24,IF(6-'Schedule_Inputs'!$B$16=1,'Assumptions'!$C$24,IF(6-'Schedule_Inputs'!$B$16=2,'Assumptions'!$D$24,0))),IF(OR('Schedule_Inputs'!$C$16="Monthly",'Schedule_Inputs'!$C$16="Periodic"),IF(AND(6&gt;='Schedule_Inputs'!$B$16,MOD(6-'Schedule_Inputs'!$B$16,'Schedule_Inputs'!$E$16)=0,(6-'Schedule_Inputs'!$B$16)/'Schedule_Inputs'!$E$16&lt;'Schedule_Inputs'!$D$16),$C16/'Schedule_Inputs'!$D$16,0),0))))</f>
        <v/>
      </c>
      <c r="K16" s="231">
        <f>IF('Schedule_Inputs'!$C$16="Blueprint",$C16*IF(7-'Schedule_Inputs'!$B$16=0,'Assumptions'!$B$21,IF(7-'Schedule_Inputs'!$B$16=1,'Assumptions'!$C$21,IF(7-'Schedule_Inputs'!$B$16=2,'Assumptions'!$D$21,0))),IF('Schedule_Inputs'!$C$16="Launch",$C16*IF(7-'Schedule_Inputs'!$B$16=0,'Assumptions'!$B$22,IF(7-'Schedule_Inputs'!$B$16=1,'Assumptions'!$C$22,IF(7-'Schedule_Inputs'!$B$16=2,'Assumptions'!$D$22,IF(7-'Schedule_Inputs'!$B$16=3,'Assumptions'!$B$23,0)))),IF('Schedule_Inputs'!$C$16="Office Setup",$C16*IF(7-'Schedule_Inputs'!$B$16=0,'Assumptions'!$B$24,IF(7-'Schedule_Inputs'!$B$16=1,'Assumptions'!$C$24,IF(7-'Schedule_Inputs'!$B$16=2,'Assumptions'!$D$24,0))),IF(OR('Schedule_Inputs'!$C$16="Monthly",'Schedule_Inputs'!$C$16="Periodic"),IF(AND(7&gt;='Schedule_Inputs'!$B$16,MOD(7-'Schedule_Inputs'!$B$16,'Schedule_Inputs'!$E$16)=0,(7-'Schedule_Inputs'!$B$16)/'Schedule_Inputs'!$E$16&lt;'Schedule_Inputs'!$D$16),$C16/'Schedule_Inputs'!$D$16,0),0))))</f>
        <v/>
      </c>
      <c r="L16" s="231">
        <f>IF('Schedule_Inputs'!$C$16="Blueprint",$C16*IF(8-'Schedule_Inputs'!$B$16=0,'Assumptions'!$B$21,IF(8-'Schedule_Inputs'!$B$16=1,'Assumptions'!$C$21,IF(8-'Schedule_Inputs'!$B$16=2,'Assumptions'!$D$21,0))),IF('Schedule_Inputs'!$C$16="Launch",$C16*IF(8-'Schedule_Inputs'!$B$16=0,'Assumptions'!$B$22,IF(8-'Schedule_Inputs'!$B$16=1,'Assumptions'!$C$22,IF(8-'Schedule_Inputs'!$B$16=2,'Assumptions'!$D$22,IF(8-'Schedule_Inputs'!$B$16=3,'Assumptions'!$B$23,0)))),IF('Schedule_Inputs'!$C$16="Office Setup",$C16*IF(8-'Schedule_Inputs'!$B$16=0,'Assumptions'!$B$24,IF(8-'Schedule_Inputs'!$B$16=1,'Assumptions'!$C$24,IF(8-'Schedule_Inputs'!$B$16=2,'Assumptions'!$D$24,0))),IF(OR('Schedule_Inputs'!$C$16="Monthly",'Schedule_Inputs'!$C$16="Periodic"),IF(AND(8&gt;='Schedule_Inputs'!$B$16,MOD(8-'Schedule_Inputs'!$B$16,'Schedule_Inputs'!$E$16)=0,(8-'Schedule_Inputs'!$B$16)/'Schedule_Inputs'!$E$16&lt;'Schedule_Inputs'!$D$16),$C16/'Schedule_Inputs'!$D$16,0),0))))</f>
        <v/>
      </c>
      <c r="M16" s="231">
        <f>IF('Schedule_Inputs'!$C$16="Blueprint",$C16*IF(9-'Schedule_Inputs'!$B$16=0,'Assumptions'!$B$21,IF(9-'Schedule_Inputs'!$B$16=1,'Assumptions'!$C$21,IF(9-'Schedule_Inputs'!$B$16=2,'Assumptions'!$D$21,0))),IF('Schedule_Inputs'!$C$16="Launch",$C16*IF(9-'Schedule_Inputs'!$B$16=0,'Assumptions'!$B$22,IF(9-'Schedule_Inputs'!$B$16=1,'Assumptions'!$C$22,IF(9-'Schedule_Inputs'!$B$16=2,'Assumptions'!$D$22,IF(9-'Schedule_Inputs'!$B$16=3,'Assumptions'!$B$23,0)))),IF('Schedule_Inputs'!$C$16="Office Setup",$C16*IF(9-'Schedule_Inputs'!$B$16=0,'Assumptions'!$B$24,IF(9-'Schedule_Inputs'!$B$16=1,'Assumptions'!$C$24,IF(9-'Schedule_Inputs'!$B$16=2,'Assumptions'!$D$24,0))),IF(OR('Schedule_Inputs'!$C$16="Monthly",'Schedule_Inputs'!$C$16="Periodic"),IF(AND(9&gt;='Schedule_Inputs'!$B$16,MOD(9-'Schedule_Inputs'!$B$16,'Schedule_Inputs'!$E$16)=0,(9-'Schedule_Inputs'!$B$16)/'Schedule_Inputs'!$E$16&lt;'Schedule_Inputs'!$D$16),$C16/'Schedule_Inputs'!$D$16,0),0))))</f>
        <v/>
      </c>
      <c r="N16" s="231">
        <f>IF('Schedule_Inputs'!$C$16="Blueprint",$C16*IF(10-'Schedule_Inputs'!$B$16=0,'Assumptions'!$B$21,IF(10-'Schedule_Inputs'!$B$16=1,'Assumptions'!$C$21,IF(10-'Schedule_Inputs'!$B$16=2,'Assumptions'!$D$21,0))),IF('Schedule_Inputs'!$C$16="Launch",$C16*IF(10-'Schedule_Inputs'!$B$16=0,'Assumptions'!$B$22,IF(10-'Schedule_Inputs'!$B$16=1,'Assumptions'!$C$22,IF(10-'Schedule_Inputs'!$B$16=2,'Assumptions'!$D$22,IF(10-'Schedule_Inputs'!$B$16=3,'Assumptions'!$B$23,0)))),IF('Schedule_Inputs'!$C$16="Office Setup",$C16*IF(10-'Schedule_Inputs'!$B$16=0,'Assumptions'!$B$24,IF(10-'Schedule_Inputs'!$B$16=1,'Assumptions'!$C$24,IF(10-'Schedule_Inputs'!$B$16=2,'Assumptions'!$D$24,0))),IF(OR('Schedule_Inputs'!$C$16="Monthly",'Schedule_Inputs'!$C$16="Periodic"),IF(AND(10&gt;='Schedule_Inputs'!$B$16,MOD(10-'Schedule_Inputs'!$B$16,'Schedule_Inputs'!$E$16)=0,(10-'Schedule_Inputs'!$B$16)/'Schedule_Inputs'!$E$16&lt;'Schedule_Inputs'!$D$16),$C16/'Schedule_Inputs'!$D$16,0),0))))</f>
        <v/>
      </c>
      <c r="O16" s="231">
        <f>IF('Schedule_Inputs'!$C$16="Blueprint",$C16*IF(11-'Schedule_Inputs'!$B$16=0,'Assumptions'!$B$21,IF(11-'Schedule_Inputs'!$B$16=1,'Assumptions'!$C$21,IF(11-'Schedule_Inputs'!$B$16=2,'Assumptions'!$D$21,0))),IF('Schedule_Inputs'!$C$16="Launch",$C16*IF(11-'Schedule_Inputs'!$B$16=0,'Assumptions'!$B$22,IF(11-'Schedule_Inputs'!$B$16=1,'Assumptions'!$C$22,IF(11-'Schedule_Inputs'!$B$16=2,'Assumptions'!$D$22,IF(11-'Schedule_Inputs'!$B$16=3,'Assumptions'!$B$23,0)))),IF('Schedule_Inputs'!$C$16="Office Setup",$C16*IF(11-'Schedule_Inputs'!$B$16=0,'Assumptions'!$B$24,IF(11-'Schedule_Inputs'!$B$16=1,'Assumptions'!$C$24,IF(11-'Schedule_Inputs'!$B$16=2,'Assumptions'!$D$24,0))),IF(OR('Schedule_Inputs'!$C$16="Monthly",'Schedule_Inputs'!$C$16="Periodic"),IF(AND(11&gt;='Schedule_Inputs'!$B$16,MOD(11-'Schedule_Inputs'!$B$16,'Schedule_Inputs'!$E$16)=0,(11-'Schedule_Inputs'!$B$16)/'Schedule_Inputs'!$E$16&lt;'Schedule_Inputs'!$D$16),$C16/'Schedule_Inputs'!$D$16,0),0))))</f>
        <v/>
      </c>
      <c r="P16" s="231">
        <f>IF('Schedule_Inputs'!$C$16="Blueprint",$C16*IF(12-'Schedule_Inputs'!$B$16=0,'Assumptions'!$B$21,IF(12-'Schedule_Inputs'!$B$16=1,'Assumptions'!$C$21,IF(12-'Schedule_Inputs'!$B$16=2,'Assumptions'!$D$21,0))),IF('Schedule_Inputs'!$C$16="Launch",$C16*IF(12-'Schedule_Inputs'!$B$16=0,'Assumptions'!$B$22,IF(12-'Schedule_Inputs'!$B$16=1,'Assumptions'!$C$22,IF(12-'Schedule_Inputs'!$B$16=2,'Assumptions'!$D$22,IF(12-'Schedule_Inputs'!$B$16=3,'Assumptions'!$B$23,0)))),IF('Schedule_Inputs'!$C$16="Office Setup",$C16*IF(12-'Schedule_Inputs'!$B$16=0,'Assumptions'!$B$24,IF(12-'Schedule_Inputs'!$B$16=1,'Assumptions'!$C$24,IF(12-'Schedule_Inputs'!$B$16=2,'Assumptions'!$D$24,0))),IF(OR('Schedule_Inputs'!$C$16="Monthly",'Schedule_Inputs'!$C$16="Periodic"),IF(AND(12&gt;='Schedule_Inputs'!$B$16,MOD(12-'Schedule_Inputs'!$B$16,'Schedule_Inputs'!$E$16)=0,(12-'Schedule_Inputs'!$B$16)/'Schedule_Inputs'!$E$16&lt;'Schedule_Inputs'!$D$16),$C16/'Schedule_Inputs'!$D$16,0),0))))</f>
        <v/>
      </c>
      <c r="Q16" s="231">
        <f>IF('Schedule_Inputs'!$C$16="Blueprint",$C16*IF(13-'Schedule_Inputs'!$B$16=0,'Assumptions'!$B$21,IF(13-'Schedule_Inputs'!$B$16=1,'Assumptions'!$C$21,IF(13-'Schedule_Inputs'!$B$16=2,'Assumptions'!$D$21,0))),IF('Schedule_Inputs'!$C$16="Launch",$C16*IF(13-'Schedule_Inputs'!$B$16=0,'Assumptions'!$B$22,IF(13-'Schedule_Inputs'!$B$16=1,'Assumptions'!$C$22,IF(13-'Schedule_Inputs'!$B$16=2,'Assumptions'!$D$22,IF(13-'Schedule_Inputs'!$B$16=3,'Assumptions'!$B$23,0)))),IF('Schedule_Inputs'!$C$16="Office Setup",$C16*IF(13-'Schedule_Inputs'!$B$16=0,'Assumptions'!$B$24,IF(13-'Schedule_Inputs'!$B$16=1,'Assumptions'!$C$24,IF(13-'Schedule_Inputs'!$B$16=2,'Assumptions'!$D$24,0))),IF(OR('Schedule_Inputs'!$C$16="Monthly",'Schedule_Inputs'!$C$16="Periodic"),IF(AND(13&gt;='Schedule_Inputs'!$B$16,MOD(13-'Schedule_Inputs'!$B$16,'Schedule_Inputs'!$E$16)=0,(13-'Schedule_Inputs'!$B$16)/'Schedule_Inputs'!$E$16&lt;'Schedule_Inputs'!$D$16),$C16/'Schedule_Inputs'!$D$16,0),0))))</f>
        <v/>
      </c>
      <c r="R16" s="231">
        <f>IF('Schedule_Inputs'!$C$16="Blueprint",$C16*IF(14-'Schedule_Inputs'!$B$16=0,'Assumptions'!$B$21,IF(14-'Schedule_Inputs'!$B$16=1,'Assumptions'!$C$21,IF(14-'Schedule_Inputs'!$B$16=2,'Assumptions'!$D$21,0))),IF('Schedule_Inputs'!$C$16="Launch",$C16*IF(14-'Schedule_Inputs'!$B$16=0,'Assumptions'!$B$22,IF(14-'Schedule_Inputs'!$B$16=1,'Assumptions'!$C$22,IF(14-'Schedule_Inputs'!$B$16=2,'Assumptions'!$D$22,IF(14-'Schedule_Inputs'!$B$16=3,'Assumptions'!$B$23,0)))),IF('Schedule_Inputs'!$C$16="Office Setup",$C16*IF(14-'Schedule_Inputs'!$B$16=0,'Assumptions'!$B$24,IF(14-'Schedule_Inputs'!$B$16=1,'Assumptions'!$C$24,IF(14-'Schedule_Inputs'!$B$16=2,'Assumptions'!$D$24,0))),IF(OR('Schedule_Inputs'!$C$16="Monthly",'Schedule_Inputs'!$C$16="Periodic"),IF(AND(14&gt;='Schedule_Inputs'!$B$16,MOD(14-'Schedule_Inputs'!$B$16,'Schedule_Inputs'!$E$16)=0,(14-'Schedule_Inputs'!$B$16)/'Schedule_Inputs'!$E$16&lt;'Schedule_Inputs'!$D$16),$C16/'Schedule_Inputs'!$D$16,0),0))))</f>
        <v/>
      </c>
      <c r="S16" s="231">
        <f>IF('Schedule_Inputs'!$C$16="Blueprint",$C16*IF(15-'Schedule_Inputs'!$B$16=0,'Assumptions'!$B$21,IF(15-'Schedule_Inputs'!$B$16=1,'Assumptions'!$C$21,IF(15-'Schedule_Inputs'!$B$16=2,'Assumptions'!$D$21,0))),IF('Schedule_Inputs'!$C$16="Launch",$C16*IF(15-'Schedule_Inputs'!$B$16=0,'Assumptions'!$B$22,IF(15-'Schedule_Inputs'!$B$16=1,'Assumptions'!$C$22,IF(15-'Schedule_Inputs'!$B$16=2,'Assumptions'!$D$22,IF(15-'Schedule_Inputs'!$B$16=3,'Assumptions'!$B$23,0)))),IF('Schedule_Inputs'!$C$16="Office Setup",$C16*IF(15-'Schedule_Inputs'!$B$16=0,'Assumptions'!$B$24,IF(15-'Schedule_Inputs'!$B$16=1,'Assumptions'!$C$24,IF(15-'Schedule_Inputs'!$B$16=2,'Assumptions'!$D$24,0))),IF(OR('Schedule_Inputs'!$C$16="Monthly",'Schedule_Inputs'!$C$16="Periodic"),IF(AND(15&gt;='Schedule_Inputs'!$B$16,MOD(15-'Schedule_Inputs'!$B$16,'Schedule_Inputs'!$E$16)=0,(15-'Schedule_Inputs'!$B$16)/'Schedule_Inputs'!$E$16&lt;'Schedule_Inputs'!$D$16),$C16/'Schedule_Inputs'!$D$16,0),0))))</f>
        <v/>
      </c>
      <c r="T16" s="231">
        <f>IF('Schedule_Inputs'!$C$16="Blueprint",$C16*IF(16-'Schedule_Inputs'!$B$16=0,'Assumptions'!$B$21,IF(16-'Schedule_Inputs'!$B$16=1,'Assumptions'!$C$21,IF(16-'Schedule_Inputs'!$B$16=2,'Assumptions'!$D$21,0))),IF('Schedule_Inputs'!$C$16="Launch",$C16*IF(16-'Schedule_Inputs'!$B$16=0,'Assumptions'!$B$22,IF(16-'Schedule_Inputs'!$B$16=1,'Assumptions'!$C$22,IF(16-'Schedule_Inputs'!$B$16=2,'Assumptions'!$D$22,IF(16-'Schedule_Inputs'!$B$16=3,'Assumptions'!$B$23,0)))),IF('Schedule_Inputs'!$C$16="Office Setup",$C16*IF(16-'Schedule_Inputs'!$B$16=0,'Assumptions'!$B$24,IF(16-'Schedule_Inputs'!$B$16=1,'Assumptions'!$C$24,IF(16-'Schedule_Inputs'!$B$16=2,'Assumptions'!$D$24,0))),IF(OR('Schedule_Inputs'!$C$16="Monthly",'Schedule_Inputs'!$C$16="Periodic"),IF(AND(16&gt;='Schedule_Inputs'!$B$16,MOD(16-'Schedule_Inputs'!$B$16,'Schedule_Inputs'!$E$16)=0,(16-'Schedule_Inputs'!$B$16)/'Schedule_Inputs'!$E$16&lt;'Schedule_Inputs'!$D$16),$C16/'Schedule_Inputs'!$D$16,0),0))))</f>
        <v/>
      </c>
      <c r="U16" s="231">
        <f>IF('Schedule_Inputs'!$C$16="Blueprint",$C16*IF(17-'Schedule_Inputs'!$B$16=0,'Assumptions'!$B$21,IF(17-'Schedule_Inputs'!$B$16=1,'Assumptions'!$C$21,IF(17-'Schedule_Inputs'!$B$16=2,'Assumptions'!$D$21,0))),IF('Schedule_Inputs'!$C$16="Launch",$C16*IF(17-'Schedule_Inputs'!$B$16=0,'Assumptions'!$B$22,IF(17-'Schedule_Inputs'!$B$16=1,'Assumptions'!$C$22,IF(17-'Schedule_Inputs'!$B$16=2,'Assumptions'!$D$22,IF(17-'Schedule_Inputs'!$B$16=3,'Assumptions'!$B$23,0)))),IF('Schedule_Inputs'!$C$16="Office Setup",$C16*IF(17-'Schedule_Inputs'!$B$16=0,'Assumptions'!$B$24,IF(17-'Schedule_Inputs'!$B$16=1,'Assumptions'!$C$24,IF(17-'Schedule_Inputs'!$B$16=2,'Assumptions'!$D$24,0))),IF(OR('Schedule_Inputs'!$C$16="Monthly",'Schedule_Inputs'!$C$16="Periodic"),IF(AND(17&gt;='Schedule_Inputs'!$B$16,MOD(17-'Schedule_Inputs'!$B$16,'Schedule_Inputs'!$E$16)=0,(17-'Schedule_Inputs'!$B$16)/'Schedule_Inputs'!$E$16&lt;'Schedule_Inputs'!$D$16),$C16/'Schedule_Inputs'!$D$16,0),0))))</f>
        <v/>
      </c>
      <c r="V16" s="231">
        <f>IF('Schedule_Inputs'!$C$16="Blueprint",$C16*IF(18-'Schedule_Inputs'!$B$16=0,'Assumptions'!$B$21,IF(18-'Schedule_Inputs'!$B$16=1,'Assumptions'!$C$21,IF(18-'Schedule_Inputs'!$B$16=2,'Assumptions'!$D$21,0))),IF('Schedule_Inputs'!$C$16="Launch",$C16*IF(18-'Schedule_Inputs'!$B$16=0,'Assumptions'!$B$22,IF(18-'Schedule_Inputs'!$B$16=1,'Assumptions'!$C$22,IF(18-'Schedule_Inputs'!$B$16=2,'Assumptions'!$D$22,IF(18-'Schedule_Inputs'!$B$16=3,'Assumptions'!$B$23,0)))),IF('Schedule_Inputs'!$C$16="Office Setup",$C16*IF(18-'Schedule_Inputs'!$B$16=0,'Assumptions'!$B$24,IF(18-'Schedule_Inputs'!$B$16=1,'Assumptions'!$C$24,IF(18-'Schedule_Inputs'!$B$16=2,'Assumptions'!$D$24,0))),IF(OR('Schedule_Inputs'!$C$16="Monthly",'Schedule_Inputs'!$C$16="Periodic"),IF(AND(18&gt;='Schedule_Inputs'!$B$16,MOD(18-'Schedule_Inputs'!$B$16,'Schedule_Inputs'!$E$16)=0,(18-'Schedule_Inputs'!$B$16)/'Schedule_Inputs'!$E$16&lt;'Schedule_Inputs'!$D$16),$C16/'Schedule_Inputs'!$D$16,0),0))))</f>
        <v/>
      </c>
      <c r="W16" s="231">
        <f>IF('Schedule_Inputs'!$C$16="Blueprint",$C16*IF(19-'Schedule_Inputs'!$B$16=0,'Assumptions'!$B$21,IF(19-'Schedule_Inputs'!$B$16=1,'Assumptions'!$C$21,IF(19-'Schedule_Inputs'!$B$16=2,'Assumptions'!$D$21,0))),IF('Schedule_Inputs'!$C$16="Launch",$C16*IF(19-'Schedule_Inputs'!$B$16=0,'Assumptions'!$B$22,IF(19-'Schedule_Inputs'!$B$16=1,'Assumptions'!$C$22,IF(19-'Schedule_Inputs'!$B$16=2,'Assumptions'!$D$22,IF(19-'Schedule_Inputs'!$B$16=3,'Assumptions'!$B$23,0)))),IF('Schedule_Inputs'!$C$16="Office Setup",$C16*IF(19-'Schedule_Inputs'!$B$16=0,'Assumptions'!$B$24,IF(19-'Schedule_Inputs'!$B$16=1,'Assumptions'!$C$24,IF(19-'Schedule_Inputs'!$B$16=2,'Assumptions'!$D$24,0))),IF(OR('Schedule_Inputs'!$C$16="Monthly",'Schedule_Inputs'!$C$16="Periodic"),IF(AND(19&gt;='Schedule_Inputs'!$B$16,MOD(19-'Schedule_Inputs'!$B$16,'Schedule_Inputs'!$E$16)=0,(19-'Schedule_Inputs'!$B$16)/'Schedule_Inputs'!$E$16&lt;'Schedule_Inputs'!$D$16),$C16/'Schedule_Inputs'!$D$16,0),0))))</f>
        <v/>
      </c>
      <c r="X16" s="231">
        <f>IF('Schedule_Inputs'!$C$16="Blueprint",$C16*IF(20-'Schedule_Inputs'!$B$16=0,'Assumptions'!$B$21,IF(20-'Schedule_Inputs'!$B$16=1,'Assumptions'!$C$21,IF(20-'Schedule_Inputs'!$B$16=2,'Assumptions'!$D$21,0))),IF('Schedule_Inputs'!$C$16="Launch",$C16*IF(20-'Schedule_Inputs'!$B$16=0,'Assumptions'!$B$22,IF(20-'Schedule_Inputs'!$B$16=1,'Assumptions'!$C$22,IF(20-'Schedule_Inputs'!$B$16=2,'Assumptions'!$D$22,IF(20-'Schedule_Inputs'!$B$16=3,'Assumptions'!$B$23,0)))),IF('Schedule_Inputs'!$C$16="Office Setup",$C16*IF(20-'Schedule_Inputs'!$B$16=0,'Assumptions'!$B$24,IF(20-'Schedule_Inputs'!$B$16=1,'Assumptions'!$C$24,IF(20-'Schedule_Inputs'!$B$16=2,'Assumptions'!$D$24,0))),IF(OR('Schedule_Inputs'!$C$16="Monthly",'Schedule_Inputs'!$C$16="Periodic"),IF(AND(20&gt;='Schedule_Inputs'!$B$16,MOD(20-'Schedule_Inputs'!$B$16,'Schedule_Inputs'!$E$16)=0,(20-'Schedule_Inputs'!$B$16)/'Schedule_Inputs'!$E$16&lt;'Schedule_Inputs'!$D$16),$C16/'Schedule_Inputs'!$D$16,0),0))))</f>
        <v/>
      </c>
      <c r="Y16" s="231">
        <f>IF('Schedule_Inputs'!$C$16="Blueprint",$C16*IF(21-'Schedule_Inputs'!$B$16=0,'Assumptions'!$B$21,IF(21-'Schedule_Inputs'!$B$16=1,'Assumptions'!$C$21,IF(21-'Schedule_Inputs'!$B$16=2,'Assumptions'!$D$21,0))),IF('Schedule_Inputs'!$C$16="Launch",$C16*IF(21-'Schedule_Inputs'!$B$16=0,'Assumptions'!$B$22,IF(21-'Schedule_Inputs'!$B$16=1,'Assumptions'!$C$22,IF(21-'Schedule_Inputs'!$B$16=2,'Assumptions'!$D$22,IF(21-'Schedule_Inputs'!$B$16=3,'Assumptions'!$B$23,0)))),IF('Schedule_Inputs'!$C$16="Office Setup",$C16*IF(21-'Schedule_Inputs'!$B$16=0,'Assumptions'!$B$24,IF(21-'Schedule_Inputs'!$B$16=1,'Assumptions'!$C$24,IF(21-'Schedule_Inputs'!$B$16=2,'Assumptions'!$D$24,0))),IF(OR('Schedule_Inputs'!$C$16="Monthly",'Schedule_Inputs'!$C$16="Periodic"),IF(AND(21&gt;='Schedule_Inputs'!$B$16,MOD(21-'Schedule_Inputs'!$B$16,'Schedule_Inputs'!$E$16)=0,(21-'Schedule_Inputs'!$B$16)/'Schedule_Inputs'!$E$16&lt;'Schedule_Inputs'!$D$16),$C16/'Schedule_Inputs'!$D$16,0),0))))</f>
        <v/>
      </c>
      <c r="Z16" s="231">
        <f>IF('Schedule_Inputs'!$C$16="Blueprint",$C16*IF(22-'Schedule_Inputs'!$B$16=0,'Assumptions'!$B$21,IF(22-'Schedule_Inputs'!$B$16=1,'Assumptions'!$C$21,IF(22-'Schedule_Inputs'!$B$16=2,'Assumptions'!$D$21,0))),IF('Schedule_Inputs'!$C$16="Launch",$C16*IF(22-'Schedule_Inputs'!$B$16=0,'Assumptions'!$B$22,IF(22-'Schedule_Inputs'!$B$16=1,'Assumptions'!$C$22,IF(22-'Schedule_Inputs'!$B$16=2,'Assumptions'!$D$22,IF(22-'Schedule_Inputs'!$B$16=3,'Assumptions'!$B$23,0)))),IF('Schedule_Inputs'!$C$16="Office Setup",$C16*IF(22-'Schedule_Inputs'!$B$16=0,'Assumptions'!$B$24,IF(22-'Schedule_Inputs'!$B$16=1,'Assumptions'!$C$24,IF(22-'Schedule_Inputs'!$B$16=2,'Assumptions'!$D$24,0))),IF(OR('Schedule_Inputs'!$C$16="Monthly",'Schedule_Inputs'!$C$16="Periodic"),IF(AND(22&gt;='Schedule_Inputs'!$B$16,MOD(22-'Schedule_Inputs'!$B$16,'Schedule_Inputs'!$E$16)=0,(22-'Schedule_Inputs'!$B$16)/'Schedule_Inputs'!$E$16&lt;'Schedule_Inputs'!$D$16),$C16/'Schedule_Inputs'!$D$16,0),0))))</f>
        <v/>
      </c>
      <c r="AA16" s="231">
        <f>IF('Schedule_Inputs'!$C$16="Blueprint",$C16*IF(23-'Schedule_Inputs'!$B$16=0,'Assumptions'!$B$21,IF(23-'Schedule_Inputs'!$B$16=1,'Assumptions'!$C$21,IF(23-'Schedule_Inputs'!$B$16=2,'Assumptions'!$D$21,0))),IF('Schedule_Inputs'!$C$16="Launch",$C16*IF(23-'Schedule_Inputs'!$B$16=0,'Assumptions'!$B$22,IF(23-'Schedule_Inputs'!$B$16=1,'Assumptions'!$C$22,IF(23-'Schedule_Inputs'!$B$16=2,'Assumptions'!$D$22,IF(23-'Schedule_Inputs'!$B$16=3,'Assumptions'!$B$23,0)))),IF('Schedule_Inputs'!$C$16="Office Setup",$C16*IF(23-'Schedule_Inputs'!$B$16=0,'Assumptions'!$B$24,IF(23-'Schedule_Inputs'!$B$16=1,'Assumptions'!$C$24,IF(23-'Schedule_Inputs'!$B$16=2,'Assumptions'!$D$24,0))),IF(OR('Schedule_Inputs'!$C$16="Monthly",'Schedule_Inputs'!$C$16="Periodic"),IF(AND(23&gt;='Schedule_Inputs'!$B$16,MOD(23-'Schedule_Inputs'!$B$16,'Schedule_Inputs'!$E$16)=0,(23-'Schedule_Inputs'!$B$16)/'Schedule_Inputs'!$E$16&lt;'Schedule_Inputs'!$D$16),$C16/'Schedule_Inputs'!$D$16,0),0))))</f>
        <v/>
      </c>
      <c r="AB16" s="231">
        <f>IF('Schedule_Inputs'!$C$16="Blueprint",$C16*IF(24-'Schedule_Inputs'!$B$16=0,'Assumptions'!$B$21,IF(24-'Schedule_Inputs'!$B$16=1,'Assumptions'!$C$21,IF(24-'Schedule_Inputs'!$B$16=2,'Assumptions'!$D$21,0))),IF('Schedule_Inputs'!$C$16="Launch",$C16*IF(24-'Schedule_Inputs'!$B$16=0,'Assumptions'!$B$22,IF(24-'Schedule_Inputs'!$B$16=1,'Assumptions'!$C$22,IF(24-'Schedule_Inputs'!$B$16=2,'Assumptions'!$D$22,IF(24-'Schedule_Inputs'!$B$16=3,'Assumptions'!$B$23,0)))),IF('Schedule_Inputs'!$C$16="Office Setup",$C16*IF(24-'Schedule_Inputs'!$B$16=0,'Assumptions'!$B$24,IF(24-'Schedule_Inputs'!$B$16=1,'Assumptions'!$C$24,IF(24-'Schedule_Inputs'!$B$16=2,'Assumptions'!$D$24,0))),IF(OR('Schedule_Inputs'!$C$16="Monthly",'Schedule_Inputs'!$C$16="Periodic"),IF(AND(24&gt;='Schedule_Inputs'!$B$16,MOD(24-'Schedule_Inputs'!$B$16,'Schedule_Inputs'!$E$16)=0,(24-'Schedule_Inputs'!$B$16)/'Schedule_Inputs'!$E$16&lt;'Schedule_Inputs'!$D$16),$C16/'Schedule_Inputs'!$D$16,0),0))))</f>
        <v/>
      </c>
      <c r="AC16" s="231">
        <f>IF('Schedule_Inputs'!$C$16="Blueprint",$C16*IF(25-'Schedule_Inputs'!$B$16=0,'Assumptions'!$B$21,IF(25-'Schedule_Inputs'!$B$16=1,'Assumptions'!$C$21,IF(25-'Schedule_Inputs'!$B$16=2,'Assumptions'!$D$21,0))),IF('Schedule_Inputs'!$C$16="Launch",$C16*IF(25-'Schedule_Inputs'!$B$16=0,'Assumptions'!$B$22,IF(25-'Schedule_Inputs'!$B$16=1,'Assumptions'!$C$22,IF(25-'Schedule_Inputs'!$B$16=2,'Assumptions'!$D$22,IF(25-'Schedule_Inputs'!$B$16=3,'Assumptions'!$B$23,0)))),IF('Schedule_Inputs'!$C$16="Office Setup",$C16*IF(25-'Schedule_Inputs'!$B$16=0,'Assumptions'!$B$24,IF(25-'Schedule_Inputs'!$B$16=1,'Assumptions'!$C$24,IF(25-'Schedule_Inputs'!$B$16=2,'Assumptions'!$D$24,0))),IF(OR('Schedule_Inputs'!$C$16="Monthly",'Schedule_Inputs'!$C$16="Periodic"),IF(AND(25&gt;='Schedule_Inputs'!$B$16,MOD(25-'Schedule_Inputs'!$B$16,'Schedule_Inputs'!$E$16)=0,(25-'Schedule_Inputs'!$B$16)/'Schedule_Inputs'!$E$16&lt;'Schedule_Inputs'!$D$16),$C16/'Schedule_Inputs'!$D$16,0),0))))</f>
        <v/>
      </c>
      <c r="AD16" s="231">
        <f>IF('Schedule_Inputs'!$C$16="Blueprint",$C16*IF(26-'Schedule_Inputs'!$B$16=0,'Assumptions'!$B$21,IF(26-'Schedule_Inputs'!$B$16=1,'Assumptions'!$C$21,IF(26-'Schedule_Inputs'!$B$16=2,'Assumptions'!$D$21,0))),IF('Schedule_Inputs'!$C$16="Launch",$C16*IF(26-'Schedule_Inputs'!$B$16=0,'Assumptions'!$B$22,IF(26-'Schedule_Inputs'!$B$16=1,'Assumptions'!$C$22,IF(26-'Schedule_Inputs'!$B$16=2,'Assumptions'!$D$22,IF(26-'Schedule_Inputs'!$B$16=3,'Assumptions'!$B$23,0)))),IF('Schedule_Inputs'!$C$16="Office Setup",$C16*IF(26-'Schedule_Inputs'!$B$16=0,'Assumptions'!$B$24,IF(26-'Schedule_Inputs'!$B$16=1,'Assumptions'!$C$24,IF(26-'Schedule_Inputs'!$B$16=2,'Assumptions'!$D$24,0))),IF(OR('Schedule_Inputs'!$C$16="Monthly",'Schedule_Inputs'!$C$16="Periodic"),IF(AND(26&gt;='Schedule_Inputs'!$B$16,MOD(26-'Schedule_Inputs'!$B$16,'Schedule_Inputs'!$E$16)=0,(26-'Schedule_Inputs'!$B$16)/'Schedule_Inputs'!$E$16&lt;'Schedule_Inputs'!$D$16),$C16/'Schedule_Inputs'!$D$16,0),0))))</f>
        <v/>
      </c>
      <c r="AE16" s="231">
        <f>IF('Schedule_Inputs'!$C$16="Blueprint",$C16*IF(27-'Schedule_Inputs'!$B$16=0,'Assumptions'!$B$21,IF(27-'Schedule_Inputs'!$B$16=1,'Assumptions'!$C$21,IF(27-'Schedule_Inputs'!$B$16=2,'Assumptions'!$D$21,0))),IF('Schedule_Inputs'!$C$16="Launch",$C16*IF(27-'Schedule_Inputs'!$B$16=0,'Assumptions'!$B$22,IF(27-'Schedule_Inputs'!$B$16=1,'Assumptions'!$C$22,IF(27-'Schedule_Inputs'!$B$16=2,'Assumptions'!$D$22,IF(27-'Schedule_Inputs'!$B$16=3,'Assumptions'!$B$23,0)))),IF('Schedule_Inputs'!$C$16="Office Setup",$C16*IF(27-'Schedule_Inputs'!$B$16=0,'Assumptions'!$B$24,IF(27-'Schedule_Inputs'!$B$16=1,'Assumptions'!$C$24,IF(27-'Schedule_Inputs'!$B$16=2,'Assumptions'!$D$24,0))),IF(OR('Schedule_Inputs'!$C$16="Monthly",'Schedule_Inputs'!$C$16="Periodic"),IF(AND(27&gt;='Schedule_Inputs'!$B$16,MOD(27-'Schedule_Inputs'!$B$16,'Schedule_Inputs'!$E$16)=0,(27-'Schedule_Inputs'!$B$16)/'Schedule_Inputs'!$E$16&lt;'Schedule_Inputs'!$D$16),$C16/'Schedule_Inputs'!$D$16,0),0))))</f>
        <v/>
      </c>
      <c r="AF16" s="231">
        <f>IF('Schedule_Inputs'!$C$16="Blueprint",$C16*IF(28-'Schedule_Inputs'!$B$16=0,'Assumptions'!$B$21,IF(28-'Schedule_Inputs'!$B$16=1,'Assumptions'!$C$21,IF(28-'Schedule_Inputs'!$B$16=2,'Assumptions'!$D$21,0))),IF('Schedule_Inputs'!$C$16="Launch",$C16*IF(28-'Schedule_Inputs'!$B$16=0,'Assumptions'!$B$22,IF(28-'Schedule_Inputs'!$B$16=1,'Assumptions'!$C$22,IF(28-'Schedule_Inputs'!$B$16=2,'Assumptions'!$D$22,IF(28-'Schedule_Inputs'!$B$16=3,'Assumptions'!$B$23,0)))),IF('Schedule_Inputs'!$C$16="Office Setup",$C16*IF(28-'Schedule_Inputs'!$B$16=0,'Assumptions'!$B$24,IF(28-'Schedule_Inputs'!$B$16=1,'Assumptions'!$C$24,IF(28-'Schedule_Inputs'!$B$16=2,'Assumptions'!$D$24,0))),IF(OR('Schedule_Inputs'!$C$16="Monthly",'Schedule_Inputs'!$C$16="Periodic"),IF(AND(28&gt;='Schedule_Inputs'!$B$16,MOD(28-'Schedule_Inputs'!$B$16,'Schedule_Inputs'!$E$16)=0,(28-'Schedule_Inputs'!$B$16)/'Schedule_Inputs'!$E$16&lt;'Schedule_Inputs'!$D$16),$C16/'Schedule_Inputs'!$D$16,0),0))))</f>
        <v/>
      </c>
      <c r="AG16" s="231">
        <f>IF('Schedule_Inputs'!$C$16="Blueprint",$C16*IF(29-'Schedule_Inputs'!$B$16=0,'Assumptions'!$B$21,IF(29-'Schedule_Inputs'!$B$16=1,'Assumptions'!$C$21,IF(29-'Schedule_Inputs'!$B$16=2,'Assumptions'!$D$21,0))),IF('Schedule_Inputs'!$C$16="Launch",$C16*IF(29-'Schedule_Inputs'!$B$16=0,'Assumptions'!$B$22,IF(29-'Schedule_Inputs'!$B$16=1,'Assumptions'!$C$22,IF(29-'Schedule_Inputs'!$B$16=2,'Assumptions'!$D$22,IF(29-'Schedule_Inputs'!$B$16=3,'Assumptions'!$B$23,0)))),IF('Schedule_Inputs'!$C$16="Office Setup",$C16*IF(29-'Schedule_Inputs'!$B$16=0,'Assumptions'!$B$24,IF(29-'Schedule_Inputs'!$B$16=1,'Assumptions'!$C$24,IF(29-'Schedule_Inputs'!$B$16=2,'Assumptions'!$D$24,0))),IF(OR('Schedule_Inputs'!$C$16="Monthly",'Schedule_Inputs'!$C$16="Periodic"),IF(AND(29&gt;='Schedule_Inputs'!$B$16,MOD(29-'Schedule_Inputs'!$B$16,'Schedule_Inputs'!$E$16)=0,(29-'Schedule_Inputs'!$B$16)/'Schedule_Inputs'!$E$16&lt;'Schedule_Inputs'!$D$16),$C16/'Schedule_Inputs'!$D$16,0),0))))</f>
        <v/>
      </c>
      <c r="AH16" s="231">
        <f>IF('Schedule_Inputs'!$C$16="Blueprint",$C16*IF(30-'Schedule_Inputs'!$B$16=0,'Assumptions'!$B$21,IF(30-'Schedule_Inputs'!$B$16=1,'Assumptions'!$C$21,IF(30-'Schedule_Inputs'!$B$16=2,'Assumptions'!$D$21,0))),IF('Schedule_Inputs'!$C$16="Launch",$C16*IF(30-'Schedule_Inputs'!$B$16=0,'Assumptions'!$B$22,IF(30-'Schedule_Inputs'!$B$16=1,'Assumptions'!$C$22,IF(30-'Schedule_Inputs'!$B$16=2,'Assumptions'!$D$22,IF(30-'Schedule_Inputs'!$B$16=3,'Assumptions'!$B$23,0)))),IF('Schedule_Inputs'!$C$16="Office Setup",$C16*IF(30-'Schedule_Inputs'!$B$16=0,'Assumptions'!$B$24,IF(30-'Schedule_Inputs'!$B$16=1,'Assumptions'!$C$24,IF(30-'Schedule_Inputs'!$B$16=2,'Assumptions'!$D$24,0))),IF(OR('Schedule_Inputs'!$C$16="Monthly",'Schedule_Inputs'!$C$16="Periodic"),IF(AND(30&gt;='Schedule_Inputs'!$B$16,MOD(30-'Schedule_Inputs'!$B$16,'Schedule_Inputs'!$E$16)=0,(30-'Schedule_Inputs'!$B$16)/'Schedule_Inputs'!$E$16&lt;'Schedule_Inputs'!$D$16),$C16/'Schedule_Inputs'!$D$16,0),0))))</f>
        <v/>
      </c>
      <c r="AI16" s="231">
        <f>IF('Schedule_Inputs'!$C$16="Blueprint",$C16*IF(31-'Schedule_Inputs'!$B$16=0,'Assumptions'!$B$21,IF(31-'Schedule_Inputs'!$B$16=1,'Assumptions'!$C$21,IF(31-'Schedule_Inputs'!$B$16=2,'Assumptions'!$D$21,0))),IF('Schedule_Inputs'!$C$16="Launch",$C16*IF(31-'Schedule_Inputs'!$B$16=0,'Assumptions'!$B$22,IF(31-'Schedule_Inputs'!$B$16=1,'Assumptions'!$C$22,IF(31-'Schedule_Inputs'!$B$16=2,'Assumptions'!$D$22,IF(31-'Schedule_Inputs'!$B$16=3,'Assumptions'!$B$23,0)))),IF('Schedule_Inputs'!$C$16="Office Setup",$C16*IF(31-'Schedule_Inputs'!$B$16=0,'Assumptions'!$B$24,IF(31-'Schedule_Inputs'!$B$16=1,'Assumptions'!$C$24,IF(31-'Schedule_Inputs'!$B$16=2,'Assumptions'!$D$24,0))),IF(OR('Schedule_Inputs'!$C$16="Monthly",'Schedule_Inputs'!$C$16="Periodic"),IF(AND(31&gt;='Schedule_Inputs'!$B$16,MOD(31-'Schedule_Inputs'!$B$16,'Schedule_Inputs'!$E$16)=0,(31-'Schedule_Inputs'!$B$16)/'Schedule_Inputs'!$E$16&lt;'Schedule_Inputs'!$D$16),$C16/'Schedule_Inputs'!$D$16,0),0))))</f>
        <v/>
      </c>
      <c r="AJ16" s="231">
        <f>IF('Schedule_Inputs'!$C$16="Blueprint",$C16*IF(32-'Schedule_Inputs'!$B$16=0,'Assumptions'!$B$21,IF(32-'Schedule_Inputs'!$B$16=1,'Assumptions'!$C$21,IF(32-'Schedule_Inputs'!$B$16=2,'Assumptions'!$D$21,0))),IF('Schedule_Inputs'!$C$16="Launch",$C16*IF(32-'Schedule_Inputs'!$B$16=0,'Assumptions'!$B$22,IF(32-'Schedule_Inputs'!$B$16=1,'Assumptions'!$C$22,IF(32-'Schedule_Inputs'!$B$16=2,'Assumptions'!$D$22,IF(32-'Schedule_Inputs'!$B$16=3,'Assumptions'!$B$23,0)))),IF('Schedule_Inputs'!$C$16="Office Setup",$C16*IF(32-'Schedule_Inputs'!$B$16=0,'Assumptions'!$B$24,IF(32-'Schedule_Inputs'!$B$16=1,'Assumptions'!$C$24,IF(32-'Schedule_Inputs'!$B$16=2,'Assumptions'!$D$24,0))),IF(OR('Schedule_Inputs'!$C$16="Monthly",'Schedule_Inputs'!$C$16="Periodic"),IF(AND(32&gt;='Schedule_Inputs'!$B$16,MOD(32-'Schedule_Inputs'!$B$16,'Schedule_Inputs'!$E$16)=0,(32-'Schedule_Inputs'!$B$16)/'Schedule_Inputs'!$E$16&lt;'Schedule_Inputs'!$D$16),$C16/'Schedule_Inputs'!$D$16,0),0))))</f>
        <v/>
      </c>
      <c r="AK16" s="231">
        <f>IF('Schedule_Inputs'!$C$16="Blueprint",$C16*IF(33-'Schedule_Inputs'!$B$16=0,'Assumptions'!$B$21,IF(33-'Schedule_Inputs'!$B$16=1,'Assumptions'!$C$21,IF(33-'Schedule_Inputs'!$B$16=2,'Assumptions'!$D$21,0))),IF('Schedule_Inputs'!$C$16="Launch",$C16*IF(33-'Schedule_Inputs'!$B$16=0,'Assumptions'!$B$22,IF(33-'Schedule_Inputs'!$B$16=1,'Assumptions'!$C$22,IF(33-'Schedule_Inputs'!$B$16=2,'Assumptions'!$D$22,IF(33-'Schedule_Inputs'!$B$16=3,'Assumptions'!$B$23,0)))),IF('Schedule_Inputs'!$C$16="Office Setup",$C16*IF(33-'Schedule_Inputs'!$B$16=0,'Assumptions'!$B$24,IF(33-'Schedule_Inputs'!$B$16=1,'Assumptions'!$C$24,IF(33-'Schedule_Inputs'!$B$16=2,'Assumptions'!$D$24,0))),IF(OR('Schedule_Inputs'!$C$16="Monthly",'Schedule_Inputs'!$C$16="Periodic"),IF(AND(33&gt;='Schedule_Inputs'!$B$16,MOD(33-'Schedule_Inputs'!$B$16,'Schedule_Inputs'!$E$16)=0,(33-'Schedule_Inputs'!$B$16)/'Schedule_Inputs'!$E$16&lt;'Schedule_Inputs'!$D$16),$C16/'Schedule_Inputs'!$D$16,0),0))))</f>
        <v/>
      </c>
      <c r="AL16" s="231">
        <f>IF('Schedule_Inputs'!$C$16="Blueprint",$C16*IF(34-'Schedule_Inputs'!$B$16=0,'Assumptions'!$B$21,IF(34-'Schedule_Inputs'!$B$16=1,'Assumptions'!$C$21,IF(34-'Schedule_Inputs'!$B$16=2,'Assumptions'!$D$21,0))),IF('Schedule_Inputs'!$C$16="Launch",$C16*IF(34-'Schedule_Inputs'!$B$16=0,'Assumptions'!$B$22,IF(34-'Schedule_Inputs'!$B$16=1,'Assumptions'!$C$22,IF(34-'Schedule_Inputs'!$B$16=2,'Assumptions'!$D$22,IF(34-'Schedule_Inputs'!$B$16=3,'Assumptions'!$B$23,0)))),IF('Schedule_Inputs'!$C$16="Office Setup",$C16*IF(34-'Schedule_Inputs'!$B$16=0,'Assumptions'!$B$24,IF(34-'Schedule_Inputs'!$B$16=1,'Assumptions'!$C$24,IF(34-'Schedule_Inputs'!$B$16=2,'Assumptions'!$D$24,0))),IF(OR('Schedule_Inputs'!$C$16="Monthly",'Schedule_Inputs'!$C$16="Periodic"),IF(AND(34&gt;='Schedule_Inputs'!$B$16,MOD(34-'Schedule_Inputs'!$B$16,'Schedule_Inputs'!$E$16)=0,(34-'Schedule_Inputs'!$B$16)/'Schedule_Inputs'!$E$16&lt;'Schedule_Inputs'!$D$16),$C16/'Schedule_Inputs'!$D$16,0),0))))</f>
        <v/>
      </c>
      <c r="AM16" s="231">
        <f>IF('Schedule_Inputs'!$C$16="Blueprint",$C16*IF(35-'Schedule_Inputs'!$B$16=0,'Assumptions'!$B$21,IF(35-'Schedule_Inputs'!$B$16=1,'Assumptions'!$C$21,IF(35-'Schedule_Inputs'!$B$16=2,'Assumptions'!$D$21,0))),IF('Schedule_Inputs'!$C$16="Launch",$C16*IF(35-'Schedule_Inputs'!$B$16=0,'Assumptions'!$B$22,IF(35-'Schedule_Inputs'!$B$16=1,'Assumptions'!$C$22,IF(35-'Schedule_Inputs'!$B$16=2,'Assumptions'!$D$22,IF(35-'Schedule_Inputs'!$B$16=3,'Assumptions'!$B$23,0)))),IF('Schedule_Inputs'!$C$16="Office Setup",$C16*IF(35-'Schedule_Inputs'!$B$16=0,'Assumptions'!$B$24,IF(35-'Schedule_Inputs'!$B$16=1,'Assumptions'!$C$24,IF(35-'Schedule_Inputs'!$B$16=2,'Assumptions'!$D$24,0))),IF(OR('Schedule_Inputs'!$C$16="Monthly",'Schedule_Inputs'!$C$16="Periodic"),IF(AND(35&gt;='Schedule_Inputs'!$B$16,MOD(35-'Schedule_Inputs'!$B$16,'Schedule_Inputs'!$E$16)=0,(35-'Schedule_Inputs'!$B$16)/'Schedule_Inputs'!$E$16&lt;'Schedule_Inputs'!$D$16),$C16/'Schedule_Inputs'!$D$16,0),0))))</f>
        <v/>
      </c>
      <c r="AN16" s="231">
        <f>IF('Schedule_Inputs'!$C$16="Blueprint",$C16*IF(36-'Schedule_Inputs'!$B$16=0,'Assumptions'!$B$21,IF(36-'Schedule_Inputs'!$B$16=1,'Assumptions'!$C$21,IF(36-'Schedule_Inputs'!$B$16=2,'Assumptions'!$D$21,0))),IF('Schedule_Inputs'!$C$16="Launch",$C16*IF(36-'Schedule_Inputs'!$B$16=0,'Assumptions'!$B$22,IF(36-'Schedule_Inputs'!$B$16=1,'Assumptions'!$C$22,IF(36-'Schedule_Inputs'!$B$16=2,'Assumptions'!$D$22,IF(36-'Schedule_Inputs'!$B$16=3,'Assumptions'!$B$23,0)))),IF('Schedule_Inputs'!$C$16="Office Setup",$C16*IF(36-'Schedule_Inputs'!$B$16=0,'Assumptions'!$B$24,IF(36-'Schedule_Inputs'!$B$16=1,'Assumptions'!$C$24,IF(36-'Schedule_Inputs'!$B$16=2,'Assumptions'!$D$24,0))),IF(OR('Schedule_Inputs'!$C$16="Monthly",'Schedule_Inputs'!$C$16="Periodic"),IF(AND(36&gt;='Schedule_Inputs'!$B$16,MOD(36-'Schedule_Inputs'!$B$16,'Schedule_Inputs'!$E$16)=0,(36-'Schedule_Inputs'!$B$16)/'Schedule_Inputs'!$E$16&lt;'Schedule_Inputs'!$D$16),$C16/'Schedule_Inputs'!$D$16,0),0))))</f>
        <v/>
      </c>
    </row>
    <row r="17">
      <c r="A17" s="106" t="inlineStr">
        <is>
          <t>Add-ons 02</t>
        </is>
      </c>
      <c r="B17" s="106" t="n">
        <v>2</v>
      </c>
      <c r="C17" s="230" t="n">
        <v>9000</v>
      </c>
      <c r="D17" s="231" t="inlineStr">
        <is>
          <t>approved scope</t>
        </is>
      </c>
      <c r="E17" s="231">
        <f>IF('Schedule_Inputs'!$C$17="Blueprint",$C17*IF(1-'Schedule_Inputs'!$B$17=0,'Assumptions'!$B$21,IF(1-'Schedule_Inputs'!$B$17=1,'Assumptions'!$C$21,IF(1-'Schedule_Inputs'!$B$17=2,'Assumptions'!$D$21,0))),IF('Schedule_Inputs'!$C$17="Launch",$C17*IF(1-'Schedule_Inputs'!$B$17=0,'Assumptions'!$B$22,IF(1-'Schedule_Inputs'!$B$17=1,'Assumptions'!$C$22,IF(1-'Schedule_Inputs'!$B$17=2,'Assumptions'!$D$22,IF(1-'Schedule_Inputs'!$B$17=3,'Assumptions'!$B$23,0)))),IF('Schedule_Inputs'!$C$17="Office Setup",$C17*IF(1-'Schedule_Inputs'!$B$17=0,'Assumptions'!$B$24,IF(1-'Schedule_Inputs'!$B$17=1,'Assumptions'!$C$24,IF(1-'Schedule_Inputs'!$B$17=2,'Assumptions'!$D$24,0))),IF(OR('Schedule_Inputs'!$C$17="Monthly",'Schedule_Inputs'!$C$17="Periodic"),IF(AND(1&gt;='Schedule_Inputs'!$B$17,MOD(1-'Schedule_Inputs'!$B$17,'Schedule_Inputs'!$E$17)=0,(1-'Schedule_Inputs'!$B$17)/'Schedule_Inputs'!$E$17&lt;'Schedule_Inputs'!$D$17),$C17/'Schedule_Inputs'!$D$17,0),0))))</f>
        <v/>
      </c>
      <c r="F17" s="231">
        <f>IF('Schedule_Inputs'!$C$17="Blueprint",$C17*IF(2-'Schedule_Inputs'!$B$17=0,'Assumptions'!$B$21,IF(2-'Schedule_Inputs'!$B$17=1,'Assumptions'!$C$21,IF(2-'Schedule_Inputs'!$B$17=2,'Assumptions'!$D$21,0))),IF('Schedule_Inputs'!$C$17="Launch",$C17*IF(2-'Schedule_Inputs'!$B$17=0,'Assumptions'!$B$22,IF(2-'Schedule_Inputs'!$B$17=1,'Assumptions'!$C$22,IF(2-'Schedule_Inputs'!$B$17=2,'Assumptions'!$D$22,IF(2-'Schedule_Inputs'!$B$17=3,'Assumptions'!$B$23,0)))),IF('Schedule_Inputs'!$C$17="Office Setup",$C17*IF(2-'Schedule_Inputs'!$B$17=0,'Assumptions'!$B$24,IF(2-'Schedule_Inputs'!$B$17=1,'Assumptions'!$C$24,IF(2-'Schedule_Inputs'!$B$17=2,'Assumptions'!$D$24,0))),IF(OR('Schedule_Inputs'!$C$17="Monthly",'Schedule_Inputs'!$C$17="Periodic"),IF(AND(2&gt;='Schedule_Inputs'!$B$17,MOD(2-'Schedule_Inputs'!$B$17,'Schedule_Inputs'!$E$17)=0,(2-'Schedule_Inputs'!$B$17)/'Schedule_Inputs'!$E$17&lt;'Schedule_Inputs'!$D$17),$C17/'Schedule_Inputs'!$D$17,0),0))))</f>
        <v/>
      </c>
      <c r="G17" s="231">
        <f>IF('Schedule_Inputs'!$C$17="Blueprint",$C17*IF(3-'Schedule_Inputs'!$B$17=0,'Assumptions'!$B$21,IF(3-'Schedule_Inputs'!$B$17=1,'Assumptions'!$C$21,IF(3-'Schedule_Inputs'!$B$17=2,'Assumptions'!$D$21,0))),IF('Schedule_Inputs'!$C$17="Launch",$C17*IF(3-'Schedule_Inputs'!$B$17=0,'Assumptions'!$B$22,IF(3-'Schedule_Inputs'!$B$17=1,'Assumptions'!$C$22,IF(3-'Schedule_Inputs'!$B$17=2,'Assumptions'!$D$22,IF(3-'Schedule_Inputs'!$B$17=3,'Assumptions'!$B$23,0)))),IF('Schedule_Inputs'!$C$17="Office Setup",$C17*IF(3-'Schedule_Inputs'!$B$17=0,'Assumptions'!$B$24,IF(3-'Schedule_Inputs'!$B$17=1,'Assumptions'!$C$24,IF(3-'Schedule_Inputs'!$B$17=2,'Assumptions'!$D$24,0))),IF(OR('Schedule_Inputs'!$C$17="Monthly",'Schedule_Inputs'!$C$17="Periodic"),IF(AND(3&gt;='Schedule_Inputs'!$B$17,MOD(3-'Schedule_Inputs'!$B$17,'Schedule_Inputs'!$E$17)=0,(3-'Schedule_Inputs'!$B$17)/'Schedule_Inputs'!$E$17&lt;'Schedule_Inputs'!$D$17),$C17/'Schedule_Inputs'!$D$17,0),0))))</f>
        <v/>
      </c>
      <c r="H17" s="231">
        <f>IF('Schedule_Inputs'!$C$17="Blueprint",$C17*IF(4-'Schedule_Inputs'!$B$17=0,'Assumptions'!$B$21,IF(4-'Schedule_Inputs'!$B$17=1,'Assumptions'!$C$21,IF(4-'Schedule_Inputs'!$B$17=2,'Assumptions'!$D$21,0))),IF('Schedule_Inputs'!$C$17="Launch",$C17*IF(4-'Schedule_Inputs'!$B$17=0,'Assumptions'!$B$22,IF(4-'Schedule_Inputs'!$B$17=1,'Assumptions'!$C$22,IF(4-'Schedule_Inputs'!$B$17=2,'Assumptions'!$D$22,IF(4-'Schedule_Inputs'!$B$17=3,'Assumptions'!$B$23,0)))),IF('Schedule_Inputs'!$C$17="Office Setup",$C17*IF(4-'Schedule_Inputs'!$B$17=0,'Assumptions'!$B$24,IF(4-'Schedule_Inputs'!$B$17=1,'Assumptions'!$C$24,IF(4-'Schedule_Inputs'!$B$17=2,'Assumptions'!$D$24,0))),IF(OR('Schedule_Inputs'!$C$17="Monthly",'Schedule_Inputs'!$C$17="Periodic"),IF(AND(4&gt;='Schedule_Inputs'!$B$17,MOD(4-'Schedule_Inputs'!$B$17,'Schedule_Inputs'!$E$17)=0,(4-'Schedule_Inputs'!$B$17)/'Schedule_Inputs'!$E$17&lt;'Schedule_Inputs'!$D$17),$C17/'Schedule_Inputs'!$D$17,0),0))))</f>
        <v/>
      </c>
      <c r="I17" s="231">
        <f>IF('Schedule_Inputs'!$C$17="Blueprint",$C17*IF(5-'Schedule_Inputs'!$B$17=0,'Assumptions'!$B$21,IF(5-'Schedule_Inputs'!$B$17=1,'Assumptions'!$C$21,IF(5-'Schedule_Inputs'!$B$17=2,'Assumptions'!$D$21,0))),IF('Schedule_Inputs'!$C$17="Launch",$C17*IF(5-'Schedule_Inputs'!$B$17=0,'Assumptions'!$B$22,IF(5-'Schedule_Inputs'!$B$17=1,'Assumptions'!$C$22,IF(5-'Schedule_Inputs'!$B$17=2,'Assumptions'!$D$22,IF(5-'Schedule_Inputs'!$B$17=3,'Assumptions'!$B$23,0)))),IF('Schedule_Inputs'!$C$17="Office Setup",$C17*IF(5-'Schedule_Inputs'!$B$17=0,'Assumptions'!$B$24,IF(5-'Schedule_Inputs'!$B$17=1,'Assumptions'!$C$24,IF(5-'Schedule_Inputs'!$B$17=2,'Assumptions'!$D$24,0))),IF(OR('Schedule_Inputs'!$C$17="Monthly",'Schedule_Inputs'!$C$17="Periodic"),IF(AND(5&gt;='Schedule_Inputs'!$B$17,MOD(5-'Schedule_Inputs'!$B$17,'Schedule_Inputs'!$E$17)=0,(5-'Schedule_Inputs'!$B$17)/'Schedule_Inputs'!$E$17&lt;'Schedule_Inputs'!$D$17),$C17/'Schedule_Inputs'!$D$17,0),0))))</f>
        <v/>
      </c>
      <c r="J17" s="231">
        <f>IF('Schedule_Inputs'!$C$17="Blueprint",$C17*IF(6-'Schedule_Inputs'!$B$17=0,'Assumptions'!$B$21,IF(6-'Schedule_Inputs'!$B$17=1,'Assumptions'!$C$21,IF(6-'Schedule_Inputs'!$B$17=2,'Assumptions'!$D$21,0))),IF('Schedule_Inputs'!$C$17="Launch",$C17*IF(6-'Schedule_Inputs'!$B$17=0,'Assumptions'!$B$22,IF(6-'Schedule_Inputs'!$B$17=1,'Assumptions'!$C$22,IF(6-'Schedule_Inputs'!$B$17=2,'Assumptions'!$D$22,IF(6-'Schedule_Inputs'!$B$17=3,'Assumptions'!$B$23,0)))),IF('Schedule_Inputs'!$C$17="Office Setup",$C17*IF(6-'Schedule_Inputs'!$B$17=0,'Assumptions'!$B$24,IF(6-'Schedule_Inputs'!$B$17=1,'Assumptions'!$C$24,IF(6-'Schedule_Inputs'!$B$17=2,'Assumptions'!$D$24,0))),IF(OR('Schedule_Inputs'!$C$17="Monthly",'Schedule_Inputs'!$C$17="Periodic"),IF(AND(6&gt;='Schedule_Inputs'!$B$17,MOD(6-'Schedule_Inputs'!$B$17,'Schedule_Inputs'!$E$17)=0,(6-'Schedule_Inputs'!$B$17)/'Schedule_Inputs'!$E$17&lt;'Schedule_Inputs'!$D$17),$C17/'Schedule_Inputs'!$D$17,0),0))))</f>
        <v/>
      </c>
      <c r="K17" s="231">
        <f>IF('Schedule_Inputs'!$C$17="Blueprint",$C17*IF(7-'Schedule_Inputs'!$B$17=0,'Assumptions'!$B$21,IF(7-'Schedule_Inputs'!$B$17=1,'Assumptions'!$C$21,IF(7-'Schedule_Inputs'!$B$17=2,'Assumptions'!$D$21,0))),IF('Schedule_Inputs'!$C$17="Launch",$C17*IF(7-'Schedule_Inputs'!$B$17=0,'Assumptions'!$B$22,IF(7-'Schedule_Inputs'!$B$17=1,'Assumptions'!$C$22,IF(7-'Schedule_Inputs'!$B$17=2,'Assumptions'!$D$22,IF(7-'Schedule_Inputs'!$B$17=3,'Assumptions'!$B$23,0)))),IF('Schedule_Inputs'!$C$17="Office Setup",$C17*IF(7-'Schedule_Inputs'!$B$17=0,'Assumptions'!$B$24,IF(7-'Schedule_Inputs'!$B$17=1,'Assumptions'!$C$24,IF(7-'Schedule_Inputs'!$B$17=2,'Assumptions'!$D$24,0))),IF(OR('Schedule_Inputs'!$C$17="Monthly",'Schedule_Inputs'!$C$17="Periodic"),IF(AND(7&gt;='Schedule_Inputs'!$B$17,MOD(7-'Schedule_Inputs'!$B$17,'Schedule_Inputs'!$E$17)=0,(7-'Schedule_Inputs'!$B$17)/'Schedule_Inputs'!$E$17&lt;'Schedule_Inputs'!$D$17),$C17/'Schedule_Inputs'!$D$17,0),0))))</f>
        <v/>
      </c>
      <c r="L17" s="231">
        <f>IF('Schedule_Inputs'!$C$17="Blueprint",$C17*IF(8-'Schedule_Inputs'!$B$17=0,'Assumptions'!$B$21,IF(8-'Schedule_Inputs'!$B$17=1,'Assumptions'!$C$21,IF(8-'Schedule_Inputs'!$B$17=2,'Assumptions'!$D$21,0))),IF('Schedule_Inputs'!$C$17="Launch",$C17*IF(8-'Schedule_Inputs'!$B$17=0,'Assumptions'!$B$22,IF(8-'Schedule_Inputs'!$B$17=1,'Assumptions'!$C$22,IF(8-'Schedule_Inputs'!$B$17=2,'Assumptions'!$D$22,IF(8-'Schedule_Inputs'!$B$17=3,'Assumptions'!$B$23,0)))),IF('Schedule_Inputs'!$C$17="Office Setup",$C17*IF(8-'Schedule_Inputs'!$B$17=0,'Assumptions'!$B$24,IF(8-'Schedule_Inputs'!$B$17=1,'Assumptions'!$C$24,IF(8-'Schedule_Inputs'!$B$17=2,'Assumptions'!$D$24,0))),IF(OR('Schedule_Inputs'!$C$17="Monthly",'Schedule_Inputs'!$C$17="Periodic"),IF(AND(8&gt;='Schedule_Inputs'!$B$17,MOD(8-'Schedule_Inputs'!$B$17,'Schedule_Inputs'!$E$17)=0,(8-'Schedule_Inputs'!$B$17)/'Schedule_Inputs'!$E$17&lt;'Schedule_Inputs'!$D$17),$C17/'Schedule_Inputs'!$D$17,0),0))))</f>
        <v/>
      </c>
      <c r="M17" s="231">
        <f>IF('Schedule_Inputs'!$C$17="Blueprint",$C17*IF(9-'Schedule_Inputs'!$B$17=0,'Assumptions'!$B$21,IF(9-'Schedule_Inputs'!$B$17=1,'Assumptions'!$C$21,IF(9-'Schedule_Inputs'!$B$17=2,'Assumptions'!$D$21,0))),IF('Schedule_Inputs'!$C$17="Launch",$C17*IF(9-'Schedule_Inputs'!$B$17=0,'Assumptions'!$B$22,IF(9-'Schedule_Inputs'!$B$17=1,'Assumptions'!$C$22,IF(9-'Schedule_Inputs'!$B$17=2,'Assumptions'!$D$22,IF(9-'Schedule_Inputs'!$B$17=3,'Assumptions'!$B$23,0)))),IF('Schedule_Inputs'!$C$17="Office Setup",$C17*IF(9-'Schedule_Inputs'!$B$17=0,'Assumptions'!$B$24,IF(9-'Schedule_Inputs'!$B$17=1,'Assumptions'!$C$24,IF(9-'Schedule_Inputs'!$B$17=2,'Assumptions'!$D$24,0))),IF(OR('Schedule_Inputs'!$C$17="Monthly",'Schedule_Inputs'!$C$17="Periodic"),IF(AND(9&gt;='Schedule_Inputs'!$B$17,MOD(9-'Schedule_Inputs'!$B$17,'Schedule_Inputs'!$E$17)=0,(9-'Schedule_Inputs'!$B$17)/'Schedule_Inputs'!$E$17&lt;'Schedule_Inputs'!$D$17),$C17/'Schedule_Inputs'!$D$17,0),0))))</f>
        <v/>
      </c>
      <c r="N17" s="231">
        <f>IF('Schedule_Inputs'!$C$17="Blueprint",$C17*IF(10-'Schedule_Inputs'!$B$17=0,'Assumptions'!$B$21,IF(10-'Schedule_Inputs'!$B$17=1,'Assumptions'!$C$21,IF(10-'Schedule_Inputs'!$B$17=2,'Assumptions'!$D$21,0))),IF('Schedule_Inputs'!$C$17="Launch",$C17*IF(10-'Schedule_Inputs'!$B$17=0,'Assumptions'!$B$22,IF(10-'Schedule_Inputs'!$B$17=1,'Assumptions'!$C$22,IF(10-'Schedule_Inputs'!$B$17=2,'Assumptions'!$D$22,IF(10-'Schedule_Inputs'!$B$17=3,'Assumptions'!$B$23,0)))),IF('Schedule_Inputs'!$C$17="Office Setup",$C17*IF(10-'Schedule_Inputs'!$B$17=0,'Assumptions'!$B$24,IF(10-'Schedule_Inputs'!$B$17=1,'Assumptions'!$C$24,IF(10-'Schedule_Inputs'!$B$17=2,'Assumptions'!$D$24,0))),IF(OR('Schedule_Inputs'!$C$17="Monthly",'Schedule_Inputs'!$C$17="Periodic"),IF(AND(10&gt;='Schedule_Inputs'!$B$17,MOD(10-'Schedule_Inputs'!$B$17,'Schedule_Inputs'!$E$17)=0,(10-'Schedule_Inputs'!$B$17)/'Schedule_Inputs'!$E$17&lt;'Schedule_Inputs'!$D$17),$C17/'Schedule_Inputs'!$D$17,0),0))))</f>
        <v/>
      </c>
      <c r="O17" s="231">
        <f>IF('Schedule_Inputs'!$C$17="Blueprint",$C17*IF(11-'Schedule_Inputs'!$B$17=0,'Assumptions'!$B$21,IF(11-'Schedule_Inputs'!$B$17=1,'Assumptions'!$C$21,IF(11-'Schedule_Inputs'!$B$17=2,'Assumptions'!$D$21,0))),IF('Schedule_Inputs'!$C$17="Launch",$C17*IF(11-'Schedule_Inputs'!$B$17=0,'Assumptions'!$B$22,IF(11-'Schedule_Inputs'!$B$17=1,'Assumptions'!$C$22,IF(11-'Schedule_Inputs'!$B$17=2,'Assumptions'!$D$22,IF(11-'Schedule_Inputs'!$B$17=3,'Assumptions'!$B$23,0)))),IF('Schedule_Inputs'!$C$17="Office Setup",$C17*IF(11-'Schedule_Inputs'!$B$17=0,'Assumptions'!$B$24,IF(11-'Schedule_Inputs'!$B$17=1,'Assumptions'!$C$24,IF(11-'Schedule_Inputs'!$B$17=2,'Assumptions'!$D$24,0))),IF(OR('Schedule_Inputs'!$C$17="Monthly",'Schedule_Inputs'!$C$17="Periodic"),IF(AND(11&gt;='Schedule_Inputs'!$B$17,MOD(11-'Schedule_Inputs'!$B$17,'Schedule_Inputs'!$E$17)=0,(11-'Schedule_Inputs'!$B$17)/'Schedule_Inputs'!$E$17&lt;'Schedule_Inputs'!$D$17),$C17/'Schedule_Inputs'!$D$17,0),0))))</f>
        <v/>
      </c>
      <c r="P17" s="231">
        <f>IF('Schedule_Inputs'!$C$17="Blueprint",$C17*IF(12-'Schedule_Inputs'!$B$17=0,'Assumptions'!$B$21,IF(12-'Schedule_Inputs'!$B$17=1,'Assumptions'!$C$21,IF(12-'Schedule_Inputs'!$B$17=2,'Assumptions'!$D$21,0))),IF('Schedule_Inputs'!$C$17="Launch",$C17*IF(12-'Schedule_Inputs'!$B$17=0,'Assumptions'!$B$22,IF(12-'Schedule_Inputs'!$B$17=1,'Assumptions'!$C$22,IF(12-'Schedule_Inputs'!$B$17=2,'Assumptions'!$D$22,IF(12-'Schedule_Inputs'!$B$17=3,'Assumptions'!$B$23,0)))),IF('Schedule_Inputs'!$C$17="Office Setup",$C17*IF(12-'Schedule_Inputs'!$B$17=0,'Assumptions'!$B$24,IF(12-'Schedule_Inputs'!$B$17=1,'Assumptions'!$C$24,IF(12-'Schedule_Inputs'!$B$17=2,'Assumptions'!$D$24,0))),IF(OR('Schedule_Inputs'!$C$17="Monthly",'Schedule_Inputs'!$C$17="Periodic"),IF(AND(12&gt;='Schedule_Inputs'!$B$17,MOD(12-'Schedule_Inputs'!$B$17,'Schedule_Inputs'!$E$17)=0,(12-'Schedule_Inputs'!$B$17)/'Schedule_Inputs'!$E$17&lt;'Schedule_Inputs'!$D$17),$C17/'Schedule_Inputs'!$D$17,0),0))))</f>
        <v/>
      </c>
      <c r="Q17" s="231">
        <f>IF('Schedule_Inputs'!$C$17="Blueprint",$C17*IF(13-'Schedule_Inputs'!$B$17=0,'Assumptions'!$B$21,IF(13-'Schedule_Inputs'!$B$17=1,'Assumptions'!$C$21,IF(13-'Schedule_Inputs'!$B$17=2,'Assumptions'!$D$21,0))),IF('Schedule_Inputs'!$C$17="Launch",$C17*IF(13-'Schedule_Inputs'!$B$17=0,'Assumptions'!$B$22,IF(13-'Schedule_Inputs'!$B$17=1,'Assumptions'!$C$22,IF(13-'Schedule_Inputs'!$B$17=2,'Assumptions'!$D$22,IF(13-'Schedule_Inputs'!$B$17=3,'Assumptions'!$B$23,0)))),IF('Schedule_Inputs'!$C$17="Office Setup",$C17*IF(13-'Schedule_Inputs'!$B$17=0,'Assumptions'!$B$24,IF(13-'Schedule_Inputs'!$B$17=1,'Assumptions'!$C$24,IF(13-'Schedule_Inputs'!$B$17=2,'Assumptions'!$D$24,0))),IF(OR('Schedule_Inputs'!$C$17="Monthly",'Schedule_Inputs'!$C$17="Periodic"),IF(AND(13&gt;='Schedule_Inputs'!$B$17,MOD(13-'Schedule_Inputs'!$B$17,'Schedule_Inputs'!$E$17)=0,(13-'Schedule_Inputs'!$B$17)/'Schedule_Inputs'!$E$17&lt;'Schedule_Inputs'!$D$17),$C17/'Schedule_Inputs'!$D$17,0),0))))</f>
        <v/>
      </c>
      <c r="R17" s="231">
        <f>IF('Schedule_Inputs'!$C$17="Blueprint",$C17*IF(14-'Schedule_Inputs'!$B$17=0,'Assumptions'!$B$21,IF(14-'Schedule_Inputs'!$B$17=1,'Assumptions'!$C$21,IF(14-'Schedule_Inputs'!$B$17=2,'Assumptions'!$D$21,0))),IF('Schedule_Inputs'!$C$17="Launch",$C17*IF(14-'Schedule_Inputs'!$B$17=0,'Assumptions'!$B$22,IF(14-'Schedule_Inputs'!$B$17=1,'Assumptions'!$C$22,IF(14-'Schedule_Inputs'!$B$17=2,'Assumptions'!$D$22,IF(14-'Schedule_Inputs'!$B$17=3,'Assumptions'!$B$23,0)))),IF('Schedule_Inputs'!$C$17="Office Setup",$C17*IF(14-'Schedule_Inputs'!$B$17=0,'Assumptions'!$B$24,IF(14-'Schedule_Inputs'!$B$17=1,'Assumptions'!$C$24,IF(14-'Schedule_Inputs'!$B$17=2,'Assumptions'!$D$24,0))),IF(OR('Schedule_Inputs'!$C$17="Monthly",'Schedule_Inputs'!$C$17="Periodic"),IF(AND(14&gt;='Schedule_Inputs'!$B$17,MOD(14-'Schedule_Inputs'!$B$17,'Schedule_Inputs'!$E$17)=0,(14-'Schedule_Inputs'!$B$17)/'Schedule_Inputs'!$E$17&lt;'Schedule_Inputs'!$D$17),$C17/'Schedule_Inputs'!$D$17,0),0))))</f>
        <v/>
      </c>
      <c r="S17" s="231">
        <f>IF('Schedule_Inputs'!$C$17="Blueprint",$C17*IF(15-'Schedule_Inputs'!$B$17=0,'Assumptions'!$B$21,IF(15-'Schedule_Inputs'!$B$17=1,'Assumptions'!$C$21,IF(15-'Schedule_Inputs'!$B$17=2,'Assumptions'!$D$21,0))),IF('Schedule_Inputs'!$C$17="Launch",$C17*IF(15-'Schedule_Inputs'!$B$17=0,'Assumptions'!$B$22,IF(15-'Schedule_Inputs'!$B$17=1,'Assumptions'!$C$22,IF(15-'Schedule_Inputs'!$B$17=2,'Assumptions'!$D$22,IF(15-'Schedule_Inputs'!$B$17=3,'Assumptions'!$B$23,0)))),IF('Schedule_Inputs'!$C$17="Office Setup",$C17*IF(15-'Schedule_Inputs'!$B$17=0,'Assumptions'!$B$24,IF(15-'Schedule_Inputs'!$B$17=1,'Assumptions'!$C$24,IF(15-'Schedule_Inputs'!$B$17=2,'Assumptions'!$D$24,0))),IF(OR('Schedule_Inputs'!$C$17="Monthly",'Schedule_Inputs'!$C$17="Periodic"),IF(AND(15&gt;='Schedule_Inputs'!$B$17,MOD(15-'Schedule_Inputs'!$B$17,'Schedule_Inputs'!$E$17)=0,(15-'Schedule_Inputs'!$B$17)/'Schedule_Inputs'!$E$17&lt;'Schedule_Inputs'!$D$17),$C17/'Schedule_Inputs'!$D$17,0),0))))</f>
        <v/>
      </c>
      <c r="T17" s="231">
        <f>IF('Schedule_Inputs'!$C$17="Blueprint",$C17*IF(16-'Schedule_Inputs'!$B$17=0,'Assumptions'!$B$21,IF(16-'Schedule_Inputs'!$B$17=1,'Assumptions'!$C$21,IF(16-'Schedule_Inputs'!$B$17=2,'Assumptions'!$D$21,0))),IF('Schedule_Inputs'!$C$17="Launch",$C17*IF(16-'Schedule_Inputs'!$B$17=0,'Assumptions'!$B$22,IF(16-'Schedule_Inputs'!$B$17=1,'Assumptions'!$C$22,IF(16-'Schedule_Inputs'!$B$17=2,'Assumptions'!$D$22,IF(16-'Schedule_Inputs'!$B$17=3,'Assumptions'!$B$23,0)))),IF('Schedule_Inputs'!$C$17="Office Setup",$C17*IF(16-'Schedule_Inputs'!$B$17=0,'Assumptions'!$B$24,IF(16-'Schedule_Inputs'!$B$17=1,'Assumptions'!$C$24,IF(16-'Schedule_Inputs'!$B$17=2,'Assumptions'!$D$24,0))),IF(OR('Schedule_Inputs'!$C$17="Monthly",'Schedule_Inputs'!$C$17="Periodic"),IF(AND(16&gt;='Schedule_Inputs'!$B$17,MOD(16-'Schedule_Inputs'!$B$17,'Schedule_Inputs'!$E$17)=0,(16-'Schedule_Inputs'!$B$17)/'Schedule_Inputs'!$E$17&lt;'Schedule_Inputs'!$D$17),$C17/'Schedule_Inputs'!$D$17,0),0))))</f>
        <v/>
      </c>
      <c r="U17" s="231">
        <f>IF('Schedule_Inputs'!$C$17="Blueprint",$C17*IF(17-'Schedule_Inputs'!$B$17=0,'Assumptions'!$B$21,IF(17-'Schedule_Inputs'!$B$17=1,'Assumptions'!$C$21,IF(17-'Schedule_Inputs'!$B$17=2,'Assumptions'!$D$21,0))),IF('Schedule_Inputs'!$C$17="Launch",$C17*IF(17-'Schedule_Inputs'!$B$17=0,'Assumptions'!$B$22,IF(17-'Schedule_Inputs'!$B$17=1,'Assumptions'!$C$22,IF(17-'Schedule_Inputs'!$B$17=2,'Assumptions'!$D$22,IF(17-'Schedule_Inputs'!$B$17=3,'Assumptions'!$B$23,0)))),IF('Schedule_Inputs'!$C$17="Office Setup",$C17*IF(17-'Schedule_Inputs'!$B$17=0,'Assumptions'!$B$24,IF(17-'Schedule_Inputs'!$B$17=1,'Assumptions'!$C$24,IF(17-'Schedule_Inputs'!$B$17=2,'Assumptions'!$D$24,0))),IF(OR('Schedule_Inputs'!$C$17="Monthly",'Schedule_Inputs'!$C$17="Periodic"),IF(AND(17&gt;='Schedule_Inputs'!$B$17,MOD(17-'Schedule_Inputs'!$B$17,'Schedule_Inputs'!$E$17)=0,(17-'Schedule_Inputs'!$B$17)/'Schedule_Inputs'!$E$17&lt;'Schedule_Inputs'!$D$17),$C17/'Schedule_Inputs'!$D$17,0),0))))</f>
        <v/>
      </c>
      <c r="V17" s="231">
        <f>IF('Schedule_Inputs'!$C$17="Blueprint",$C17*IF(18-'Schedule_Inputs'!$B$17=0,'Assumptions'!$B$21,IF(18-'Schedule_Inputs'!$B$17=1,'Assumptions'!$C$21,IF(18-'Schedule_Inputs'!$B$17=2,'Assumptions'!$D$21,0))),IF('Schedule_Inputs'!$C$17="Launch",$C17*IF(18-'Schedule_Inputs'!$B$17=0,'Assumptions'!$B$22,IF(18-'Schedule_Inputs'!$B$17=1,'Assumptions'!$C$22,IF(18-'Schedule_Inputs'!$B$17=2,'Assumptions'!$D$22,IF(18-'Schedule_Inputs'!$B$17=3,'Assumptions'!$B$23,0)))),IF('Schedule_Inputs'!$C$17="Office Setup",$C17*IF(18-'Schedule_Inputs'!$B$17=0,'Assumptions'!$B$24,IF(18-'Schedule_Inputs'!$B$17=1,'Assumptions'!$C$24,IF(18-'Schedule_Inputs'!$B$17=2,'Assumptions'!$D$24,0))),IF(OR('Schedule_Inputs'!$C$17="Monthly",'Schedule_Inputs'!$C$17="Periodic"),IF(AND(18&gt;='Schedule_Inputs'!$B$17,MOD(18-'Schedule_Inputs'!$B$17,'Schedule_Inputs'!$E$17)=0,(18-'Schedule_Inputs'!$B$17)/'Schedule_Inputs'!$E$17&lt;'Schedule_Inputs'!$D$17),$C17/'Schedule_Inputs'!$D$17,0),0))))</f>
        <v/>
      </c>
      <c r="W17" s="231">
        <f>IF('Schedule_Inputs'!$C$17="Blueprint",$C17*IF(19-'Schedule_Inputs'!$B$17=0,'Assumptions'!$B$21,IF(19-'Schedule_Inputs'!$B$17=1,'Assumptions'!$C$21,IF(19-'Schedule_Inputs'!$B$17=2,'Assumptions'!$D$21,0))),IF('Schedule_Inputs'!$C$17="Launch",$C17*IF(19-'Schedule_Inputs'!$B$17=0,'Assumptions'!$B$22,IF(19-'Schedule_Inputs'!$B$17=1,'Assumptions'!$C$22,IF(19-'Schedule_Inputs'!$B$17=2,'Assumptions'!$D$22,IF(19-'Schedule_Inputs'!$B$17=3,'Assumptions'!$B$23,0)))),IF('Schedule_Inputs'!$C$17="Office Setup",$C17*IF(19-'Schedule_Inputs'!$B$17=0,'Assumptions'!$B$24,IF(19-'Schedule_Inputs'!$B$17=1,'Assumptions'!$C$24,IF(19-'Schedule_Inputs'!$B$17=2,'Assumptions'!$D$24,0))),IF(OR('Schedule_Inputs'!$C$17="Monthly",'Schedule_Inputs'!$C$17="Periodic"),IF(AND(19&gt;='Schedule_Inputs'!$B$17,MOD(19-'Schedule_Inputs'!$B$17,'Schedule_Inputs'!$E$17)=0,(19-'Schedule_Inputs'!$B$17)/'Schedule_Inputs'!$E$17&lt;'Schedule_Inputs'!$D$17),$C17/'Schedule_Inputs'!$D$17,0),0))))</f>
        <v/>
      </c>
      <c r="X17" s="231">
        <f>IF('Schedule_Inputs'!$C$17="Blueprint",$C17*IF(20-'Schedule_Inputs'!$B$17=0,'Assumptions'!$B$21,IF(20-'Schedule_Inputs'!$B$17=1,'Assumptions'!$C$21,IF(20-'Schedule_Inputs'!$B$17=2,'Assumptions'!$D$21,0))),IF('Schedule_Inputs'!$C$17="Launch",$C17*IF(20-'Schedule_Inputs'!$B$17=0,'Assumptions'!$B$22,IF(20-'Schedule_Inputs'!$B$17=1,'Assumptions'!$C$22,IF(20-'Schedule_Inputs'!$B$17=2,'Assumptions'!$D$22,IF(20-'Schedule_Inputs'!$B$17=3,'Assumptions'!$B$23,0)))),IF('Schedule_Inputs'!$C$17="Office Setup",$C17*IF(20-'Schedule_Inputs'!$B$17=0,'Assumptions'!$B$24,IF(20-'Schedule_Inputs'!$B$17=1,'Assumptions'!$C$24,IF(20-'Schedule_Inputs'!$B$17=2,'Assumptions'!$D$24,0))),IF(OR('Schedule_Inputs'!$C$17="Monthly",'Schedule_Inputs'!$C$17="Periodic"),IF(AND(20&gt;='Schedule_Inputs'!$B$17,MOD(20-'Schedule_Inputs'!$B$17,'Schedule_Inputs'!$E$17)=0,(20-'Schedule_Inputs'!$B$17)/'Schedule_Inputs'!$E$17&lt;'Schedule_Inputs'!$D$17),$C17/'Schedule_Inputs'!$D$17,0),0))))</f>
        <v/>
      </c>
      <c r="Y17" s="231">
        <f>IF('Schedule_Inputs'!$C$17="Blueprint",$C17*IF(21-'Schedule_Inputs'!$B$17=0,'Assumptions'!$B$21,IF(21-'Schedule_Inputs'!$B$17=1,'Assumptions'!$C$21,IF(21-'Schedule_Inputs'!$B$17=2,'Assumptions'!$D$21,0))),IF('Schedule_Inputs'!$C$17="Launch",$C17*IF(21-'Schedule_Inputs'!$B$17=0,'Assumptions'!$B$22,IF(21-'Schedule_Inputs'!$B$17=1,'Assumptions'!$C$22,IF(21-'Schedule_Inputs'!$B$17=2,'Assumptions'!$D$22,IF(21-'Schedule_Inputs'!$B$17=3,'Assumptions'!$B$23,0)))),IF('Schedule_Inputs'!$C$17="Office Setup",$C17*IF(21-'Schedule_Inputs'!$B$17=0,'Assumptions'!$B$24,IF(21-'Schedule_Inputs'!$B$17=1,'Assumptions'!$C$24,IF(21-'Schedule_Inputs'!$B$17=2,'Assumptions'!$D$24,0))),IF(OR('Schedule_Inputs'!$C$17="Monthly",'Schedule_Inputs'!$C$17="Periodic"),IF(AND(21&gt;='Schedule_Inputs'!$B$17,MOD(21-'Schedule_Inputs'!$B$17,'Schedule_Inputs'!$E$17)=0,(21-'Schedule_Inputs'!$B$17)/'Schedule_Inputs'!$E$17&lt;'Schedule_Inputs'!$D$17),$C17/'Schedule_Inputs'!$D$17,0),0))))</f>
        <v/>
      </c>
      <c r="Z17" s="231">
        <f>IF('Schedule_Inputs'!$C$17="Blueprint",$C17*IF(22-'Schedule_Inputs'!$B$17=0,'Assumptions'!$B$21,IF(22-'Schedule_Inputs'!$B$17=1,'Assumptions'!$C$21,IF(22-'Schedule_Inputs'!$B$17=2,'Assumptions'!$D$21,0))),IF('Schedule_Inputs'!$C$17="Launch",$C17*IF(22-'Schedule_Inputs'!$B$17=0,'Assumptions'!$B$22,IF(22-'Schedule_Inputs'!$B$17=1,'Assumptions'!$C$22,IF(22-'Schedule_Inputs'!$B$17=2,'Assumptions'!$D$22,IF(22-'Schedule_Inputs'!$B$17=3,'Assumptions'!$B$23,0)))),IF('Schedule_Inputs'!$C$17="Office Setup",$C17*IF(22-'Schedule_Inputs'!$B$17=0,'Assumptions'!$B$24,IF(22-'Schedule_Inputs'!$B$17=1,'Assumptions'!$C$24,IF(22-'Schedule_Inputs'!$B$17=2,'Assumptions'!$D$24,0))),IF(OR('Schedule_Inputs'!$C$17="Monthly",'Schedule_Inputs'!$C$17="Periodic"),IF(AND(22&gt;='Schedule_Inputs'!$B$17,MOD(22-'Schedule_Inputs'!$B$17,'Schedule_Inputs'!$E$17)=0,(22-'Schedule_Inputs'!$B$17)/'Schedule_Inputs'!$E$17&lt;'Schedule_Inputs'!$D$17),$C17/'Schedule_Inputs'!$D$17,0),0))))</f>
        <v/>
      </c>
      <c r="AA17" s="231">
        <f>IF('Schedule_Inputs'!$C$17="Blueprint",$C17*IF(23-'Schedule_Inputs'!$B$17=0,'Assumptions'!$B$21,IF(23-'Schedule_Inputs'!$B$17=1,'Assumptions'!$C$21,IF(23-'Schedule_Inputs'!$B$17=2,'Assumptions'!$D$21,0))),IF('Schedule_Inputs'!$C$17="Launch",$C17*IF(23-'Schedule_Inputs'!$B$17=0,'Assumptions'!$B$22,IF(23-'Schedule_Inputs'!$B$17=1,'Assumptions'!$C$22,IF(23-'Schedule_Inputs'!$B$17=2,'Assumptions'!$D$22,IF(23-'Schedule_Inputs'!$B$17=3,'Assumptions'!$B$23,0)))),IF('Schedule_Inputs'!$C$17="Office Setup",$C17*IF(23-'Schedule_Inputs'!$B$17=0,'Assumptions'!$B$24,IF(23-'Schedule_Inputs'!$B$17=1,'Assumptions'!$C$24,IF(23-'Schedule_Inputs'!$B$17=2,'Assumptions'!$D$24,0))),IF(OR('Schedule_Inputs'!$C$17="Monthly",'Schedule_Inputs'!$C$17="Periodic"),IF(AND(23&gt;='Schedule_Inputs'!$B$17,MOD(23-'Schedule_Inputs'!$B$17,'Schedule_Inputs'!$E$17)=0,(23-'Schedule_Inputs'!$B$17)/'Schedule_Inputs'!$E$17&lt;'Schedule_Inputs'!$D$17),$C17/'Schedule_Inputs'!$D$17,0),0))))</f>
        <v/>
      </c>
      <c r="AB17" s="231">
        <f>IF('Schedule_Inputs'!$C$17="Blueprint",$C17*IF(24-'Schedule_Inputs'!$B$17=0,'Assumptions'!$B$21,IF(24-'Schedule_Inputs'!$B$17=1,'Assumptions'!$C$21,IF(24-'Schedule_Inputs'!$B$17=2,'Assumptions'!$D$21,0))),IF('Schedule_Inputs'!$C$17="Launch",$C17*IF(24-'Schedule_Inputs'!$B$17=0,'Assumptions'!$B$22,IF(24-'Schedule_Inputs'!$B$17=1,'Assumptions'!$C$22,IF(24-'Schedule_Inputs'!$B$17=2,'Assumptions'!$D$22,IF(24-'Schedule_Inputs'!$B$17=3,'Assumptions'!$B$23,0)))),IF('Schedule_Inputs'!$C$17="Office Setup",$C17*IF(24-'Schedule_Inputs'!$B$17=0,'Assumptions'!$B$24,IF(24-'Schedule_Inputs'!$B$17=1,'Assumptions'!$C$24,IF(24-'Schedule_Inputs'!$B$17=2,'Assumptions'!$D$24,0))),IF(OR('Schedule_Inputs'!$C$17="Monthly",'Schedule_Inputs'!$C$17="Periodic"),IF(AND(24&gt;='Schedule_Inputs'!$B$17,MOD(24-'Schedule_Inputs'!$B$17,'Schedule_Inputs'!$E$17)=0,(24-'Schedule_Inputs'!$B$17)/'Schedule_Inputs'!$E$17&lt;'Schedule_Inputs'!$D$17),$C17/'Schedule_Inputs'!$D$17,0),0))))</f>
        <v/>
      </c>
      <c r="AC17" s="231">
        <f>IF('Schedule_Inputs'!$C$17="Blueprint",$C17*IF(25-'Schedule_Inputs'!$B$17=0,'Assumptions'!$B$21,IF(25-'Schedule_Inputs'!$B$17=1,'Assumptions'!$C$21,IF(25-'Schedule_Inputs'!$B$17=2,'Assumptions'!$D$21,0))),IF('Schedule_Inputs'!$C$17="Launch",$C17*IF(25-'Schedule_Inputs'!$B$17=0,'Assumptions'!$B$22,IF(25-'Schedule_Inputs'!$B$17=1,'Assumptions'!$C$22,IF(25-'Schedule_Inputs'!$B$17=2,'Assumptions'!$D$22,IF(25-'Schedule_Inputs'!$B$17=3,'Assumptions'!$B$23,0)))),IF('Schedule_Inputs'!$C$17="Office Setup",$C17*IF(25-'Schedule_Inputs'!$B$17=0,'Assumptions'!$B$24,IF(25-'Schedule_Inputs'!$B$17=1,'Assumptions'!$C$24,IF(25-'Schedule_Inputs'!$B$17=2,'Assumptions'!$D$24,0))),IF(OR('Schedule_Inputs'!$C$17="Monthly",'Schedule_Inputs'!$C$17="Periodic"),IF(AND(25&gt;='Schedule_Inputs'!$B$17,MOD(25-'Schedule_Inputs'!$B$17,'Schedule_Inputs'!$E$17)=0,(25-'Schedule_Inputs'!$B$17)/'Schedule_Inputs'!$E$17&lt;'Schedule_Inputs'!$D$17),$C17/'Schedule_Inputs'!$D$17,0),0))))</f>
        <v/>
      </c>
      <c r="AD17" s="231">
        <f>IF('Schedule_Inputs'!$C$17="Blueprint",$C17*IF(26-'Schedule_Inputs'!$B$17=0,'Assumptions'!$B$21,IF(26-'Schedule_Inputs'!$B$17=1,'Assumptions'!$C$21,IF(26-'Schedule_Inputs'!$B$17=2,'Assumptions'!$D$21,0))),IF('Schedule_Inputs'!$C$17="Launch",$C17*IF(26-'Schedule_Inputs'!$B$17=0,'Assumptions'!$B$22,IF(26-'Schedule_Inputs'!$B$17=1,'Assumptions'!$C$22,IF(26-'Schedule_Inputs'!$B$17=2,'Assumptions'!$D$22,IF(26-'Schedule_Inputs'!$B$17=3,'Assumptions'!$B$23,0)))),IF('Schedule_Inputs'!$C$17="Office Setup",$C17*IF(26-'Schedule_Inputs'!$B$17=0,'Assumptions'!$B$24,IF(26-'Schedule_Inputs'!$B$17=1,'Assumptions'!$C$24,IF(26-'Schedule_Inputs'!$B$17=2,'Assumptions'!$D$24,0))),IF(OR('Schedule_Inputs'!$C$17="Monthly",'Schedule_Inputs'!$C$17="Periodic"),IF(AND(26&gt;='Schedule_Inputs'!$B$17,MOD(26-'Schedule_Inputs'!$B$17,'Schedule_Inputs'!$E$17)=0,(26-'Schedule_Inputs'!$B$17)/'Schedule_Inputs'!$E$17&lt;'Schedule_Inputs'!$D$17),$C17/'Schedule_Inputs'!$D$17,0),0))))</f>
        <v/>
      </c>
      <c r="AE17" s="231">
        <f>IF('Schedule_Inputs'!$C$17="Blueprint",$C17*IF(27-'Schedule_Inputs'!$B$17=0,'Assumptions'!$B$21,IF(27-'Schedule_Inputs'!$B$17=1,'Assumptions'!$C$21,IF(27-'Schedule_Inputs'!$B$17=2,'Assumptions'!$D$21,0))),IF('Schedule_Inputs'!$C$17="Launch",$C17*IF(27-'Schedule_Inputs'!$B$17=0,'Assumptions'!$B$22,IF(27-'Schedule_Inputs'!$B$17=1,'Assumptions'!$C$22,IF(27-'Schedule_Inputs'!$B$17=2,'Assumptions'!$D$22,IF(27-'Schedule_Inputs'!$B$17=3,'Assumptions'!$B$23,0)))),IF('Schedule_Inputs'!$C$17="Office Setup",$C17*IF(27-'Schedule_Inputs'!$B$17=0,'Assumptions'!$B$24,IF(27-'Schedule_Inputs'!$B$17=1,'Assumptions'!$C$24,IF(27-'Schedule_Inputs'!$B$17=2,'Assumptions'!$D$24,0))),IF(OR('Schedule_Inputs'!$C$17="Monthly",'Schedule_Inputs'!$C$17="Periodic"),IF(AND(27&gt;='Schedule_Inputs'!$B$17,MOD(27-'Schedule_Inputs'!$B$17,'Schedule_Inputs'!$E$17)=0,(27-'Schedule_Inputs'!$B$17)/'Schedule_Inputs'!$E$17&lt;'Schedule_Inputs'!$D$17),$C17/'Schedule_Inputs'!$D$17,0),0))))</f>
        <v/>
      </c>
      <c r="AF17" s="231">
        <f>IF('Schedule_Inputs'!$C$17="Blueprint",$C17*IF(28-'Schedule_Inputs'!$B$17=0,'Assumptions'!$B$21,IF(28-'Schedule_Inputs'!$B$17=1,'Assumptions'!$C$21,IF(28-'Schedule_Inputs'!$B$17=2,'Assumptions'!$D$21,0))),IF('Schedule_Inputs'!$C$17="Launch",$C17*IF(28-'Schedule_Inputs'!$B$17=0,'Assumptions'!$B$22,IF(28-'Schedule_Inputs'!$B$17=1,'Assumptions'!$C$22,IF(28-'Schedule_Inputs'!$B$17=2,'Assumptions'!$D$22,IF(28-'Schedule_Inputs'!$B$17=3,'Assumptions'!$B$23,0)))),IF('Schedule_Inputs'!$C$17="Office Setup",$C17*IF(28-'Schedule_Inputs'!$B$17=0,'Assumptions'!$B$24,IF(28-'Schedule_Inputs'!$B$17=1,'Assumptions'!$C$24,IF(28-'Schedule_Inputs'!$B$17=2,'Assumptions'!$D$24,0))),IF(OR('Schedule_Inputs'!$C$17="Monthly",'Schedule_Inputs'!$C$17="Periodic"),IF(AND(28&gt;='Schedule_Inputs'!$B$17,MOD(28-'Schedule_Inputs'!$B$17,'Schedule_Inputs'!$E$17)=0,(28-'Schedule_Inputs'!$B$17)/'Schedule_Inputs'!$E$17&lt;'Schedule_Inputs'!$D$17),$C17/'Schedule_Inputs'!$D$17,0),0))))</f>
        <v/>
      </c>
      <c r="AG17" s="231">
        <f>IF('Schedule_Inputs'!$C$17="Blueprint",$C17*IF(29-'Schedule_Inputs'!$B$17=0,'Assumptions'!$B$21,IF(29-'Schedule_Inputs'!$B$17=1,'Assumptions'!$C$21,IF(29-'Schedule_Inputs'!$B$17=2,'Assumptions'!$D$21,0))),IF('Schedule_Inputs'!$C$17="Launch",$C17*IF(29-'Schedule_Inputs'!$B$17=0,'Assumptions'!$B$22,IF(29-'Schedule_Inputs'!$B$17=1,'Assumptions'!$C$22,IF(29-'Schedule_Inputs'!$B$17=2,'Assumptions'!$D$22,IF(29-'Schedule_Inputs'!$B$17=3,'Assumptions'!$B$23,0)))),IF('Schedule_Inputs'!$C$17="Office Setup",$C17*IF(29-'Schedule_Inputs'!$B$17=0,'Assumptions'!$B$24,IF(29-'Schedule_Inputs'!$B$17=1,'Assumptions'!$C$24,IF(29-'Schedule_Inputs'!$B$17=2,'Assumptions'!$D$24,0))),IF(OR('Schedule_Inputs'!$C$17="Monthly",'Schedule_Inputs'!$C$17="Periodic"),IF(AND(29&gt;='Schedule_Inputs'!$B$17,MOD(29-'Schedule_Inputs'!$B$17,'Schedule_Inputs'!$E$17)=0,(29-'Schedule_Inputs'!$B$17)/'Schedule_Inputs'!$E$17&lt;'Schedule_Inputs'!$D$17),$C17/'Schedule_Inputs'!$D$17,0),0))))</f>
        <v/>
      </c>
      <c r="AH17" s="231">
        <f>IF('Schedule_Inputs'!$C$17="Blueprint",$C17*IF(30-'Schedule_Inputs'!$B$17=0,'Assumptions'!$B$21,IF(30-'Schedule_Inputs'!$B$17=1,'Assumptions'!$C$21,IF(30-'Schedule_Inputs'!$B$17=2,'Assumptions'!$D$21,0))),IF('Schedule_Inputs'!$C$17="Launch",$C17*IF(30-'Schedule_Inputs'!$B$17=0,'Assumptions'!$B$22,IF(30-'Schedule_Inputs'!$B$17=1,'Assumptions'!$C$22,IF(30-'Schedule_Inputs'!$B$17=2,'Assumptions'!$D$22,IF(30-'Schedule_Inputs'!$B$17=3,'Assumptions'!$B$23,0)))),IF('Schedule_Inputs'!$C$17="Office Setup",$C17*IF(30-'Schedule_Inputs'!$B$17=0,'Assumptions'!$B$24,IF(30-'Schedule_Inputs'!$B$17=1,'Assumptions'!$C$24,IF(30-'Schedule_Inputs'!$B$17=2,'Assumptions'!$D$24,0))),IF(OR('Schedule_Inputs'!$C$17="Monthly",'Schedule_Inputs'!$C$17="Periodic"),IF(AND(30&gt;='Schedule_Inputs'!$B$17,MOD(30-'Schedule_Inputs'!$B$17,'Schedule_Inputs'!$E$17)=0,(30-'Schedule_Inputs'!$B$17)/'Schedule_Inputs'!$E$17&lt;'Schedule_Inputs'!$D$17),$C17/'Schedule_Inputs'!$D$17,0),0))))</f>
        <v/>
      </c>
      <c r="AI17" s="231">
        <f>IF('Schedule_Inputs'!$C$17="Blueprint",$C17*IF(31-'Schedule_Inputs'!$B$17=0,'Assumptions'!$B$21,IF(31-'Schedule_Inputs'!$B$17=1,'Assumptions'!$C$21,IF(31-'Schedule_Inputs'!$B$17=2,'Assumptions'!$D$21,0))),IF('Schedule_Inputs'!$C$17="Launch",$C17*IF(31-'Schedule_Inputs'!$B$17=0,'Assumptions'!$B$22,IF(31-'Schedule_Inputs'!$B$17=1,'Assumptions'!$C$22,IF(31-'Schedule_Inputs'!$B$17=2,'Assumptions'!$D$22,IF(31-'Schedule_Inputs'!$B$17=3,'Assumptions'!$B$23,0)))),IF('Schedule_Inputs'!$C$17="Office Setup",$C17*IF(31-'Schedule_Inputs'!$B$17=0,'Assumptions'!$B$24,IF(31-'Schedule_Inputs'!$B$17=1,'Assumptions'!$C$24,IF(31-'Schedule_Inputs'!$B$17=2,'Assumptions'!$D$24,0))),IF(OR('Schedule_Inputs'!$C$17="Monthly",'Schedule_Inputs'!$C$17="Periodic"),IF(AND(31&gt;='Schedule_Inputs'!$B$17,MOD(31-'Schedule_Inputs'!$B$17,'Schedule_Inputs'!$E$17)=0,(31-'Schedule_Inputs'!$B$17)/'Schedule_Inputs'!$E$17&lt;'Schedule_Inputs'!$D$17),$C17/'Schedule_Inputs'!$D$17,0),0))))</f>
        <v/>
      </c>
      <c r="AJ17" s="231">
        <f>IF('Schedule_Inputs'!$C$17="Blueprint",$C17*IF(32-'Schedule_Inputs'!$B$17=0,'Assumptions'!$B$21,IF(32-'Schedule_Inputs'!$B$17=1,'Assumptions'!$C$21,IF(32-'Schedule_Inputs'!$B$17=2,'Assumptions'!$D$21,0))),IF('Schedule_Inputs'!$C$17="Launch",$C17*IF(32-'Schedule_Inputs'!$B$17=0,'Assumptions'!$B$22,IF(32-'Schedule_Inputs'!$B$17=1,'Assumptions'!$C$22,IF(32-'Schedule_Inputs'!$B$17=2,'Assumptions'!$D$22,IF(32-'Schedule_Inputs'!$B$17=3,'Assumptions'!$B$23,0)))),IF('Schedule_Inputs'!$C$17="Office Setup",$C17*IF(32-'Schedule_Inputs'!$B$17=0,'Assumptions'!$B$24,IF(32-'Schedule_Inputs'!$B$17=1,'Assumptions'!$C$24,IF(32-'Schedule_Inputs'!$B$17=2,'Assumptions'!$D$24,0))),IF(OR('Schedule_Inputs'!$C$17="Monthly",'Schedule_Inputs'!$C$17="Periodic"),IF(AND(32&gt;='Schedule_Inputs'!$B$17,MOD(32-'Schedule_Inputs'!$B$17,'Schedule_Inputs'!$E$17)=0,(32-'Schedule_Inputs'!$B$17)/'Schedule_Inputs'!$E$17&lt;'Schedule_Inputs'!$D$17),$C17/'Schedule_Inputs'!$D$17,0),0))))</f>
        <v/>
      </c>
      <c r="AK17" s="231">
        <f>IF('Schedule_Inputs'!$C$17="Blueprint",$C17*IF(33-'Schedule_Inputs'!$B$17=0,'Assumptions'!$B$21,IF(33-'Schedule_Inputs'!$B$17=1,'Assumptions'!$C$21,IF(33-'Schedule_Inputs'!$B$17=2,'Assumptions'!$D$21,0))),IF('Schedule_Inputs'!$C$17="Launch",$C17*IF(33-'Schedule_Inputs'!$B$17=0,'Assumptions'!$B$22,IF(33-'Schedule_Inputs'!$B$17=1,'Assumptions'!$C$22,IF(33-'Schedule_Inputs'!$B$17=2,'Assumptions'!$D$22,IF(33-'Schedule_Inputs'!$B$17=3,'Assumptions'!$B$23,0)))),IF('Schedule_Inputs'!$C$17="Office Setup",$C17*IF(33-'Schedule_Inputs'!$B$17=0,'Assumptions'!$B$24,IF(33-'Schedule_Inputs'!$B$17=1,'Assumptions'!$C$24,IF(33-'Schedule_Inputs'!$B$17=2,'Assumptions'!$D$24,0))),IF(OR('Schedule_Inputs'!$C$17="Monthly",'Schedule_Inputs'!$C$17="Periodic"),IF(AND(33&gt;='Schedule_Inputs'!$B$17,MOD(33-'Schedule_Inputs'!$B$17,'Schedule_Inputs'!$E$17)=0,(33-'Schedule_Inputs'!$B$17)/'Schedule_Inputs'!$E$17&lt;'Schedule_Inputs'!$D$17),$C17/'Schedule_Inputs'!$D$17,0),0))))</f>
        <v/>
      </c>
      <c r="AL17" s="231">
        <f>IF('Schedule_Inputs'!$C$17="Blueprint",$C17*IF(34-'Schedule_Inputs'!$B$17=0,'Assumptions'!$B$21,IF(34-'Schedule_Inputs'!$B$17=1,'Assumptions'!$C$21,IF(34-'Schedule_Inputs'!$B$17=2,'Assumptions'!$D$21,0))),IF('Schedule_Inputs'!$C$17="Launch",$C17*IF(34-'Schedule_Inputs'!$B$17=0,'Assumptions'!$B$22,IF(34-'Schedule_Inputs'!$B$17=1,'Assumptions'!$C$22,IF(34-'Schedule_Inputs'!$B$17=2,'Assumptions'!$D$22,IF(34-'Schedule_Inputs'!$B$17=3,'Assumptions'!$B$23,0)))),IF('Schedule_Inputs'!$C$17="Office Setup",$C17*IF(34-'Schedule_Inputs'!$B$17=0,'Assumptions'!$B$24,IF(34-'Schedule_Inputs'!$B$17=1,'Assumptions'!$C$24,IF(34-'Schedule_Inputs'!$B$17=2,'Assumptions'!$D$24,0))),IF(OR('Schedule_Inputs'!$C$17="Monthly",'Schedule_Inputs'!$C$17="Periodic"),IF(AND(34&gt;='Schedule_Inputs'!$B$17,MOD(34-'Schedule_Inputs'!$B$17,'Schedule_Inputs'!$E$17)=0,(34-'Schedule_Inputs'!$B$17)/'Schedule_Inputs'!$E$17&lt;'Schedule_Inputs'!$D$17),$C17/'Schedule_Inputs'!$D$17,0),0))))</f>
        <v/>
      </c>
      <c r="AM17" s="231">
        <f>IF('Schedule_Inputs'!$C$17="Blueprint",$C17*IF(35-'Schedule_Inputs'!$B$17=0,'Assumptions'!$B$21,IF(35-'Schedule_Inputs'!$B$17=1,'Assumptions'!$C$21,IF(35-'Schedule_Inputs'!$B$17=2,'Assumptions'!$D$21,0))),IF('Schedule_Inputs'!$C$17="Launch",$C17*IF(35-'Schedule_Inputs'!$B$17=0,'Assumptions'!$B$22,IF(35-'Schedule_Inputs'!$B$17=1,'Assumptions'!$C$22,IF(35-'Schedule_Inputs'!$B$17=2,'Assumptions'!$D$22,IF(35-'Schedule_Inputs'!$B$17=3,'Assumptions'!$B$23,0)))),IF('Schedule_Inputs'!$C$17="Office Setup",$C17*IF(35-'Schedule_Inputs'!$B$17=0,'Assumptions'!$B$24,IF(35-'Schedule_Inputs'!$B$17=1,'Assumptions'!$C$24,IF(35-'Schedule_Inputs'!$B$17=2,'Assumptions'!$D$24,0))),IF(OR('Schedule_Inputs'!$C$17="Monthly",'Schedule_Inputs'!$C$17="Periodic"),IF(AND(35&gt;='Schedule_Inputs'!$B$17,MOD(35-'Schedule_Inputs'!$B$17,'Schedule_Inputs'!$E$17)=0,(35-'Schedule_Inputs'!$B$17)/'Schedule_Inputs'!$E$17&lt;'Schedule_Inputs'!$D$17),$C17/'Schedule_Inputs'!$D$17,0),0))))</f>
        <v/>
      </c>
      <c r="AN17" s="231">
        <f>IF('Schedule_Inputs'!$C$17="Blueprint",$C17*IF(36-'Schedule_Inputs'!$B$17=0,'Assumptions'!$B$21,IF(36-'Schedule_Inputs'!$B$17=1,'Assumptions'!$C$21,IF(36-'Schedule_Inputs'!$B$17=2,'Assumptions'!$D$21,0))),IF('Schedule_Inputs'!$C$17="Launch",$C17*IF(36-'Schedule_Inputs'!$B$17=0,'Assumptions'!$B$22,IF(36-'Schedule_Inputs'!$B$17=1,'Assumptions'!$C$22,IF(36-'Schedule_Inputs'!$B$17=2,'Assumptions'!$D$22,IF(36-'Schedule_Inputs'!$B$17=3,'Assumptions'!$B$23,0)))),IF('Schedule_Inputs'!$C$17="Office Setup",$C17*IF(36-'Schedule_Inputs'!$B$17=0,'Assumptions'!$B$24,IF(36-'Schedule_Inputs'!$B$17=1,'Assumptions'!$C$24,IF(36-'Schedule_Inputs'!$B$17=2,'Assumptions'!$D$24,0))),IF(OR('Schedule_Inputs'!$C$17="Monthly",'Schedule_Inputs'!$C$17="Periodic"),IF(AND(36&gt;='Schedule_Inputs'!$B$17,MOD(36-'Schedule_Inputs'!$B$17,'Schedule_Inputs'!$E$17)=0,(36-'Schedule_Inputs'!$B$17)/'Schedule_Inputs'!$E$17&lt;'Schedule_Inputs'!$D$17),$C17/'Schedule_Inputs'!$D$17,0),0))))</f>
        <v/>
      </c>
    </row>
    <row r="18">
      <c r="A18" s="106" t="inlineStr">
        <is>
          <t>Blueprint 06</t>
        </is>
      </c>
      <c r="B18" s="106" t="n">
        <v>3</v>
      </c>
      <c r="C18" s="230" t="n">
        <v>21000</v>
      </c>
      <c r="D18" s="231" t="inlineStr">
        <is>
          <t>40 / 40 / 20</t>
        </is>
      </c>
      <c r="E18" s="231">
        <f>IF('Schedule_Inputs'!$C$18="Blueprint",$C18*IF(1-'Schedule_Inputs'!$B$18=0,'Assumptions'!$B$21,IF(1-'Schedule_Inputs'!$B$18=1,'Assumptions'!$C$21,IF(1-'Schedule_Inputs'!$B$18=2,'Assumptions'!$D$21,0))),IF('Schedule_Inputs'!$C$18="Launch",$C18*IF(1-'Schedule_Inputs'!$B$18=0,'Assumptions'!$B$22,IF(1-'Schedule_Inputs'!$B$18=1,'Assumptions'!$C$22,IF(1-'Schedule_Inputs'!$B$18=2,'Assumptions'!$D$22,IF(1-'Schedule_Inputs'!$B$18=3,'Assumptions'!$B$23,0)))),IF('Schedule_Inputs'!$C$18="Office Setup",$C18*IF(1-'Schedule_Inputs'!$B$18=0,'Assumptions'!$B$24,IF(1-'Schedule_Inputs'!$B$18=1,'Assumptions'!$C$24,IF(1-'Schedule_Inputs'!$B$18=2,'Assumptions'!$D$24,0))),IF(OR('Schedule_Inputs'!$C$18="Monthly",'Schedule_Inputs'!$C$18="Periodic"),IF(AND(1&gt;='Schedule_Inputs'!$B$18,MOD(1-'Schedule_Inputs'!$B$18,'Schedule_Inputs'!$E$18)=0,(1-'Schedule_Inputs'!$B$18)/'Schedule_Inputs'!$E$18&lt;'Schedule_Inputs'!$D$18),$C18/'Schedule_Inputs'!$D$18,0),0))))</f>
        <v/>
      </c>
      <c r="F18" s="231">
        <f>IF('Schedule_Inputs'!$C$18="Blueprint",$C18*IF(2-'Schedule_Inputs'!$B$18=0,'Assumptions'!$B$21,IF(2-'Schedule_Inputs'!$B$18=1,'Assumptions'!$C$21,IF(2-'Schedule_Inputs'!$B$18=2,'Assumptions'!$D$21,0))),IF('Schedule_Inputs'!$C$18="Launch",$C18*IF(2-'Schedule_Inputs'!$B$18=0,'Assumptions'!$B$22,IF(2-'Schedule_Inputs'!$B$18=1,'Assumptions'!$C$22,IF(2-'Schedule_Inputs'!$B$18=2,'Assumptions'!$D$22,IF(2-'Schedule_Inputs'!$B$18=3,'Assumptions'!$B$23,0)))),IF('Schedule_Inputs'!$C$18="Office Setup",$C18*IF(2-'Schedule_Inputs'!$B$18=0,'Assumptions'!$B$24,IF(2-'Schedule_Inputs'!$B$18=1,'Assumptions'!$C$24,IF(2-'Schedule_Inputs'!$B$18=2,'Assumptions'!$D$24,0))),IF(OR('Schedule_Inputs'!$C$18="Monthly",'Schedule_Inputs'!$C$18="Periodic"),IF(AND(2&gt;='Schedule_Inputs'!$B$18,MOD(2-'Schedule_Inputs'!$B$18,'Schedule_Inputs'!$E$18)=0,(2-'Schedule_Inputs'!$B$18)/'Schedule_Inputs'!$E$18&lt;'Schedule_Inputs'!$D$18),$C18/'Schedule_Inputs'!$D$18,0),0))))</f>
        <v/>
      </c>
      <c r="G18" s="231">
        <f>IF('Schedule_Inputs'!$C$18="Blueprint",$C18*IF(3-'Schedule_Inputs'!$B$18=0,'Assumptions'!$B$21,IF(3-'Schedule_Inputs'!$B$18=1,'Assumptions'!$C$21,IF(3-'Schedule_Inputs'!$B$18=2,'Assumptions'!$D$21,0))),IF('Schedule_Inputs'!$C$18="Launch",$C18*IF(3-'Schedule_Inputs'!$B$18=0,'Assumptions'!$B$22,IF(3-'Schedule_Inputs'!$B$18=1,'Assumptions'!$C$22,IF(3-'Schedule_Inputs'!$B$18=2,'Assumptions'!$D$22,IF(3-'Schedule_Inputs'!$B$18=3,'Assumptions'!$B$23,0)))),IF('Schedule_Inputs'!$C$18="Office Setup",$C18*IF(3-'Schedule_Inputs'!$B$18=0,'Assumptions'!$B$24,IF(3-'Schedule_Inputs'!$B$18=1,'Assumptions'!$C$24,IF(3-'Schedule_Inputs'!$B$18=2,'Assumptions'!$D$24,0))),IF(OR('Schedule_Inputs'!$C$18="Monthly",'Schedule_Inputs'!$C$18="Periodic"),IF(AND(3&gt;='Schedule_Inputs'!$B$18,MOD(3-'Schedule_Inputs'!$B$18,'Schedule_Inputs'!$E$18)=0,(3-'Schedule_Inputs'!$B$18)/'Schedule_Inputs'!$E$18&lt;'Schedule_Inputs'!$D$18),$C18/'Schedule_Inputs'!$D$18,0),0))))</f>
        <v/>
      </c>
      <c r="H18" s="231">
        <f>IF('Schedule_Inputs'!$C$18="Blueprint",$C18*IF(4-'Schedule_Inputs'!$B$18=0,'Assumptions'!$B$21,IF(4-'Schedule_Inputs'!$B$18=1,'Assumptions'!$C$21,IF(4-'Schedule_Inputs'!$B$18=2,'Assumptions'!$D$21,0))),IF('Schedule_Inputs'!$C$18="Launch",$C18*IF(4-'Schedule_Inputs'!$B$18=0,'Assumptions'!$B$22,IF(4-'Schedule_Inputs'!$B$18=1,'Assumptions'!$C$22,IF(4-'Schedule_Inputs'!$B$18=2,'Assumptions'!$D$22,IF(4-'Schedule_Inputs'!$B$18=3,'Assumptions'!$B$23,0)))),IF('Schedule_Inputs'!$C$18="Office Setup",$C18*IF(4-'Schedule_Inputs'!$B$18=0,'Assumptions'!$B$24,IF(4-'Schedule_Inputs'!$B$18=1,'Assumptions'!$C$24,IF(4-'Schedule_Inputs'!$B$18=2,'Assumptions'!$D$24,0))),IF(OR('Schedule_Inputs'!$C$18="Monthly",'Schedule_Inputs'!$C$18="Periodic"),IF(AND(4&gt;='Schedule_Inputs'!$B$18,MOD(4-'Schedule_Inputs'!$B$18,'Schedule_Inputs'!$E$18)=0,(4-'Schedule_Inputs'!$B$18)/'Schedule_Inputs'!$E$18&lt;'Schedule_Inputs'!$D$18),$C18/'Schedule_Inputs'!$D$18,0),0))))</f>
        <v/>
      </c>
      <c r="I18" s="231">
        <f>IF('Schedule_Inputs'!$C$18="Blueprint",$C18*IF(5-'Schedule_Inputs'!$B$18=0,'Assumptions'!$B$21,IF(5-'Schedule_Inputs'!$B$18=1,'Assumptions'!$C$21,IF(5-'Schedule_Inputs'!$B$18=2,'Assumptions'!$D$21,0))),IF('Schedule_Inputs'!$C$18="Launch",$C18*IF(5-'Schedule_Inputs'!$B$18=0,'Assumptions'!$B$22,IF(5-'Schedule_Inputs'!$B$18=1,'Assumptions'!$C$22,IF(5-'Schedule_Inputs'!$B$18=2,'Assumptions'!$D$22,IF(5-'Schedule_Inputs'!$B$18=3,'Assumptions'!$B$23,0)))),IF('Schedule_Inputs'!$C$18="Office Setup",$C18*IF(5-'Schedule_Inputs'!$B$18=0,'Assumptions'!$B$24,IF(5-'Schedule_Inputs'!$B$18=1,'Assumptions'!$C$24,IF(5-'Schedule_Inputs'!$B$18=2,'Assumptions'!$D$24,0))),IF(OR('Schedule_Inputs'!$C$18="Monthly",'Schedule_Inputs'!$C$18="Periodic"),IF(AND(5&gt;='Schedule_Inputs'!$B$18,MOD(5-'Schedule_Inputs'!$B$18,'Schedule_Inputs'!$E$18)=0,(5-'Schedule_Inputs'!$B$18)/'Schedule_Inputs'!$E$18&lt;'Schedule_Inputs'!$D$18),$C18/'Schedule_Inputs'!$D$18,0),0))))</f>
        <v/>
      </c>
      <c r="J18" s="231">
        <f>IF('Schedule_Inputs'!$C$18="Blueprint",$C18*IF(6-'Schedule_Inputs'!$B$18=0,'Assumptions'!$B$21,IF(6-'Schedule_Inputs'!$B$18=1,'Assumptions'!$C$21,IF(6-'Schedule_Inputs'!$B$18=2,'Assumptions'!$D$21,0))),IF('Schedule_Inputs'!$C$18="Launch",$C18*IF(6-'Schedule_Inputs'!$B$18=0,'Assumptions'!$B$22,IF(6-'Schedule_Inputs'!$B$18=1,'Assumptions'!$C$22,IF(6-'Schedule_Inputs'!$B$18=2,'Assumptions'!$D$22,IF(6-'Schedule_Inputs'!$B$18=3,'Assumptions'!$B$23,0)))),IF('Schedule_Inputs'!$C$18="Office Setup",$C18*IF(6-'Schedule_Inputs'!$B$18=0,'Assumptions'!$B$24,IF(6-'Schedule_Inputs'!$B$18=1,'Assumptions'!$C$24,IF(6-'Schedule_Inputs'!$B$18=2,'Assumptions'!$D$24,0))),IF(OR('Schedule_Inputs'!$C$18="Monthly",'Schedule_Inputs'!$C$18="Periodic"),IF(AND(6&gt;='Schedule_Inputs'!$B$18,MOD(6-'Schedule_Inputs'!$B$18,'Schedule_Inputs'!$E$18)=0,(6-'Schedule_Inputs'!$B$18)/'Schedule_Inputs'!$E$18&lt;'Schedule_Inputs'!$D$18),$C18/'Schedule_Inputs'!$D$18,0),0))))</f>
        <v/>
      </c>
      <c r="K18" s="231">
        <f>IF('Schedule_Inputs'!$C$18="Blueprint",$C18*IF(7-'Schedule_Inputs'!$B$18=0,'Assumptions'!$B$21,IF(7-'Schedule_Inputs'!$B$18=1,'Assumptions'!$C$21,IF(7-'Schedule_Inputs'!$B$18=2,'Assumptions'!$D$21,0))),IF('Schedule_Inputs'!$C$18="Launch",$C18*IF(7-'Schedule_Inputs'!$B$18=0,'Assumptions'!$B$22,IF(7-'Schedule_Inputs'!$B$18=1,'Assumptions'!$C$22,IF(7-'Schedule_Inputs'!$B$18=2,'Assumptions'!$D$22,IF(7-'Schedule_Inputs'!$B$18=3,'Assumptions'!$B$23,0)))),IF('Schedule_Inputs'!$C$18="Office Setup",$C18*IF(7-'Schedule_Inputs'!$B$18=0,'Assumptions'!$B$24,IF(7-'Schedule_Inputs'!$B$18=1,'Assumptions'!$C$24,IF(7-'Schedule_Inputs'!$B$18=2,'Assumptions'!$D$24,0))),IF(OR('Schedule_Inputs'!$C$18="Monthly",'Schedule_Inputs'!$C$18="Periodic"),IF(AND(7&gt;='Schedule_Inputs'!$B$18,MOD(7-'Schedule_Inputs'!$B$18,'Schedule_Inputs'!$E$18)=0,(7-'Schedule_Inputs'!$B$18)/'Schedule_Inputs'!$E$18&lt;'Schedule_Inputs'!$D$18),$C18/'Schedule_Inputs'!$D$18,0),0))))</f>
        <v/>
      </c>
      <c r="L18" s="231">
        <f>IF('Schedule_Inputs'!$C$18="Blueprint",$C18*IF(8-'Schedule_Inputs'!$B$18=0,'Assumptions'!$B$21,IF(8-'Schedule_Inputs'!$B$18=1,'Assumptions'!$C$21,IF(8-'Schedule_Inputs'!$B$18=2,'Assumptions'!$D$21,0))),IF('Schedule_Inputs'!$C$18="Launch",$C18*IF(8-'Schedule_Inputs'!$B$18=0,'Assumptions'!$B$22,IF(8-'Schedule_Inputs'!$B$18=1,'Assumptions'!$C$22,IF(8-'Schedule_Inputs'!$B$18=2,'Assumptions'!$D$22,IF(8-'Schedule_Inputs'!$B$18=3,'Assumptions'!$B$23,0)))),IF('Schedule_Inputs'!$C$18="Office Setup",$C18*IF(8-'Schedule_Inputs'!$B$18=0,'Assumptions'!$B$24,IF(8-'Schedule_Inputs'!$B$18=1,'Assumptions'!$C$24,IF(8-'Schedule_Inputs'!$B$18=2,'Assumptions'!$D$24,0))),IF(OR('Schedule_Inputs'!$C$18="Monthly",'Schedule_Inputs'!$C$18="Periodic"),IF(AND(8&gt;='Schedule_Inputs'!$B$18,MOD(8-'Schedule_Inputs'!$B$18,'Schedule_Inputs'!$E$18)=0,(8-'Schedule_Inputs'!$B$18)/'Schedule_Inputs'!$E$18&lt;'Schedule_Inputs'!$D$18),$C18/'Schedule_Inputs'!$D$18,0),0))))</f>
        <v/>
      </c>
      <c r="M18" s="231">
        <f>IF('Schedule_Inputs'!$C$18="Blueprint",$C18*IF(9-'Schedule_Inputs'!$B$18=0,'Assumptions'!$B$21,IF(9-'Schedule_Inputs'!$B$18=1,'Assumptions'!$C$21,IF(9-'Schedule_Inputs'!$B$18=2,'Assumptions'!$D$21,0))),IF('Schedule_Inputs'!$C$18="Launch",$C18*IF(9-'Schedule_Inputs'!$B$18=0,'Assumptions'!$B$22,IF(9-'Schedule_Inputs'!$B$18=1,'Assumptions'!$C$22,IF(9-'Schedule_Inputs'!$B$18=2,'Assumptions'!$D$22,IF(9-'Schedule_Inputs'!$B$18=3,'Assumptions'!$B$23,0)))),IF('Schedule_Inputs'!$C$18="Office Setup",$C18*IF(9-'Schedule_Inputs'!$B$18=0,'Assumptions'!$B$24,IF(9-'Schedule_Inputs'!$B$18=1,'Assumptions'!$C$24,IF(9-'Schedule_Inputs'!$B$18=2,'Assumptions'!$D$24,0))),IF(OR('Schedule_Inputs'!$C$18="Monthly",'Schedule_Inputs'!$C$18="Periodic"),IF(AND(9&gt;='Schedule_Inputs'!$B$18,MOD(9-'Schedule_Inputs'!$B$18,'Schedule_Inputs'!$E$18)=0,(9-'Schedule_Inputs'!$B$18)/'Schedule_Inputs'!$E$18&lt;'Schedule_Inputs'!$D$18),$C18/'Schedule_Inputs'!$D$18,0),0))))</f>
        <v/>
      </c>
      <c r="N18" s="231">
        <f>IF('Schedule_Inputs'!$C$18="Blueprint",$C18*IF(10-'Schedule_Inputs'!$B$18=0,'Assumptions'!$B$21,IF(10-'Schedule_Inputs'!$B$18=1,'Assumptions'!$C$21,IF(10-'Schedule_Inputs'!$B$18=2,'Assumptions'!$D$21,0))),IF('Schedule_Inputs'!$C$18="Launch",$C18*IF(10-'Schedule_Inputs'!$B$18=0,'Assumptions'!$B$22,IF(10-'Schedule_Inputs'!$B$18=1,'Assumptions'!$C$22,IF(10-'Schedule_Inputs'!$B$18=2,'Assumptions'!$D$22,IF(10-'Schedule_Inputs'!$B$18=3,'Assumptions'!$B$23,0)))),IF('Schedule_Inputs'!$C$18="Office Setup",$C18*IF(10-'Schedule_Inputs'!$B$18=0,'Assumptions'!$B$24,IF(10-'Schedule_Inputs'!$B$18=1,'Assumptions'!$C$24,IF(10-'Schedule_Inputs'!$B$18=2,'Assumptions'!$D$24,0))),IF(OR('Schedule_Inputs'!$C$18="Monthly",'Schedule_Inputs'!$C$18="Periodic"),IF(AND(10&gt;='Schedule_Inputs'!$B$18,MOD(10-'Schedule_Inputs'!$B$18,'Schedule_Inputs'!$E$18)=0,(10-'Schedule_Inputs'!$B$18)/'Schedule_Inputs'!$E$18&lt;'Schedule_Inputs'!$D$18),$C18/'Schedule_Inputs'!$D$18,0),0))))</f>
        <v/>
      </c>
      <c r="O18" s="231">
        <f>IF('Schedule_Inputs'!$C$18="Blueprint",$C18*IF(11-'Schedule_Inputs'!$B$18=0,'Assumptions'!$B$21,IF(11-'Schedule_Inputs'!$B$18=1,'Assumptions'!$C$21,IF(11-'Schedule_Inputs'!$B$18=2,'Assumptions'!$D$21,0))),IF('Schedule_Inputs'!$C$18="Launch",$C18*IF(11-'Schedule_Inputs'!$B$18=0,'Assumptions'!$B$22,IF(11-'Schedule_Inputs'!$B$18=1,'Assumptions'!$C$22,IF(11-'Schedule_Inputs'!$B$18=2,'Assumptions'!$D$22,IF(11-'Schedule_Inputs'!$B$18=3,'Assumptions'!$B$23,0)))),IF('Schedule_Inputs'!$C$18="Office Setup",$C18*IF(11-'Schedule_Inputs'!$B$18=0,'Assumptions'!$B$24,IF(11-'Schedule_Inputs'!$B$18=1,'Assumptions'!$C$24,IF(11-'Schedule_Inputs'!$B$18=2,'Assumptions'!$D$24,0))),IF(OR('Schedule_Inputs'!$C$18="Monthly",'Schedule_Inputs'!$C$18="Periodic"),IF(AND(11&gt;='Schedule_Inputs'!$B$18,MOD(11-'Schedule_Inputs'!$B$18,'Schedule_Inputs'!$E$18)=0,(11-'Schedule_Inputs'!$B$18)/'Schedule_Inputs'!$E$18&lt;'Schedule_Inputs'!$D$18),$C18/'Schedule_Inputs'!$D$18,0),0))))</f>
        <v/>
      </c>
      <c r="P18" s="231">
        <f>IF('Schedule_Inputs'!$C$18="Blueprint",$C18*IF(12-'Schedule_Inputs'!$B$18=0,'Assumptions'!$B$21,IF(12-'Schedule_Inputs'!$B$18=1,'Assumptions'!$C$21,IF(12-'Schedule_Inputs'!$B$18=2,'Assumptions'!$D$21,0))),IF('Schedule_Inputs'!$C$18="Launch",$C18*IF(12-'Schedule_Inputs'!$B$18=0,'Assumptions'!$B$22,IF(12-'Schedule_Inputs'!$B$18=1,'Assumptions'!$C$22,IF(12-'Schedule_Inputs'!$B$18=2,'Assumptions'!$D$22,IF(12-'Schedule_Inputs'!$B$18=3,'Assumptions'!$B$23,0)))),IF('Schedule_Inputs'!$C$18="Office Setup",$C18*IF(12-'Schedule_Inputs'!$B$18=0,'Assumptions'!$B$24,IF(12-'Schedule_Inputs'!$B$18=1,'Assumptions'!$C$24,IF(12-'Schedule_Inputs'!$B$18=2,'Assumptions'!$D$24,0))),IF(OR('Schedule_Inputs'!$C$18="Monthly",'Schedule_Inputs'!$C$18="Periodic"),IF(AND(12&gt;='Schedule_Inputs'!$B$18,MOD(12-'Schedule_Inputs'!$B$18,'Schedule_Inputs'!$E$18)=0,(12-'Schedule_Inputs'!$B$18)/'Schedule_Inputs'!$E$18&lt;'Schedule_Inputs'!$D$18),$C18/'Schedule_Inputs'!$D$18,0),0))))</f>
        <v/>
      </c>
      <c r="Q18" s="231">
        <f>IF('Schedule_Inputs'!$C$18="Blueprint",$C18*IF(13-'Schedule_Inputs'!$B$18=0,'Assumptions'!$B$21,IF(13-'Schedule_Inputs'!$B$18=1,'Assumptions'!$C$21,IF(13-'Schedule_Inputs'!$B$18=2,'Assumptions'!$D$21,0))),IF('Schedule_Inputs'!$C$18="Launch",$C18*IF(13-'Schedule_Inputs'!$B$18=0,'Assumptions'!$B$22,IF(13-'Schedule_Inputs'!$B$18=1,'Assumptions'!$C$22,IF(13-'Schedule_Inputs'!$B$18=2,'Assumptions'!$D$22,IF(13-'Schedule_Inputs'!$B$18=3,'Assumptions'!$B$23,0)))),IF('Schedule_Inputs'!$C$18="Office Setup",$C18*IF(13-'Schedule_Inputs'!$B$18=0,'Assumptions'!$B$24,IF(13-'Schedule_Inputs'!$B$18=1,'Assumptions'!$C$24,IF(13-'Schedule_Inputs'!$B$18=2,'Assumptions'!$D$24,0))),IF(OR('Schedule_Inputs'!$C$18="Monthly",'Schedule_Inputs'!$C$18="Periodic"),IF(AND(13&gt;='Schedule_Inputs'!$B$18,MOD(13-'Schedule_Inputs'!$B$18,'Schedule_Inputs'!$E$18)=0,(13-'Schedule_Inputs'!$B$18)/'Schedule_Inputs'!$E$18&lt;'Schedule_Inputs'!$D$18),$C18/'Schedule_Inputs'!$D$18,0),0))))</f>
        <v/>
      </c>
      <c r="R18" s="231">
        <f>IF('Schedule_Inputs'!$C$18="Blueprint",$C18*IF(14-'Schedule_Inputs'!$B$18=0,'Assumptions'!$B$21,IF(14-'Schedule_Inputs'!$B$18=1,'Assumptions'!$C$21,IF(14-'Schedule_Inputs'!$B$18=2,'Assumptions'!$D$21,0))),IF('Schedule_Inputs'!$C$18="Launch",$C18*IF(14-'Schedule_Inputs'!$B$18=0,'Assumptions'!$B$22,IF(14-'Schedule_Inputs'!$B$18=1,'Assumptions'!$C$22,IF(14-'Schedule_Inputs'!$B$18=2,'Assumptions'!$D$22,IF(14-'Schedule_Inputs'!$B$18=3,'Assumptions'!$B$23,0)))),IF('Schedule_Inputs'!$C$18="Office Setup",$C18*IF(14-'Schedule_Inputs'!$B$18=0,'Assumptions'!$B$24,IF(14-'Schedule_Inputs'!$B$18=1,'Assumptions'!$C$24,IF(14-'Schedule_Inputs'!$B$18=2,'Assumptions'!$D$24,0))),IF(OR('Schedule_Inputs'!$C$18="Monthly",'Schedule_Inputs'!$C$18="Periodic"),IF(AND(14&gt;='Schedule_Inputs'!$B$18,MOD(14-'Schedule_Inputs'!$B$18,'Schedule_Inputs'!$E$18)=0,(14-'Schedule_Inputs'!$B$18)/'Schedule_Inputs'!$E$18&lt;'Schedule_Inputs'!$D$18),$C18/'Schedule_Inputs'!$D$18,0),0))))</f>
        <v/>
      </c>
      <c r="S18" s="231">
        <f>IF('Schedule_Inputs'!$C$18="Blueprint",$C18*IF(15-'Schedule_Inputs'!$B$18=0,'Assumptions'!$B$21,IF(15-'Schedule_Inputs'!$B$18=1,'Assumptions'!$C$21,IF(15-'Schedule_Inputs'!$B$18=2,'Assumptions'!$D$21,0))),IF('Schedule_Inputs'!$C$18="Launch",$C18*IF(15-'Schedule_Inputs'!$B$18=0,'Assumptions'!$B$22,IF(15-'Schedule_Inputs'!$B$18=1,'Assumptions'!$C$22,IF(15-'Schedule_Inputs'!$B$18=2,'Assumptions'!$D$22,IF(15-'Schedule_Inputs'!$B$18=3,'Assumptions'!$B$23,0)))),IF('Schedule_Inputs'!$C$18="Office Setup",$C18*IF(15-'Schedule_Inputs'!$B$18=0,'Assumptions'!$B$24,IF(15-'Schedule_Inputs'!$B$18=1,'Assumptions'!$C$24,IF(15-'Schedule_Inputs'!$B$18=2,'Assumptions'!$D$24,0))),IF(OR('Schedule_Inputs'!$C$18="Monthly",'Schedule_Inputs'!$C$18="Periodic"),IF(AND(15&gt;='Schedule_Inputs'!$B$18,MOD(15-'Schedule_Inputs'!$B$18,'Schedule_Inputs'!$E$18)=0,(15-'Schedule_Inputs'!$B$18)/'Schedule_Inputs'!$E$18&lt;'Schedule_Inputs'!$D$18),$C18/'Schedule_Inputs'!$D$18,0),0))))</f>
        <v/>
      </c>
      <c r="T18" s="231">
        <f>IF('Schedule_Inputs'!$C$18="Blueprint",$C18*IF(16-'Schedule_Inputs'!$B$18=0,'Assumptions'!$B$21,IF(16-'Schedule_Inputs'!$B$18=1,'Assumptions'!$C$21,IF(16-'Schedule_Inputs'!$B$18=2,'Assumptions'!$D$21,0))),IF('Schedule_Inputs'!$C$18="Launch",$C18*IF(16-'Schedule_Inputs'!$B$18=0,'Assumptions'!$B$22,IF(16-'Schedule_Inputs'!$B$18=1,'Assumptions'!$C$22,IF(16-'Schedule_Inputs'!$B$18=2,'Assumptions'!$D$22,IF(16-'Schedule_Inputs'!$B$18=3,'Assumptions'!$B$23,0)))),IF('Schedule_Inputs'!$C$18="Office Setup",$C18*IF(16-'Schedule_Inputs'!$B$18=0,'Assumptions'!$B$24,IF(16-'Schedule_Inputs'!$B$18=1,'Assumptions'!$C$24,IF(16-'Schedule_Inputs'!$B$18=2,'Assumptions'!$D$24,0))),IF(OR('Schedule_Inputs'!$C$18="Monthly",'Schedule_Inputs'!$C$18="Periodic"),IF(AND(16&gt;='Schedule_Inputs'!$B$18,MOD(16-'Schedule_Inputs'!$B$18,'Schedule_Inputs'!$E$18)=0,(16-'Schedule_Inputs'!$B$18)/'Schedule_Inputs'!$E$18&lt;'Schedule_Inputs'!$D$18),$C18/'Schedule_Inputs'!$D$18,0),0))))</f>
        <v/>
      </c>
      <c r="U18" s="231">
        <f>IF('Schedule_Inputs'!$C$18="Blueprint",$C18*IF(17-'Schedule_Inputs'!$B$18=0,'Assumptions'!$B$21,IF(17-'Schedule_Inputs'!$B$18=1,'Assumptions'!$C$21,IF(17-'Schedule_Inputs'!$B$18=2,'Assumptions'!$D$21,0))),IF('Schedule_Inputs'!$C$18="Launch",$C18*IF(17-'Schedule_Inputs'!$B$18=0,'Assumptions'!$B$22,IF(17-'Schedule_Inputs'!$B$18=1,'Assumptions'!$C$22,IF(17-'Schedule_Inputs'!$B$18=2,'Assumptions'!$D$22,IF(17-'Schedule_Inputs'!$B$18=3,'Assumptions'!$B$23,0)))),IF('Schedule_Inputs'!$C$18="Office Setup",$C18*IF(17-'Schedule_Inputs'!$B$18=0,'Assumptions'!$B$24,IF(17-'Schedule_Inputs'!$B$18=1,'Assumptions'!$C$24,IF(17-'Schedule_Inputs'!$B$18=2,'Assumptions'!$D$24,0))),IF(OR('Schedule_Inputs'!$C$18="Monthly",'Schedule_Inputs'!$C$18="Periodic"),IF(AND(17&gt;='Schedule_Inputs'!$B$18,MOD(17-'Schedule_Inputs'!$B$18,'Schedule_Inputs'!$E$18)=0,(17-'Schedule_Inputs'!$B$18)/'Schedule_Inputs'!$E$18&lt;'Schedule_Inputs'!$D$18),$C18/'Schedule_Inputs'!$D$18,0),0))))</f>
        <v/>
      </c>
      <c r="V18" s="231">
        <f>IF('Schedule_Inputs'!$C$18="Blueprint",$C18*IF(18-'Schedule_Inputs'!$B$18=0,'Assumptions'!$B$21,IF(18-'Schedule_Inputs'!$B$18=1,'Assumptions'!$C$21,IF(18-'Schedule_Inputs'!$B$18=2,'Assumptions'!$D$21,0))),IF('Schedule_Inputs'!$C$18="Launch",$C18*IF(18-'Schedule_Inputs'!$B$18=0,'Assumptions'!$B$22,IF(18-'Schedule_Inputs'!$B$18=1,'Assumptions'!$C$22,IF(18-'Schedule_Inputs'!$B$18=2,'Assumptions'!$D$22,IF(18-'Schedule_Inputs'!$B$18=3,'Assumptions'!$B$23,0)))),IF('Schedule_Inputs'!$C$18="Office Setup",$C18*IF(18-'Schedule_Inputs'!$B$18=0,'Assumptions'!$B$24,IF(18-'Schedule_Inputs'!$B$18=1,'Assumptions'!$C$24,IF(18-'Schedule_Inputs'!$B$18=2,'Assumptions'!$D$24,0))),IF(OR('Schedule_Inputs'!$C$18="Monthly",'Schedule_Inputs'!$C$18="Periodic"),IF(AND(18&gt;='Schedule_Inputs'!$B$18,MOD(18-'Schedule_Inputs'!$B$18,'Schedule_Inputs'!$E$18)=0,(18-'Schedule_Inputs'!$B$18)/'Schedule_Inputs'!$E$18&lt;'Schedule_Inputs'!$D$18),$C18/'Schedule_Inputs'!$D$18,0),0))))</f>
        <v/>
      </c>
      <c r="W18" s="231">
        <f>IF('Schedule_Inputs'!$C$18="Blueprint",$C18*IF(19-'Schedule_Inputs'!$B$18=0,'Assumptions'!$B$21,IF(19-'Schedule_Inputs'!$B$18=1,'Assumptions'!$C$21,IF(19-'Schedule_Inputs'!$B$18=2,'Assumptions'!$D$21,0))),IF('Schedule_Inputs'!$C$18="Launch",$C18*IF(19-'Schedule_Inputs'!$B$18=0,'Assumptions'!$B$22,IF(19-'Schedule_Inputs'!$B$18=1,'Assumptions'!$C$22,IF(19-'Schedule_Inputs'!$B$18=2,'Assumptions'!$D$22,IF(19-'Schedule_Inputs'!$B$18=3,'Assumptions'!$B$23,0)))),IF('Schedule_Inputs'!$C$18="Office Setup",$C18*IF(19-'Schedule_Inputs'!$B$18=0,'Assumptions'!$B$24,IF(19-'Schedule_Inputs'!$B$18=1,'Assumptions'!$C$24,IF(19-'Schedule_Inputs'!$B$18=2,'Assumptions'!$D$24,0))),IF(OR('Schedule_Inputs'!$C$18="Monthly",'Schedule_Inputs'!$C$18="Periodic"),IF(AND(19&gt;='Schedule_Inputs'!$B$18,MOD(19-'Schedule_Inputs'!$B$18,'Schedule_Inputs'!$E$18)=0,(19-'Schedule_Inputs'!$B$18)/'Schedule_Inputs'!$E$18&lt;'Schedule_Inputs'!$D$18),$C18/'Schedule_Inputs'!$D$18,0),0))))</f>
        <v/>
      </c>
      <c r="X18" s="231">
        <f>IF('Schedule_Inputs'!$C$18="Blueprint",$C18*IF(20-'Schedule_Inputs'!$B$18=0,'Assumptions'!$B$21,IF(20-'Schedule_Inputs'!$B$18=1,'Assumptions'!$C$21,IF(20-'Schedule_Inputs'!$B$18=2,'Assumptions'!$D$21,0))),IF('Schedule_Inputs'!$C$18="Launch",$C18*IF(20-'Schedule_Inputs'!$B$18=0,'Assumptions'!$B$22,IF(20-'Schedule_Inputs'!$B$18=1,'Assumptions'!$C$22,IF(20-'Schedule_Inputs'!$B$18=2,'Assumptions'!$D$22,IF(20-'Schedule_Inputs'!$B$18=3,'Assumptions'!$B$23,0)))),IF('Schedule_Inputs'!$C$18="Office Setup",$C18*IF(20-'Schedule_Inputs'!$B$18=0,'Assumptions'!$B$24,IF(20-'Schedule_Inputs'!$B$18=1,'Assumptions'!$C$24,IF(20-'Schedule_Inputs'!$B$18=2,'Assumptions'!$D$24,0))),IF(OR('Schedule_Inputs'!$C$18="Monthly",'Schedule_Inputs'!$C$18="Periodic"),IF(AND(20&gt;='Schedule_Inputs'!$B$18,MOD(20-'Schedule_Inputs'!$B$18,'Schedule_Inputs'!$E$18)=0,(20-'Schedule_Inputs'!$B$18)/'Schedule_Inputs'!$E$18&lt;'Schedule_Inputs'!$D$18),$C18/'Schedule_Inputs'!$D$18,0),0))))</f>
        <v/>
      </c>
      <c r="Y18" s="231">
        <f>IF('Schedule_Inputs'!$C$18="Blueprint",$C18*IF(21-'Schedule_Inputs'!$B$18=0,'Assumptions'!$B$21,IF(21-'Schedule_Inputs'!$B$18=1,'Assumptions'!$C$21,IF(21-'Schedule_Inputs'!$B$18=2,'Assumptions'!$D$21,0))),IF('Schedule_Inputs'!$C$18="Launch",$C18*IF(21-'Schedule_Inputs'!$B$18=0,'Assumptions'!$B$22,IF(21-'Schedule_Inputs'!$B$18=1,'Assumptions'!$C$22,IF(21-'Schedule_Inputs'!$B$18=2,'Assumptions'!$D$22,IF(21-'Schedule_Inputs'!$B$18=3,'Assumptions'!$B$23,0)))),IF('Schedule_Inputs'!$C$18="Office Setup",$C18*IF(21-'Schedule_Inputs'!$B$18=0,'Assumptions'!$B$24,IF(21-'Schedule_Inputs'!$B$18=1,'Assumptions'!$C$24,IF(21-'Schedule_Inputs'!$B$18=2,'Assumptions'!$D$24,0))),IF(OR('Schedule_Inputs'!$C$18="Monthly",'Schedule_Inputs'!$C$18="Periodic"),IF(AND(21&gt;='Schedule_Inputs'!$B$18,MOD(21-'Schedule_Inputs'!$B$18,'Schedule_Inputs'!$E$18)=0,(21-'Schedule_Inputs'!$B$18)/'Schedule_Inputs'!$E$18&lt;'Schedule_Inputs'!$D$18),$C18/'Schedule_Inputs'!$D$18,0),0))))</f>
        <v/>
      </c>
      <c r="Z18" s="231">
        <f>IF('Schedule_Inputs'!$C$18="Blueprint",$C18*IF(22-'Schedule_Inputs'!$B$18=0,'Assumptions'!$B$21,IF(22-'Schedule_Inputs'!$B$18=1,'Assumptions'!$C$21,IF(22-'Schedule_Inputs'!$B$18=2,'Assumptions'!$D$21,0))),IF('Schedule_Inputs'!$C$18="Launch",$C18*IF(22-'Schedule_Inputs'!$B$18=0,'Assumptions'!$B$22,IF(22-'Schedule_Inputs'!$B$18=1,'Assumptions'!$C$22,IF(22-'Schedule_Inputs'!$B$18=2,'Assumptions'!$D$22,IF(22-'Schedule_Inputs'!$B$18=3,'Assumptions'!$B$23,0)))),IF('Schedule_Inputs'!$C$18="Office Setup",$C18*IF(22-'Schedule_Inputs'!$B$18=0,'Assumptions'!$B$24,IF(22-'Schedule_Inputs'!$B$18=1,'Assumptions'!$C$24,IF(22-'Schedule_Inputs'!$B$18=2,'Assumptions'!$D$24,0))),IF(OR('Schedule_Inputs'!$C$18="Monthly",'Schedule_Inputs'!$C$18="Periodic"),IF(AND(22&gt;='Schedule_Inputs'!$B$18,MOD(22-'Schedule_Inputs'!$B$18,'Schedule_Inputs'!$E$18)=0,(22-'Schedule_Inputs'!$B$18)/'Schedule_Inputs'!$E$18&lt;'Schedule_Inputs'!$D$18),$C18/'Schedule_Inputs'!$D$18,0),0))))</f>
        <v/>
      </c>
      <c r="AA18" s="231">
        <f>IF('Schedule_Inputs'!$C$18="Blueprint",$C18*IF(23-'Schedule_Inputs'!$B$18=0,'Assumptions'!$B$21,IF(23-'Schedule_Inputs'!$B$18=1,'Assumptions'!$C$21,IF(23-'Schedule_Inputs'!$B$18=2,'Assumptions'!$D$21,0))),IF('Schedule_Inputs'!$C$18="Launch",$C18*IF(23-'Schedule_Inputs'!$B$18=0,'Assumptions'!$B$22,IF(23-'Schedule_Inputs'!$B$18=1,'Assumptions'!$C$22,IF(23-'Schedule_Inputs'!$B$18=2,'Assumptions'!$D$22,IF(23-'Schedule_Inputs'!$B$18=3,'Assumptions'!$B$23,0)))),IF('Schedule_Inputs'!$C$18="Office Setup",$C18*IF(23-'Schedule_Inputs'!$B$18=0,'Assumptions'!$B$24,IF(23-'Schedule_Inputs'!$B$18=1,'Assumptions'!$C$24,IF(23-'Schedule_Inputs'!$B$18=2,'Assumptions'!$D$24,0))),IF(OR('Schedule_Inputs'!$C$18="Monthly",'Schedule_Inputs'!$C$18="Periodic"),IF(AND(23&gt;='Schedule_Inputs'!$B$18,MOD(23-'Schedule_Inputs'!$B$18,'Schedule_Inputs'!$E$18)=0,(23-'Schedule_Inputs'!$B$18)/'Schedule_Inputs'!$E$18&lt;'Schedule_Inputs'!$D$18),$C18/'Schedule_Inputs'!$D$18,0),0))))</f>
        <v/>
      </c>
      <c r="AB18" s="231">
        <f>IF('Schedule_Inputs'!$C$18="Blueprint",$C18*IF(24-'Schedule_Inputs'!$B$18=0,'Assumptions'!$B$21,IF(24-'Schedule_Inputs'!$B$18=1,'Assumptions'!$C$21,IF(24-'Schedule_Inputs'!$B$18=2,'Assumptions'!$D$21,0))),IF('Schedule_Inputs'!$C$18="Launch",$C18*IF(24-'Schedule_Inputs'!$B$18=0,'Assumptions'!$B$22,IF(24-'Schedule_Inputs'!$B$18=1,'Assumptions'!$C$22,IF(24-'Schedule_Inputs'!$B$18=2,'Assumptions'!$D$22,IF(24-'Schedule_Inputs'!$B$18=3,'Assumptions'!$B$23,0)))),IF('Schedule_Inputs'!$C$18="Office Setup",$C18*IF(24-'Schedule_Inputs'!$B$18=0,'Assumptions'!$B$24,IF(24-'Schedule_Inputs'!$B$18=1,'Assumptions'!$C$24,IF(24-'Schedule_Inputs'!$B$18=2,'Assumptions'!$D$24,0))),IF(OR('Schedule_Inputs'!$C$18="Monthly",'Schedule_Inputs'!$C$18="Periodic"),IF(AND(24&gt;='Schedule_Inputs'!$B$18,MOD(24-'Schedule_Inputs'!$B$18,'Schedule_Inputs'!$E$18)=0,(24-'Schedule_Inputs'!$B$18)/'Schedule_Inputs'!$E$18&lt;'Schedule_Inputs'!$D$18),$C18/'Schedule_Inputs'!$D$18,0),0))))</f>
        <v/>
      </c>
      <c r="AC18" s="231">
        <f>IF('Schedule_Inputs'!$C$18="Blueprint",$C18*IF(25-'Schedule_Inputs'!$B$18=0,'Assumptions'!$B$21,IF(25-'Schedule_Inputs'!$B$18=1,'Assumptions'!$C$21,IF(25-'Schedule_Inputs'!$B$18=2,'Assumptions'!$D$21,0))),IF('Schedule_Inputs'!$C$18="Launch",$C18*IF(25-'Schedule_Inputs'!$B$18=0,'Assumptions'!$B$22,IF(25-'Schedule_Inputs'!$B$18=1,'Assumptions'!$C$22,IF(25-'Schedule_Inputs'!$B$18=2,'Assumptions'!$D$22,IF(25-'Schedule_Inputs'!$B$18=3,'Assumptions'!$B$23,0)))),IF('Schedule_Inputs'!$C$18="Office Setup",$C18*IF(25-'Schedule_Inputs'!$B$18=0,'Assumptions'!$B$24,IF(25-'Schedule_Inputs'!$B$18=1,'Assumptions'!$C$24,IF(25-'Schedule_Inputs'!$B$18=2,'Assumptions'!$D$24,0))),IF(OR('Schedule_Inputs'!$C$18="Monthly",'Schedule_Inputs'!$C$18="Periodic"),IF(AND(25&gt;='Schedule_Inputs'!$B$18,MOD(25-'Schedule_Inputs'!$B$18,'Schedule_Inputs'!$E$18)=0,(25-'Schedule_Inputs'!$B$18)/'Schedule_Inputs'!$E$18&lt;'Schedule_Inputs'!$D$18),$C18/'Schedule_Inputs'!$D$18,0),0))))</f>
        <v/>
      </c>
      <c r="AD18" s="231">
        <f>IF('Schedule_Inputs'!$C$18="Blueprint",$C18*IF(26-'Schedule_Inputs'!$B$18=0,'Assumptions'!$B$21,IF(26-'Schedule_Inputs'!$B$18=1,'Assumptions'!$C$21,IF(26-'Schedule_Inputs'!$B$18=2,'Assumptions'!$D$21,0))),IF('Schedule_Inputs'!$C$18="Launch",$C18*IF(26-'Schedule_Inputs'!$B$18=0,'Assumptions'!$B$22,IF(26-'Schedule_Inputs'!$B$18=1,'Assumptions'!$C$22,IF(26-'Schedule_Inputs'!$B$18=2,'Assumptions'!$D$22,IF(26-'Schedule_Inputs'!$B$18=3,'Assumptions'!$B$23,0)))),IF('Schedule_Inputs'!$C$18="Office Setup",$C18*IF(26-'Schedule_Inputs'!$B$18=0,'Assumptions'!$B$24,IF(26-'Schedule_Inputs'!$B$18=1,'Assumptions'!$C$24,IF(26-'Schedule_Inputs'!$B$18=2,'Assumptions'!$D$24,0))),IF(OR('Schedule_Inputs'!$C$18="Monthly",'Schedule_Inputs'!$C$18="Periodic"),IF(AND(26&gt;='Schedule_Inputs'!$B$18,MOD(26-'Schedule_Inputs'!$B$18,'Schedule_Inputs'!$E$18)=0,(26-'Schedule_Inputs'!$B$18)/'Schedule_Inputs'!$E$18&lt;'Schedule_Inputs'!$D$18),$C18/'Schedule_Inputs'!$D$18,0),0))))</f>
        <v/>
      </c>
      <c r="AE18" s="231">
        <f>IF('Schedule_Inputs'!$C$18="Blueprint",$C18*IF(27-'Schedule_Inputs'!$B$18=0,'Assumptions'!$B$21,IF(27-'Schedule_Inputs'!$B$18=1,'Assumptions'!$C$21,IF(27-'Schedule_Inputs'!$B$18=2,'Assumptions'!$D$21,0))),IF('Schedule_Inputs'!$C$18="Launch",$C18*IF(27-'Schedule_Inputs'!$B$18=0,'Assumptions'!$B$22,IF(27-'Schedule_Inputs'!$B$18=1,'Assumptions'!$C$22,IF(27-'Schedule_Inputs'!$B$18=2,'Assumptions'!$D$22,IF(27-'Schedule_Inputs'!$B$18=3,'Assumptions'!$B$23,0)))),IF('Schedule_Inputs'!$C$18="Office Setup",$C18*IF(27-'Schedule_Inputs'!$B$18=0,'Assumptions'!$B$24,IF(27-'Schedule_Inputs'!$B$18=1,'Assumptions'!$C$24,IF(27-'Schedule_Inputs'!$B$18=2,'Assumptions'!$D$24,0))),IF(OR('Schedule_Inputs'!$C$18="Monthly",'Schedule_Inputs'!$C$18="Periodic"),IF(AND(27&gt;='Schedule_Inputs'!$B$18,MOD(27-'Schedule_Inputs'!$B$18,'Schedule_Inputs'!$E$18)=0,(27-'Schedule_Inputs'!$B$18)/'Schedule_Inputs'!$E$18&lt;'Schedule_Inputs'!$D$18),$C18/'Schedule_Inputs'!$D$18,0),0))))</f>
        <v/>
      </c>
      <c r="AF18" s="231">
        <f>IF('Schedule_Inputs'!$C$18="Blueprint",$C18*IF(28-'Schedule_Inputs'!$B$18=0,'Assumptions'!$B$21,IF(28-'Schedule_Inputs'!$B$18=1,'Assumptions'!$C$21,IF(28-'Schedule_Inputs'!$B$18=2,'Assumptions'!$D$21,0))),IF('Schedule_Inputs'!$C$18="Launch",$C18*IF(28-'Schedule_Inputs'!$B$18=0,'Assumptions'!$B$22,IF(28-'Schedule_Inputs'!$B$18=1,'Assumptions'!$C$22,IF(28-'Schedule_Inputs'!$B$18=2,'Assumptions'!$D$22,IF(28-'Schedule_Inputs'!$B$18=3,'Assumptions'!$B$23,0)))),IF('Schedule_Inputs'!$C$18="Office Setup",$C18*IF(28-'Schedule_Inputs'!$B$18=0,'Assumptions'!$B$24,IF(28-'Schedule_Inputs'!$B$18=1,'Assumptions'!$C$24,IF(28-'Schedule_Inputs'!$B$18=2,'Assumptions'!$D$24,0))),IF(OR('Schedule_Inputs'!$C$18="Monthly",'Schedule_Inputs'!$C$18="Periodic"),IF(AND(28&gt;='Schedule_Inputs'!$B$18,MOD(28-'Schedule_Inputs'!$B$18,'Schedule_Inputs'!$E$18)=0,(28-'Schedule_Inputs'!$B$18)/'Schedule_Inputs'!$E$18&lt;'Schedule_Inputs'!$D$18),$C18/'Schedule_Inputs'!$D$18,0),0))))</f>
        <v/>
      </c>
      <c r="AG18" s="231">
        <f>IF('Schedule_Inputs'!$C$18="Blueprint",$C18*IF(29-'Schedule_Inputs'!$B$18=0,'Assumptions'!$B$21,IF(29-'Schedule_Inputs'!$B$18=1,'Assumptions'!$C$21,IF(29-'Schedule_Inputs'!$B$18=2,'Assumptions'!$D$21,0))),IF('Schedule_Inputs'!$C$18="Launch",$C18*IF(29-'Schedule_Inputs'!$B$18=0,'Assumptions'!$B$22,IF(29-'Schedule_Inputs'!$B$18=1,'Assumptions'!$C$22,IF(29-'Schedule_Inputs'!$B$18=2,'Assumptions'!$D$22,IF(29-'Schedule_Inputs'!$B$18=3,'Assumptions'!$B$23,0)))),IF('Schedule_Inputs'!$C$18="Office Setup",$C18*IF(29-'Schedule_Inputs'!$B$18=0,'Assumptions'!$B$24,IF(29-'Schedule_Inputs'!$B$18=1,'Assumptions'!$C$24,IF(29-'Schedule_Inputs'!$B$18=2,'Assumptions'!$D$24,0))),IF(OR('Schedule_Inputs'!$C$18="Monthly",'Schedule_Inputs'!$C$18="Periodic"),IF(AND(29&gt;='Schedule_Inputs'!$B$18,MOD(29-'Schedule_Inputs'!$B$18,'Schedule_Inputs'!$E$18)=0,(29-'Schedule_Inputs'!$B$18)/'Schedule_Inputs'!$E$18&lt;'Schedule_Inputs'!$D$18),$C18/'Schedule_Inputs'!$D$18,0),0))))</f>
        <v/>
      </c>
      <c r="AH18" s="231">
        <f>IF('Schedule_Inputs'!$C$18="Blueprint",$C18*IF(30-'Schedule_Inputs'!$B$18=0,'Assumptions'!$B$21,IF(30-'Schedule_Inputs'!$B$18=1,'Assumptions'!$C$21,IF(30-'Schedule_Inputs'!$B$18=2,'Assumptions'!$D$21,0))),IF('Schedule_Inputs'!$C$18="Launch",$C18*IF(30-'Schedule_Inputs'!$B$18=0,'Assumptions'!$B$22,IF(30-'Schedule_Inputs'!$B$18=1,'Assumptions'!$C$22,IF(30-'Schedule_Inputs'!$B$18=2,'Assumptions'!$D$22,IF(30-'Schedule_Inputs'!$B$18=3,'Assumptions'!$B$23,0)))),IF('Schedule_Inputs'!$C$18="Office Setup",$C18*IF(30-'Schedule_Inputs'!$B$18=0,'Assumptions'!$B$24,IF(30-'Schedule_Inputs'!$B$18=1,'Assumptions'!$C$24,IF(30-'Schedule_Inputs'!$B$18=2,'Assumptions'!$D$24,0))),IF(OR('Schedule_Inputs'!$C$18="Monthly",'Schedule_Inputs'!$C$18="Periodic"),IF(AND(30&gt;='Schedule_Inputs'!$B$18,MOD(30-'Schedule_Inputs'!$B$18,'Schedule_Inputs'!$E$18)=0,(30-'Schedule_Inputs'!$B$18)/'Schedule_Inputs'!$E$18&lt;'Schedule_Inputs'!$D$18),$C18/'Schedule_Inputs'!$D$18,0),0))))</f>
        <v/>
      </c>
      <c r="AI18" s="231">
        <f>IF('Schedule_Inputs'!$C$18="Blueprint",$C18*IF(31-'Schedule_Inputs'!$B$18=0,'Assumptions'!$B$21,IF(31-'Schedule_Inputs'!$B$18=1,'Assumptions'!$C$21,IF(31-'Schedule_Inputs'!$B$18=2,'Assumptions'!$D$21,0))),IF('Schedule_Inputs'!$C$18="Launch",$C18*IF(31-'Schedule_Inputs'!$B$18=0,'Assumptions'!$B$22,IF(31-'Schedule_Inputs'!$B$18=1,'Assumptions'!$C$22,IF(31-'Schedule_Inputs'!$B$18=2,'Assumptions'!$D$22,IF(31-'Schedule_Inputs'!$B$18=3,'Assumptions'!$B$23,0)))),IF('Schedule_Inputs'!$C$18="Office Setup",$C18*IF(31-'Schedule_Inputs'!$B$18=0,'Assumptions'!$B$24,IF(31-'Schedule_Inputs'!$B$18=1,'Assumptions'!$C$24,IF(31-'Schedule_Inputs'!$B$18=2,'Assumptions'!$D$24,0))),IF(OR('Schedule_Inputs'!$C$18="Monthly",'Schedule_Inputs'!$C$18="Periodic"),IF(AND(31&gt;='Schedule_Inputs'!$B$18,MOD(31-'Schedule_Inputs'!$B$18,'Schedule_Inputs'!$E$18)=0,(31-'Schedule_Inputs'!$B$18)/'Schedule_Inputs'!$E$18&lt;'Schedule_Inputs'!$D$18),$C18/'Schedule_Inputs'!$D$18,0),0))))</f>
        <v/>
      </c>
      <c r="AJ18" s="231">
        <f>IF('Schedule_Inputs'!$C$18="Blueprint",$C18*IF(32-'Schedule_Inputs'!$B$18=0,'Assumptions'!$B$21,IF(32-'Schedule_Inputs'!$B$18=1,'Assumptions'!$C$21,IF(32-'Schedule_Inputs'!$B$18=2,'Assumptions'!$D$21,0))),IF('Schedule_Inputs'!$C$18="Launch",$C18*IF(32-'Schedule_Inputs'!$B$18=0,'Assumptions'!$B$22,IF(32-'Schedule_Inputs'!$B$18=1,'Assumptions'!$C$22,IF(32-'Schedule_Inputs'!$B$18=2,'Assumptions'!$D$22,IF(32-'Schedule_Inputs'!$B$18=3,'Assumptions'!$B$23,0)))),IF('Schedule_Inputs'!$C$18="Office Setup",$C18*IF(32-'Schedule_Inputs'!$B$18=0,'Assumptions'!$B$24,IF(32-'Schedule_Inputs'!$B$18=1,'Assumptions'!$C$24,IF(32-'Schedule_Inputs'!$B$18=2,'Assumptions'!$D$24,0))),IF(OR('Schedule_Inputs'!$C$18="Monthly",'Schedule_Inputs'!$C$18="Periodic"),IF(AND(32&gt;='Schedule_Inputs'!$B$18,MOD(32-'Schedule_Inputs'!$B$18,'Schedule_Inputs'!$E$18)=0,(32-'Schedule_Inputs'!$B$18)/'Schedule_Inputs'!$E$18&lt;'Schedule_Inputs'!$D$18),$C18/'Schedule_Inputs'!$D$18,0),0))))</f>
        <v/>
      </c>
      <c r="AK18" s="231">
        <f>IF('Schedule_Inputs'!$C$18="Blueprint",$C18*IF(33-'Schedule_Inputs'!$B$18=0,'Assumptions'!$B$21,IF(33-'Schedule_Inputs'!$B$18=1,'Assumptions'!$C$21,IF(33-'Schedule_Inputs'!$B$18=2,'Assumptions'!$D$21,0))),IF('Schedule_Inputs'!$C$18="Launch",$C18*IF(33-'Schedule_Inputs'!$B$18=0,'Assumptions'!$B$22,IF(33-'Schedule_Inputs'!$B$18=1,'Assumptions'!$C$22,IF(33-'Schedule_Inputs'!$B$18=2,'Assumptions'!$D$22,IF(33-'Schedule_Inputs'!$B$18=3,'Assumptions'!$B$23,0)))),IF('Schedule_Inputs'!$C$18="Office Setup",$C18*IF(33-'Schedule_Inputs'!$B$18=0,'Assumptions'!$B$24,IF(33-'Schedule_Inputs'!$B$18=1,'Assumptions'!$C$24,IF(33-'Schedule_Inputs'!$B$18=2,'Assumptions'!$D$24,0))),IF(OR('Schedule_Inputs'!$C$18="Monthly",'Schedule_Inputs'!$C$18="Periodic"),IF(AND(33&gt;='Schedule_Inputs'!$B$18,MOD(33-'Schedule_Inputs'!$B$18,'Schedule_Inputs'!$E$18)=0,(33-'Schedule_Inputs'!$B$18)/'Schedule_Inputs'!$E$18&lt;'Schedule_Inputs'!$D$18),$C18/'Schedule_Inputs'!$D$18,0),0))))</f>
        <v/>
      </c>
      <c r="AL18" s="231">
        <f>IF('Schedule_Inputs'!$C$18="Blueprint",$C18*IF(34-'Schedule_Inputs'!$B$18=0,'Assumptions'!$B$21,IF(34-'Schedule_Inputs'!$B$18=1,'Assumptions'!$C$21,IF(34-'Schedule_Inputs'!$B$18=2,'Assumptions'!$D$21,0))),IF('Schedule_Inputs'!$C$18="Launch",$C18*IF(34-'Schedule_Inputs'!$B$18=0,'Assumptions'!$B$22,IF(34-'Schedule_Inputs'!$B$18=1,'Assumptions'!$C$22,IF(34-'Schedule_Inputs'!$B$18=2,'Assumptions'!$D$22,IF(34-'Schedule_Inputs'!$B$18=3,'Assumptions'!$B$23,0)))),IF('Schedule_Inputs'!$C$18="Office Setup",$C18*IF(34-'Schedule_Inputs'!$B$18=0,'Assumptions'!$B$24,IF(34-'Schedule_Inputs'!$B$18=1,'Assumptions'!$C$24,IF(34-'Schedule_Inputs'!$B$18=2,'Assumptions'!$D$24,0))),IF(OR('Schedule_Inputs'!$C$18="Monthly",'Schedule_Inputs'!$C$18="Periodic"),IF(AND(34&gt;='Schedule_Inputs'!$B$18,MOD(34-'Schedule_Inputs'!$B$18,'Schedule_Inputs'!$E$18)=0,(34-'Schedule_Inputs'!$B$18)/'Schedule_Inputs'!$E$18&lt;'Schedule_Inputs'!$D$18),$C18/'Schedule_Inputs'!$D$18,0),0))))</f>
        <v/>
      </c>
      <c r="AM18" s="231">
        <f>IF('Schedule_Inputs'!$C$18="Blueprint",$C18*IF(35-'Schedule_Inputs'!$B$18=0,'Assumptions'!$B$21,IF(35-'Schedule_Inputs'!$B$18=1,'Assumptions'!$C$21,IF(35-'Schedule_Inputs'!$B$18=2,'Assumptions'!$D$21,0))),IF('Schedule_Inputs'!$C$18="Launch",$C18*IF(35-'Schedule_Inputs'!$B$18=0,'Assumptions'!$B$22,IF(35-'Schedule_Inputs'!$B$18=1,'Assumptions'!$C$22,IF(35-'Schedule_Inputs'!$B$18=2,'Assumptions'!$D$22,IF(35-'Schedule_Inputs'!$B$18=3,'Assumptions'!$B$23,0)))),IF('Schedule_Inputs'!$C$18="Office Setup",$C18*IF(35-'Schedule_Inputs'!$B$18=0,'Assumptions'!$B$24,IF(35-'Schedule_Inputs'!$B$18=1,'Assumptions'!$C$24,IF(35-'Schedule_Inputs'!$B$18=2,'Assumptions'!$D$24,0))),IF(OR('Schedule_Inputs'!$C$18="Monthly",'Schedule_Inputs'!$C$18="Periodic"),IF(AND(35&gt;='Schedule_Inputs'!$B$18,MOD(35-'Schedule_Inputs'!$B$18,'Schedule_Inputs'!$E$18)=0,(35-'Schedule_Inputs'!$B$18)/'Schedule_Inputs'!$E$18&lt;'Schedule_Inputs'!$D$18),$C18/'Schedule_Inputs'!$D$18,0),0))))</f>
        <v/>
      </c>
      <c r="AN18" s="231">
        <f>IF('Schedule_Inputs'!$C$18="Blueprint",$C18*IF(36-'Schedule_Inputs'!$B$18=0,'Assumptions'!$B$21,IF(36-'Schedule_Inputs'!$B$18=1,'Assumptions'!$C$21,IF(36-'Schedule_Inputs'!$B$18=2,'Assumptions'!$D$21,0))),IF('Schedule_Inputs'!$C$18="Launch",$C18*IF(36-'Schedule_Inputs'!$B$18=0,'Assumptions'!$B$22,IF(36-'Schedule_Inputs'!$B$18=1,'Assumptions'!$C$22,IF(36-'Schedule_Inputs'!$B$18=2,'Assumptions'!$D$22,IF(36-'Schedule_Inputs'!$B$18=3,'Assumptions'!$B$23,0)))),IF('Schedule_Inputs'!$C$18="Office Setup",$C18*IF(36-'Schedule_Inputs'!$B$18=0,'Assumptions'!$B$24,IF(36-'Schedule_Inputs'!$B$18=1,'Assumptions'!$C$24,IF(36-'Schedule_Inputs'!$B$18=2,'Assumptions'!$D$24,0))),IF(OR('Schedule_Inputs'!$C$18="Monthly",'Schedule_Inputs'!$C$18="Periodic"),IF(AND(36&gt;='Schedule_Inputs'!$B$18,MOD(36-'Schedule_Inputs'!$B$18,'Schedule_Inputs'!$E$18)=0,(36-'Schedule_Inputs'!$B$18)/'Schedule_Inputs'!$E$18&lt;'Schedule_Inputs'!$D$18),$C18/'Schedule_Inputs'!$D$18,0),0))))</f>
        <v/>
      </c>
    </row>
    <row r="19">
      <c r="A19" s="106" t="inlineStr">
        <is>
          <t>Blueprint 07</t>
        </is>
      </c>
      <c r="B19" s="106" t="n">
        <v>3</v>
      </c>
      <c r="C19" s="230" t="n">
        <v>21000</v>
      </c>
      <c r="D19" s="231" t="inlineStr">
        <is>
          <t>40 / 40 / 20</t>
        </is>
      </c>
      <c r="E19" s="231">
        <f>IF('Schedule_Inputs'!$C$19="Blueprint",$C19*IF(1-'Schedule_Inputs'!$B$19=0,'Assumptions'!$B$21,IF(1-'Schedule_Inputs'!$B$19=1,'Assumptions'!$C$21,IF(1-'Schedule_Inputs'!$B$19=2,'Assumptions'!$D$21,0))),IF('Schedule_Inputs'!$C$19="Launch",$C19*IF(1-'Schedule_Inputs'!$B$19=0,'Assumptions'!$B$22,IF(1-'Schedule_Inputs'!$B$19=1,'Assumptions'!$C$22,IF(1-'Schedule_Inputs'!$B$19=2,'Assumptions'!$D$22,IF(1-'Schedule_Inputs'!$B$19=3,'Assumptions'!$B$23,0)))),IF('Schedule_Inputs'!$C$19="Office Setup",$C19*IF(1-'Schedule_Inputs'!$B$19=0,'Assumptions'!$B$24,IF(1-'Schedule_Inputs'!$B$19=1,'Assumptions'!$C$24,IF(1-'Schedule_Inputs'!$B$19=2,'Assumptions'!$D$24,0))),IF(OR('Schedule_Inputs'!$C$19="Monthly",'Schedule_Inputs'!$C$19="Periodic"),IF(AND(1&gt;='Schedule_Inputs'!$B$19,MOD(1-'Schedule_Inputs'!$B$19,'Schedule_Inputs'!$E$19)=0,(1-'Schedule_Inputs'!$B$19)/'Schedule_Inputs'!$E$19&lt;'Schedule_Inputs'!$D$19),$C19/'Schedule_Inputs'!$D$19,0),0))))</f>
        <v/>
      </c>
      <c r="F19" s="231">
        <f>IF('Schedule_Inputs'!$C$19="Blueprint",$C19*IF(2-'Schedule_Inputs'!$B$19=0,'Assumptions'!$B$21,IF(2-'Schedule_Inputs'!$B$19=1,'Assumptions'!$C$21,IF(2-'Schedule_Inputs'!$B$19=2,'Assumptions'!$D$21,0))),IF('Schedule_Inputs'!$C$19="Launch",$C19*IF(2-'Schedule_Inputs'!$B$19=0,'Assumptions'!$B$22,IF(2-'Schedule_Inputs'!$B$19=1,'Assumptions'!$C$22,IF(2-'Schedule_Inputs'!$B$19=2,'Assumptions'!$D$22,IF(2-'Schedule_Inputs'!$B$19=3,'Assumptions'!$B$23,0)))),IF('Schedule_Inputs'!$C$19="Office Setup",$C19*IF(2-'Schedule_Inputs'!$B$19=0,'Assumptions'!$B$24,IF(2-'Schedule_Inputs'!$B$19=1,'Assumptions'!$C$24,IF(2-'Schedule_Inputs'!$B$19=2,'Assumptions'!$D$24,0))),IF(OR('Schedule_Inputs'!$C$19="Monthly",'Schedule_Inputs'!$C$19="Periodic"),IF(AND(2&gt;='Schedule_Inputs'!$B$19,MOD(2-'Schedule_Inputs'!$B$19,'Schedule_Inputs'!$E$19)=0,(2-'Schedule_Inputs'!$B$19)/'Schedule_Inputs'!$E$19&lt;'Schedule_Inputs'!$D$19),$C19/'Schedule_Inputs'!$D$19,0),0))))</f>
        <v/>
      </c>
      <c r="G19" s="231">
        <f>IF('Schedule_Inputs'!$C$19="Blueprint",$C19*IF(3-'Schedule_Inputs'!$B$19=0,'Assumptions'!$B$21,IF(3-'Schedule_Inputs'!$B$19=1,'Assumptions'!$C$21,IF(3-'Schedule_Inputs'!$B$19=2,'Assumptions'!$D$21,0))),IF('Schedule_Inputs'!$C$19="Launch",$C19*IF(3-'Schedule_Inputs'!$B$19=0,'Assumptions'!$B$22,IF(3-'Schedule_Inputs'!$B$19=1,'Assumptions'!$C$22,IF(3-'Schedule_Inputs'!$B$19=2,'Assumptions'!$D$22,IF(3-'Schedule_Inputs'!$B$19=3,'Assumptions'!$B$23,0)))),IF('Schedule_Inputs'!$C$19="Office Setup",$C19*IF(3-'Schedule_Inputs'!$B$19=0,'Assumptions'!$B$24,IF(3-'Schedule_Inputs'!$B$19=1,'Assumptions'!$C$24,IF(3-'Schedule_Inputs'!$B$19=2,'Assumptions'!$D$24,0))),IF(OR('Schedule_Inputs'!$C$19="Monthly",'Schedule_Inputs'!$C$19="Periodic"),IF(AND(3&gt;='Schedule_Inputs'!$B$19,MOD(3-'Schedule_Inputs'!$B$19,'Schedule_Inputs'!$E$19)=0,(3-'Schedule_Inputs'!$B$19)/'Schedule_Inputs'!$E$19&lt;'Schedule_Inputs'!$D$19),$C19/'Schedule_Inputs'!$D$19,0),0))))</f>
        <v/>
      </c>
      <c r="H19" s="231">
        <f>IF('Schedule_Inputs'!$C$19="Blueprint",$C19*IF(4-'Schedule_Inputs'!$B$19=0,'Assumptions'!$B$21,IF(4-'Schedule_Inputs'!$B$19=1,'Assumptions'!$C$21,IF(4-'Schedule_Inputs'!$B$19=2,'Assumptions'!$D$21,0))),IF('Schedule_Inputs'!$C$19="Launch",$C19*IF(4-'Schedule_Inputs'!$B$19=0,'Assumptions'!$B$22,IF(4-'Schedule_Inputs'!$B$19=1,'Assumptions'!$C$22,IF(4-'Schedule_Inputs'!$B$19=2,'Assumptions'!$D$22,IF(4-'Schedule_Inputs'!$B$19=3,'Assumptions'!$B$23,0)))),IF('Schedule_Inputs'!$C$19="Office Setup",$C19*IF(4-'Schedule_Inputs'!$B$19=0,'Assumptions'!$B$24,IF(4-'Schedule_Inputs'!$B$19=1,'Assumptions'!$C$24,IF(4-'Schedule_Inputs'!$B$19=2,'Assumptions'!$D$24,0))),IF(OR('Schedule_Inputs'!$C$19="Monthly",'Schedule_Inputs'!$C$19="Periodic"),IF(AND(4&gt;='Schedule_Inputs'!$B$19,MOD(4-'Schedule_Inputs'!$B$19,'Schedule_Inputs'!$E$19)=0,(4-'Schedule_Inputs'!$B$19)/'Schedule_Inputs'!$E$19&lt;'Schedule_Inputs'!$D$19),$C19/'Schedule_Inputs'!$D$19,0),0))))</f>
        <v/>
      </c>
      <c r="I19" s="231">
        <f>IF('Schedule_Inputs'!$C$19="Blueprint",$C19*IF(5-'Schedule_Inputs'!$B$19=0,'Assumptions'!$B$21,IF(5-'Schedule_Inputs'!$B$19=1,'Assumptions'!$C$21,IF(5-'Schedule_Inputs'!$B$19=2,'Assumptions'!$D$21,0))),IF('Schedule_Inputs'!$C$19="Launch",$C19*IF(5-'Schedule_Inputs'!$B$19=0,'Assumptions'!$B$22,IF(5-'Schedule_Inputs'!$B$19=1,'Assumptions'!$C$22,IF(5-'Schedule_Inputs'!$B$19=2,'Assumptions'!$D$22,IF(5-'Schedule_Inputs'!$B$19=3,'Assumptions'!$B$23,0)))),IF('Schedule_Inputs'!$C$19="Office Setup",$C19*IF(5-'Schedule_Inputs'!$B$19=0,'Assumptions'!$B$24,IF(5-'Schedule_Inputs'!$B$19=1,'Assumptions'!$C$24,IF(5-'Schedule_Inputs'!$B$19=2,'Assumptions'!$D$24,0))),IF(OR('Schedule_Inputs'!$C$19="Monthly",'Schedule_Inputs'!$C$19="Periodic"),IF(AND(5&gt;='Schedule_Inputs'!$B$19,MOD(5-'Schedule_Inputs'!$B$19,'Schedule_Inputs'!$E$19)=0,(5-'Schedule_Inputs'!$B$19)/'Schedule_Inputs'!$E$19&lt;'Schedule_Inputs'!$D$19),$C19/'Schedule_Inputs'!$D$19,0),0))))</f>
        <v/>
      </c>
      <c r="J19" s="231">
        <f>IF('Schedule_Inputs'!$C$19="Blueprint",$C19*IF(6-'Schedule_Inputs'!$B$19=0,'Assumptions'!$B$21,IF(6-'Schedule_Inputs'!$B$19=1,'Assumptions'!$C$21,IF(6-'Schedule_Inputs'!$B$19=2,'Assumptions'!$D$21,0))),IF('Schedule_Inputs'!$C$19="Launch",$C19*IF(6-'Schedule_Inputs'!$B$19=0,'Assumptions'!$B$22,IF(6-'Schedule_Inputs'!$B$19=1,'Assumptions'!$C$22,IF(6-'Schedule_Inputs'!$B$19=2,'Assumptions'!$D$22,IF(6-'Schedule_Inputs'!$B$19=3,'Assumptions'!$B$23,0)))),IF('Schedule_Inputs'!$C$19="Office Setup",$C19*IF(6-'Schedule_Inputs'!$B$19=0,'Assumptions'!$B$24,IF(6-'Schedule_Inputs'!$B$19=1,'Assumptions'!$C$24,IF(6-'Schedule_Inputs'!$B$19=2,'Assumptions'!$D$24,0))),IF(OR('Schedule_Inputs'!$C$19="Monthly",'Schedule_Inputs'!$C$19="Periodic"),IF(AND(6&gt;='Schedule_Inputs'!$B$19,MOD(6-'Schedule_Inputs'!$B$19,'Schedule_Inputs'!$E$19)=0,(6-'Schedule_Inputs'!$B$19)/'Schedule_Inputs'!$E$19&lt;'Schedule_Inputs'!$D$19),$C19/'Schedule_Inputs'!$D$19,0),0))))</f>
        <v/>
      </c>
      <c r="K19" s="231">
        <f>IF('Schedule_Inputs'!$C$19="Blueprint",$C19*IF(7-'Schedule_Inputs'!$B$19=0,'Assumptions'!$B$21,IF(7-'Schedule_Inputs'!$B$19=1,'Assumptions'!$C$21,IF(7-'Schedule_Inputs'!$B$19=2,'Assumptions'!$D$21,0))),IF('Schedule_Inputs'!$C$19="Launch",$C19*IF(7-'Schedule_Inputs'!$B$19=0,'Assumptions'!$B$22,IF(7-'Schedule_Inputs'!$B$19=1,'Assumptions'!$C$22,IF(7-'Schedule_Inputs'!$B$19=2,'Assumptions'!$D$22,IF(7-'Schedule_Inputs'!$B$19=3,'Assumptions'!$B$23,0)))),IF('Schedule_Inputs'!$C$19="Office Setup",$C19*IF(7-'Schedule_Inputs'!$B$19=0,'Assumptions'!$B$24,IF(7-'Schedule_Inputs'!$B$19=1,'Assumptions'!$C$24,IF(7-'Schedule_Inputs'!$B$19=2,'Assumptions'!$D$24,0))),IF(OR('Schedule_Inputs'!$C$19="Monthly",'Schedule_Inputs'!$C$19="Periodic"),IF(AND(7&gt;='Schedule_Inputs'!$B$19,MOD(7-'Schedule_Inputs'!$B$19,'Schedule_Inputs'!$E$19)=0,(7-'Schedule_Inputs'!$B$19)/'Schedule_Inputs'!$E$19&lt;'Schedule_Inputs'!$D$19),$C19/'Schedule_Inputs'!$D$19,0),0))))</f>
        <v/>
      </c>
      <c r="L19" s="231">
        <f>IF('Schedule_Inputs'!$C$19="Blueprint",$C19*IF(8-'Schedule_Inputs'!$B$19=0,'Assumptions'!$B$21,IF(8-'Schedule_Inputs'!$B$19=1,'Assumptions'!$C$21,IF(8-'Schedule_Inputs'!$B$19=2,'Assumptions'!$D$21,0))),IF('Schedule_Inputs'!$C$19="Launch",$C19*IF(8-'Schedule_Inputs'!$B$19=0,'Assumptions'!$B$22,IF(8-'Schedule_Inputs'!$B$19=1,'Assumptions'!$C$22,IF(8-'Schedule_Inputs'!$B$19=2,'Assumptions'!$D$22,IF(8-'Schedule_Inputs'!$B$19=3,'Assumptions'!$B$23,0)))),IF('Schedule_Inputs'!$C$19="Office Setup",$C19*IF(8-'Schedule_Inputs'!$B$19=0,'Assumptions'!$B$24,IF(8-'Schedule_Inputs'!$B$19=1,'Assumptions'!$C$24,IF(8-'Schedule_Inputs'!$B$19=2,'Assumptions'!$D$24,0))),IF(OR('Schedule_Inputs'!$C$19="Monthly",'Schedule_Inputs'!$C$19="Periodic"),IF(AND(8&gt;='Schedule_Inputs'!$B$19,MOD(8-'Schedule_Inputs'!$B$19,'Schedule_Inputs'!$E$19)=0,(8-'Schedule_Inputs'!$B$19)/'Schedule_Inputs'!$E$19&lt;'Schedule_Inputs'!$D$19),$C19/'Schedule_Inputs'!$D$19,0),0))))</f>
        <v/>
      </c>
      <c r="M19" s="231">
        <f>IF('Schedule_Inputs'!$C$19="Blueprint",$C19*IF(9-'Schedule_Inputs'!$B$19=0,'Assumptions'!$B$21,IF(9-'Schedule_Inputs'!$B$19=1,'Assumptions'!$C$21,IF(9-'Schedule_Inputs'!$B$19=2,'Assumptions'!$D$21,0))),IF('Schedule_Inputs'!$C$19="Launch",$C19*IF(9-'Schedule_Inputs'!$B$19=0,'Assumptions'!$B$22,IF(9-'Schedule_Inputs'!$B$19=1,'Assumptions'!$C$22,IF(9-'Schedule_Inputs'!$B$19=2,'Assumptions'!$D$22,IF(9-'Schedule_Inputs'!$B$19=3,'Assumptions'!$B$23,0)))),IF('Schedule_Inputs'!$C$19="Office Setup",$C19*IF(9-'Schedule_Inputs'!$B$19=0,'Assumptions'!$B$24,IF(9-'Schedule_Inputs'!$B$19=1,'Assumptions'!$C$24,IF(9-'Schedule_Inputs'!$B$19=2,'Assumptions'!$D$24,0))),IF(OR('Schedule_Inputs'!$C$19="Monthly",'Schedule_Inputs'!$C$19="Periodic"),IF(AND(9&gt;='Schedule_Inputs'!$B$19,MOD(9-'Schedule_Inputs'!$B$19,'Schedule_Inputs'!$E$19)=0,(9-'Schedule_Inputs'!$B$19)/'Schedule_Inputs'!$E$19&lt;'Schedule_Inputs'!$D$19),$C19/'Schedule_Inputs'!$D$19,0),0))))</f>
        <v/>
      </c>
      <c r="N19" s="231">
        <f>IF('Schedule_Inputs'!$C$19="Blueprint",$C19*IF(10-'Schedule_Inputs'!$B$19=0,'Assumptions'!$B$21,IF(10-'Schedule_Inputs'!$B$19=1,'Assumptions'!$C$21,IF(10-'Schedule_Inputs'!$B$19=2,'Assumptions'!$D$21,0))),IF('Schedule_Inputs'!$C$19="Launch",$C19*IF(10-'Schedule_Inputs'!$B$19=0,'Assumptions'!$B$22,IF(10-'Schedule_Inputs'!$B$19=1,'Assumptions'!$C$22,IF(10-'Schedule_Inputs'!$B$19=2,'Assumptions'!$D$22,IF(10-'Schedule_Inputs'!$B$19=3,'Assumptions'!$B$23,0)))),IF('Schedule_Inputs'!$C$19="Office Setup",$C19*IF(10-'Schedule_Inputs'!$B$19=0,'Assumptions'!$B$24,IF(10-'Schedule_Inputs'!$B$19=1,'Assumptions'!$C$24,IF(10-'Schedule_Inputs'!$B$19=2,'Assumptions'!$D$24,0))),IF(OR('Schedule_Inputs'!$C$19="Monthly",'Schedule_Inputs'!$C$19="Periodic"),IF(AND(10&gt;='Schedule_Inputs'!$B$19,MOD(10-'Schedule_Inputs'!$B$19,'Schedule_Inputs'!$E$19)=0,(10-'Schedule_Inputs'!$B$19)/'Schedule_Inputs'!$E$19&lt;'Schedule_Inputs'!$D$19),$C19/'Schedule_Inputs'!$D$19,0),0))))</f>
        <v/>
      </c>
      <c r="O19" s="231">
        <f>IF('Schedule_Inputs'!$C$19="Blueprint",$C19*IF(11-'Schedule_Inputs'!$B$19=0,'Assumptions'!$B$21,IF(11-'Schedule_Inputs'!$B$19=1,'Assumptions'!$C$21,IF(11-'Schedule_Inputs'!$B$19=2,'Assumptions'!$D$21,0))),IF('Schedule_Inputs'!$C$19="Launch",$C19*IF(11-'Schedule_Inputs'!$B$19=0,'Assumptions'!$B$22,IF(11-'Schedule_Inputs'!$B$19=1,'Assumptions'!$C$22,IF(11-'Schedule_Inputs'!$B$19=2,'Assumptions'!$D$22,IF(11-'Schedule_Inputs'!$B$19=3,'Assumptions'!$B$23,0)))),IF('Schedule_Inputs'!$C$19="Office Setup",$C19*IF(11-'Schedule_Inputs'!$B$19=0,'Assumptions'!$B$24,IF(11-'Schedule_Inputs'!$B$19=1,'Assumptions'!$C$24,IF(11-'Schedule_Inputs'!$B$19=2,'Assumptions'!$D$24,0))),IF(OR('Schedule_Inputs'!$C$19="Monthly",'Schedule_Inputs'!$C$19="Periodic"),IF(AND(11&gt;='Schedule_Inputs'!$B$19,MOD(11-'Schedule_Inputs'!$B$19,'Schedule_Inputs'!$E$19)=0,(11-'Schedule_Inputs'!$B$19)/'Schedule_Inputs'!$E$19&lt;'Schedule_Inputs'!$D$19),$C19/'Schedule_Inputs'!$D$19,0),0))))</f>
        <v/>
      </c>
      <c r="P19" s="231">
        <f>IF('Schedule_Inputs'!$C$19="Blueprint",$C19*IF(12-'Schedule_Inputs'!$B$19=0,'Assumptions'!$B$21,IF(12-'Schedule_Inputs'!$B$19=1,'Assumptions'!$C$21,IF(12-'Schedule_Inputs'!$B$19=2,'Assumptions'!$D$21,0))),IF('Schedule_Inputs'!$C$19="Launch",$C19*IF(12-'Schedule_Inputs'!$B$19=0,'Assumptions'!$B$22,IF(12-'Schedule_Inputs'!$B$19=1,'Assumptions'!$C$22,IF(12-'Schedule_Inputs'!$B$19=2,'Assumptions'!$D$22,IF(12-'Schedule_Inputs'!$B$19=3,'Assumptions'!$B$23,0)))),IF('Schedule_Inputs'!$C$19="Office Setup",$C19*IF(12-'Schedule_Inputs'!$B$19=0,'Assumptions'!$B$24,IF(12-'Schedule_Inputs'!$B$19=1,'Assumptions'!$C$24,IF(12-'Schedule_Inputs'!$B$19=2,'Assumptions'!$D$24,0))),IF(OR('Schedule_Inputs'!$C$19="Monthly",'Schedule_Inputs'!$C$19="Periodic"),IF(AND(12&gt;='Schedule_Inputs'!$B$19,MOD(12-'Schedule_Inputs'!$B$19,'Schedule_Inputs'!$E$19)=0,(12-'Schedule_Inputs'!$B$19)/'Schedule_Inputs'!$E$19&lt;'Schedule_Inputs'!$D$19),$C19/'Schedule_Inputs'!$D$19,0),0))))</f>
        <v/>
      </c>
      <c r="Q19" s="231">
        <f>IF('Schedule_Inputs'!$C$19="Blueprint",$C19*IF(13-'Schedule_Inputs'!$B$19=0,'Assumptions'!$B$21,IF(13-'Schedule_Inputs'!$B$19=1,'Assumptions'!$C$21,IF(13-'Schedule_Inputs'!$B$19=2,'Assumptions'!$D$21,0))),IF('Schedule_Inputs'!$C$19="Launch",$C19*IF(13-'Schedule_Inputs'!$B$19=0,'Assumptions'!$B$22,IF(13-'Schedule_Inputs'!$B$19=1,'Assumptions'!$C$22,IF(13-'Schedule_Inputs'!$B$19=2,'Assumptions'!$D$22,IF(13-'Schedule_Inputs'!$B$19=3,'Assumptions'!$B$23,0)))),IF('Schedule_Inputs'!$C$19="Office Setup",$C19*IF(13-'Schedule_Inputs'!$B$19=0,'Assumptions'!$B$24,IF(13-'Schedule_Inputs'!$B$19=1,'Assumptions'!$C$24,IF(13-'Schedule_Inputs'!$B$19=2,'Assumptions'!$D$24,0))),IF(OR('Schedule_Inputs'!$C$19="Monthly",'Schedule_Inputs'!$C$19="Periodic"),IF(AND(13&gt;='Schedule_Inputs'!$B$19,MOD(13-'Schedule_Inputs'!$B$19,'Schedule_Inputs'!$E$19)=0,(13-'Schedule_Inputs'!$B$19)/'Schedule_Inputs'!$E$19&lt;'Schedule_Inputs'!$D$19),$C19/'Schedule_Inputs'!$D$19,0),0))))</f>
        <v/>
      </c>
      <c r="R19" s="231">
        <f>IF('Schedule_Inputs'!$C$19="Blueprint",$C19*IF(14-'Schedule_Inputs'!$B$19=0,'Assumptions'!$B$21,IF(14-'Schedule_Inputs'!$B$19=1,'Assumptions'!$C$21,IF(14-'Schedule_Inputs'!$B$19=2,'Assumptions'!$D$21,0))),IF('Schedule_Inputs'!$C$19="Launch",$C19*IF(14-'Schedule_Inputs'!$B$19=0,'Assumptions'!$B$22,IF(14-'Schedule_Inputs'!$B$19=1,'Assumptions'!$C$22,IF(14-'Schedule_Inputs'!$B$19=2,'Assumptions'!$D$22,IF(14-'Schedule_Inputs'!$B$19=3,'Assumptions'!$B$23,0)))),IF('Schedule_Inputs'!$C$19="Office Setup",$C19*IF(14-'Schedule_Inputs'!$B$19=0,'Assumptions'!$B$24,IF(14-'Schedule_Inputs'!$B$19=1,'Assumptions'!$C$24,IF(14-'Schedule_Inputs'!$B$19=2,'Assumptions'!$D$24,0))),IF(OR('Schedule_Inputs'!$C$19="Monthly",'Schedule_Inputs'!$C$19="Periodic"),IF(AND(14&gt;='Schedule_Inputs'!$B$19,MOD(14-'Schedule_Inputs'!$B$19,'Schedule_Inputs'!$E$19)=0,(14-'Schedule_Inputs'!$B$19)/'Schedule_Inputs'!$E$19&lt;'Schedule_Inputs'!$D$19),$C19/'Schedule_Inputs'!$D$19,0),0))))</f>
        <v/>
      </c>
      <c r="S19" s="231">
        <f>IF('Schedule_Inputs'!$C$19="Blueprint",$C19*IF(15-'Schedule_Inputs'!$B$19=0,'Assumptions'!$B$21,IF(15-'Schedule_Inputs'!$B$19=1,'Assumptions'!$C$21,IF(15-'Schedule_Inputs'!$B$19=2,'Assumptions'!$D$21,0))),IF('Schedule_Inputs'!$C$19="Launch",$C19*IF(15-'Schedule_Inputs'!$B$19=0,'Assumptions'!$B$22,IF(15-'Schedule_Inputs'!$B$19=1,'Assumptions'!$C$22,IF(15-'Schedule_Inputs'!$B$19=2,'Assumptions'!$D$22,IF(15-'Schedule_Inputs'!$B$19=3,'Assumptions'!$B$23,0)))),IF('Schedule_Inputs'!$C$19="Office Setup",$C19*IF(15-'Schedule_Inputs'!$B$19=0,'Assumptions'!$B$24,IF(15-'Schedule_Inputs'!$B$19=1,'Assumptions'!$C$24,IF(15-'Schedule_Inputs'!$B$19=2,'Assumptions'!$D$24,0))),IF(OR('Schedule_Inputs'!$C$19="Monthly",'Schedule_Inputs'!$C$19="Periodic"),IF(AND(15&gt;='Schedule_Inputs'!$B$19,MOD(15-'Schedule_Inputs'!$B$19,'Schedule_Inputs'!$E$19)=0,(15-'Schedule_Inputs'!$B$19)/'Schedule_Inputs'!$E$19&lt;'Schedule_Inputs'!$D$19),$C19/'Schedule_Inputs'!$D$19,0),0))))</f>
        <v/>
      </c>
      <c r="T19" s="231">
        <f>IF('Schedule_Inputs'!$C$19="Blueprint",$C19*IF(16-'Schedule_Inputs'!$B$19=0,'Assumptions'!$B$21,IF(16-'Schedule_Inputs'!$B$19=1,'Assumptions'!$C$21,IF(16-'Schedule_Inputs'!$B$19=2,'Assumptions'!$D$21,0))),IF('Schedule_Inputs'!$C$19="Launch",$C19*IF(16-'Schedule_Inputs'!$B$19=0,'Assumptions'!$B$22,IF(16-'Schedule_Inputs'!$B$19=1,'Assumptions'!$C$22,IF(16-'Schedule_Inputs'!$B$19=2,'Assumptions'!$D$22,IF(16-'Schedule_Inputs'!$B$19=3,'Assumptions'!$B$23,0)))),IF('Schedule_Inputs'!$C$19="Office Setup",$C19*IF(16-'Schedule_Inputs'!$B$19=0,'Assumptions'!$B$24,IF(16-'Schedule_Inputs'!$B$19=1,'Assumptions'!$C$24,IF(16-'Schedule_Inputs'!$B$19=2,'Assumptions'!$D$24,0))),IF(OR('Schedule_Inputs'!$C$19="Monthly",'Schedule_Inputs'!$C$19="Periodic"),IF(AND(16&gt;='Schedule_Inputs'!$B$19,MOD(16-'Schedule_Inputs'!$B$19,'Schedule_Inputs'!$E$19)=0,(16-'Schedule_Inputs'!$B$19)/'Schedule_Inputs'!$E$19&lt;'Schedule_Inputs'!$D$19),$C19/'Schedule_Inputs'!$D$19,0),0))))</f>
        <v/>
      </c>
      <c r="U19" s="231">
        <f>IF('Schedule_Inputs'!$C$19="Blueprint",$C19*IF(17-'Schedule_Inputs'!$B$19=0,'Assumptions'!$B$21,IF(17-'Schedule_Inputs'!$B$19=1,'Assumptions'!$C$21,IF(17-'Schedule_Inputs'!$B$19=2,'Assumptions'!$D$21,0))),IF('Schedule_Inputs'!$C$19="Launch",$C19*IF(17-'Schedule_Inputs'!$B$19=0,'Assumptions'!$B$22,IF(17-'Schedule_Inputs'!$B$19=1,'Assumptions'!$C$22,IF(17-'Schedule_Inputs'!$B$19=2,'Assumptions'!$D$22,IF(17-'Schedule_Inputs'!$B$19=3,'Assumptions'!$B$23,0)))),IF('Schedule_Inputs'!$C$19="Office Setup",$C19*IF(17-'Schedule_Inputs'!$B$19=0,'Assumptions'!$B$24,IF(17-'Schedule_Inputs'!$B$19=1,'Assumptions'!$C$24,IF(17-'Schedule_Inputs'!$B$19=2,'Assumptions'!$D$24,0))),IF(OR('Schedule_Inputs'!$C$19="Monthly",'Schedule_Inputs'!$C$19="Periodic"),IF(AND(17&gt;='Schedule_Inputs'!$B$19,MOD(17-'Schedule_Inputs'!$B$19,'Schedule_Inputs'!$E$19)=0,(17-'Schedule_Inputs'!$B$19)/'Schedule_Inputs'!$E$19&lt;'Schedule_Inputs'!$D$19),$C19/'Schedule_Inputs'!$D$19,0),0))))</f>
        <v/>
      </c>
      <c r="V19" s="231">
        <f>IF('Schedule_Inputs'!$C$19="Blueprint",$C19*IF(18-'Schedule_Inputs'!$B$19=0,'Assumptions'!$B$21,IF(18-'Schedule_Inputs'!$B$19=1,'Assumptions'!$C$21,IF(18-'Schedule_Inputs'!$B$19=2,'Assumptions'!$D$21,0))),IF('Schedule_Inputs'!$C$19="Launch",$C19*IF(18-'Schedule_Inputs'!$B$19=0,'Assumptions'!$B$22,IF(18-'Schedule_Inputs'!$B$19=1,'Assumptions'!$C$22,IF(18-'Schedule_Inputs'!$B$19=2,'Assumptions'!$D$22,IF(18-'Schedule_Inputs'!$B$19=3,'Assumptions'!$B$23,0)))),IF('Schedule_Inputs'!$C$19="Office Setup",$C19*IF(18-'Schedule_Inputs'!$B$19=0,'Assumptions'!$B$24,IF(18-'Schedule_Inputs'!$B$19=1,'Assumptions'!$C$24,IF(18-'Schedule_Inputs'!$B$19=2,'Assumptions'!$D$24,0))),IF(OR('Schedule_Inputs'!$C$19="Monthly",'Schedule_Inputs'!$C$19="Periodic"),IF(AND(18&gt;='Schedule_Inputs'!$B$19,MOD(18-'Schedule_Inputs'!$B$19,'Schedule_Inputs'!$E$19)=0,(18-'Schedule_Inputs'!$B$19)/'Schedule_Inputs'!$E$19&lt;'Schedule_Inputs'!$D$19),$C19/'Schedule_Inputs'!$D$19,0),0))))</f>
        <v/>
      </c>
      <c r="W19" s="231">
        <f>IF('Schedule_Inputs'!$C$19="Blueprint",$C19*IF(19-'Schedule_Inputs'!$B$19=0,'Assumptions'!$B$21,IF(19-'Schedule_Inputs'!$B$19=1,'Assumptions'!$C$21,IF(19-'Schedule_Inputs'!$B$19=2,'Assumptions'!$D$21,0))),IF('Schedule_Inputs'!$C$19="Launch",$C19*IF(19-'Schedule_Inputs'!$B$19=0,'Assumptions'!$B$22,IF(19-'Schedule_Inputs'!$B$19=1,'Assumptions'!$C$22,IF(19-'Schedule_Inputs'!$B$19=2,'Assumptions'!$D$22,IF(19-'Schedule_Inputs'!$B$19=3,'Assumptions'!$B$23,0)))),IF('Schedule_Inputs'!$C$19="Office Setup",$C19*IF(19-'Schedule_Inputs'!$B$19=0,'Assumptions'!$B$24,IF(19-'Schedule_Inputs'!$B$19=1,'Assumptions'!$C$24,IF(19-'Schedule_Inputs'!$B$19=2,'Assumptions'!$D$24,0))),IF(OR('Schedule_Inputs'!$C$19="Monthly",'Schedule_Inputs'!$C$19="Periodic"),IF(AND(19&gt;='Schedule_Inputs'!$B$19,MOD(19-'Schedule_Inputs'!$B$19,'Schedule_Inputs'!$E$19)=0,(19-'Schedule_Inputs'!$B$19)/'Schedule_Inputs'!$E$19&lt;'Schedule_Inputs'!$D$19),$C19/'Schedule_Inputs'!$D$19,0),0))))</f>
        <v/>
      </c>
      <c r="X19" s="231">
        <f>IF('Schedule_Inputs'!$C$19="Blueprint",$C19*IF(20-'Schedule_Inputs'!$B$19=0,'Assumptions'!$B$21,IF(20-'Schedule_Inputs'!$B$19=1,'Assumptions'!$C$21,IF(20-'Schedule_Inputs'!$B$19=2,'Assumptions'!$D$21,0))),IF('Schedule_Inputs'!$C$19="Launch",$C19*IF(20-'Schedule_Inputs'!$B$19=0,'Assumptions'!$B$22,IF(20-'Schedule_Inputs'!$B$19=1,'Assumptions'!$C$22,IF(20-'Schedule_Inputs'!$B$19=2,'Assumptions'!$D$22,IF(20-'Schedule_Inputs'!$B$19=3,'Assumptions'!$B$23,0)))),IF('Schedule_Inputs'!$C$19="Office Setup",$C19*IF(20-'Schedule_Inputs'!$B$19=0,'Assumptions'!$B$24,IF(20-'Schedule_Inputs'!$B$19=1,'Assumptions'!$C$24,IF(20-'Schedule_Inputs'!$B$19=2,'Assumptions'!$D$24,0))),IF(OR('Schedule_Inputs'!$C$19="Monthly",'Schedule_Inputs'!$C$19="Periodic"),IF(AND(20&gt;='Schedule_Inputs'!$B$19,MOD(20-'Schedule_Inputs'!$B$19,'Schedule_Inputs'!$E$19)=0,(20-'Schedule_Inputs'!$B$19)/'Schedule_Inputs'!$E$19&lt;'Schedule_Inputs'!$D$19),$C19/'Schedule_Inputs'!$D$19,0),0))))</f>
        <v/>
      </c>
      <c r="Y19" s="231">
        <f>IF('Schedule_Inputs'!$C$19="Blueprint",$C19*IF(21-'Schedule_Inputs'!$B$19=0,'Assumptions'!$B$21,IF(21-'Schedule_Inputs'!$B$19=1,'Assumptions'!$C$21,IF(21-'Schedule_Inputs'!$B$19=2,'Assumptions'!$D$21,0))),IF('Schedule_Inputs'!$C$19="Launch",$C19*IF(21-'Schedule_Inputs'!$B$19=0,'Assumptions'!$B$22,IF(21-'Schedule_Inputs'!$B$19=1,'Assumptions'!$C$22,IF(21-'Schedule_Inputs'!$B$19=2,'Assumptions'!$D$22,IF(21-'Schedule_Inputs'!$B$19=3,'Assumptions'!$B$23,0)))),IF('Schedule_Inputs'!$C$19="Office Setup",$C19*IF(21-'Schedule_Inputs'!$B$19=0,'Assumptions'!$B$24,IF(21-'Schedule_Inputs'!$B$19=1,'Assumptions'!$C$24,IF(21-'Schedule_Inputs'!$B$19=2,'Assumptions'!$D$24,0))),IF(OR('Schedule_Inputs'!$C$19="Monthly",'Schedule_Inputs'!$C$19="Periodic"),IF(AND(21&gt;='Schedule_Inputs'!$B$19,MOD(21-'Schedule_Inputs'!$B$19,'Schedule_Inputs'!$E$19)=0,(21-'Schedule_Inputs'!$B$19)/'Schedule_Inputs'!$E$19&lt;'Schedule_Inputs'!$D$19),$C19/'Schedule_Inputs'!$D$19,0),0))))</f>
        <v/>
      </c>
      <c r="Z19" s="231">
        <f>IF('Schedule_Inputs'!$C$19="Blueprint",$C19*IF(22-'Schedule_Inputs'!$B$19=0,'Assumptions'!$B$21,IF(22-'Schedule_Inputs'!$B$19=1,'Assumptions'!$C$21,IF(22-'Schedule_Inputs'!$B$19=2,'Assumptions'!$D$21,0))),IF('Schedule_Inputs'!$C$19="Launch",$C19*IF(22-'Schedule_Inputs'!$B$19=0,'Assumptions'!$B$22,IF(22-'Schedule_Inputs'!$B$19=1,'Assumptions'!$C$22,IF(22-'Schedule_Inputs'!$B$19=2,'Assumptions'!$D$22,IF(22-'Schedule_Inputs'!$B$19=3,'Assumptions'!$B$23,0)))),IF('Schedule_Inputs'!$C$19="Office Setup",$C19*IF(22-'Schedule_Inputs'!$B$19=0,'Assumptions'!$B$24,IF(22-'Schedule_Inputs'!$B$19=1,'Assumptions'!$C$24,IF(22-'Schedule_Inputs'!$B$19=2,'Assumptions'!$D$24,0))),IF(OR('Schedule_Inputs'!$C$19="Monthly",'Schedule_Inputs'!$C$19="Periodic"),IF(AND(22&gt;='Schedule_Inputs'!$B$19,MOD(22-'Schedule_Inputs'!$B$19,'Schedule_Inputs'!$E$19)=0,(22-'Schedule_Inputs'!$B$19)/'Schedule_Inputs'!$E$19&lt;'Schedule_Inputs'!$D$19),$C19/'Schedule_Inputs'!$D$19,0),0))))</f>
        <v/>
      </c>
      <c r="AA19" s="231">
        <f>IF('Schedule_Inputs'!$C$19="Blueprint",$C19*IF(23-'Schedule_Inputs'!$B$19=0,'Assumptions'!$B$21,IF(23-'Schedule_Inputs'!$B$19=1,'Assumptions'!$C$21,IF(23-'Schedule_Inputs'!$B$19=2,'Assumptions'!$D$21,0))),IF('Schedule_Inputs'!$C$19="Launch",$C19*IF(23-'Schedule_Inputs'!$B$19=0,'Assumptions'!$B$22,IF(23-'Schedule_Inputs'!$B$19=1,'Assumptions'!$C$22,IF(23-'Schedule_Inputs'!$B$19=2,'Assumptions'!$D$22,IF(23-'Schedule_Inputs'!$B$19=3,'Assumptions'!$B$23,0)))),IF('Schedule_Inputs'!$C$19="Office Setup",$C19*IF(23-'Schedule_Inputs'!$B$19=0,'Assumptions'!$B$24,IF(23-'Schedule_Inputs'!$B$19=1,'Assumptions'!$C$24,IF(23-'Schedule_Inputs'!$B$19=2,'Assumptions'!$D$24,0))),IF(OR('Schedule_Inputs'!$C$19="Monthly",'Schedule_Inputs'!$C$19="Periodic"),IF(AND(23&gt;='Schedule_Inputs'!$B$19,MOD(23-'Schedule_Inputs'!$B$19,'Schedule_Inputs'!$E$19)=0,(23-'Schedule_Inputs'!$B$19)/'Schedule_Inputs'!$E$19&lt;'Schedule_Inputs'!$D$19),$C19/'Schedule_Inputs'!$D$19,0),0))))</f>
        <v/>
      </c>
      <c r="AB19" s="231">
        <f>IF('Schedule_Inputs'!$C$19="Blueprint",$C19*IF(24-'Schedule_Inputs'!$B$19=0,'Assumptions'!$B$21,IF(24-'Schedule_Inputs'!$B$19=1,'Assumptions'!$C$21,IF(24-'Schedule_Inputs'!$B$19=2,'Assumptions'!$D$21,0))),IF('Schedule_Inputs'!$C$19="Launch",$C19*IF(24-'Schedule_Inputs'!$B$19=0,'Assumptions'!$B$22,IF(24-'Schedule_Inputs'!$B$19=1,'Assumptions'!$C$22,IF(24-'Schedule_Inputs'!$B$19=2,'Assumptions'!$D$22,IF(24-'Schedule_Inputs'!$B$19=3,'Assumptions'!$B$23,0)))),IF('Schedule_Inputs'!$C$19="Office Setup",$C19*IF(24-'Schedule_Inputs'!$B$19=0,'Assumptions'!$B$24,IF(24-'Schedule_Inputs'!$B$19=1,'Assumptions'!$C$24,IF(24-'Schedule_Inputs'!$B$19=2,'Assumptions'!$D$24,0))),IF(OR('Schedule_Inputs'!$C$19="Monthly",'Schedule_Inputs'!$C$19="Periodic"),IF(AND(24&gt;='Schedule_Inputs'!$B$19,MOD(24-'Schedule_Inputs'!$B$19,'Schedule_Inputs'!$E$19)=0,(24-'Schedule_Inputs'!$B$19)/'Schedule_Inputs'!$E$19&lt;'Schedule_Inputs'!$D$19),$C19/'Schedule_Inputs'!$D$19,0),0))))</f>
        <v/>
      </c>
      <c r="AC19" s="231">
        <f>IF('Schedule_Inputs'!$C$19="Blueprint",$C19*IF(25-'Schedule_Inputs'!$B$19=0,'Assumptions'!$B$21,IF(25-'Schedule_Inputs'!$B$19=1,'Assumptions'!$C$21,IF(25-'Schedule_Inputs'!$B$19=2,'Assumptions'!$D$21,0))),IF('Schedule_Inputs'!$C$19="Launch",$C19*IF(25-'Schedule_Inputs'!$B$19=0,'Assumptions'!$B$22,IF(25-'Schedule_Inputs'!$B$19=1,'Assumptions'!$C$22,IF(25-'Schedule_Inputs'!$B$19=2,'Assumptions'!$D$22,IF(25-'Schedule_Inputs'!$B$19=3,'Assumptions'!$B$23,0)))),IF('Schedule_Inputs'!$C$19="Office Setup",$C19*IF(25-'Schedule_Inputs'!$B$19=0,'Assumptions'!$B$24,IF(25-'Schedule_Inputs'!$B$19=1,'Assumptions'!$C$24,IF(25-'Schedule_Inputs'!$B$19=2,'Assumptions'!$D$24,0))),IF(OR('Schedule_Inputs'!$C$19="Monthly",'Schedule_Inputs'!$C$19="Periodic"),IF(AND(25&gt;='Schedule_Inputs'!$B$19,MOD(25-'Schedule_Inputs'!$B$19,'Schedule_Inputs'!$E$19)=0,(25-'Schedule_Inputs'!$B$19)/'Schedule_Inputs'!$E$19&lt;'Schedule_Inputs'!$D$19),$C19/'Schedule_Inputs'!$D$19,0),0))))</f>
        <v/>
      </c>
      <c r="AD19" s="231">
        <f>IF('Schedule_Inputs'!$C$19="Blueprint",$C19*IF(26-'Schedule_Inputs'!$B$19=0,'Assumptions'!$B$21,IF(26-'Schedule_Inputs'!$B$19=1,'Assumptions'!$C$21,IF(26-'Schedule_Inputs'!$B$19=2,'Assumptions'!$D$21,0))),IF('Schedule_Inputs'!$C$19="Launch",$C19*IF(26-'Schedule_Inputs'!$B$19=0,'Assumptions'!$B$22,IF(26-'Schedule_Inputs'!$B$19=1,'Assumptions'!$C$22,IF(26-'Schedule_Inputs'!$B$19=2,'Assumptions'!$D$22,IF(26-'Schedule_Inputs'!$B$19=3,'Assumptions'!$B$23,0)))),IF('Schedule_Inputs'!$C$19="Office Setup",$C19*IF(26-'Schedule_Inputs'!$B$19=0,'Assumptions'!$B$24,IF(26-'Schedule_Inputs'!$B$19=1,'Assumptions'!$C$24,IF(26-'Schedule_Inputs'!$B$19=2,'Assumptions'!$D$24,0))),IF(OR('Schedule_Inputs'!$C$19="Monthly",'Schedule_Inputs'!$C$19="Periodic"),IF(AND(26&gt;='Schedule_Inputs'!$B$19,MOD(26-'Schedule_Inputs'!$B$19,'Schedule_Inputs'!$E$19)=0,(26-'Schedule_Inputs'!$B$19)/'Schedule_Inputs'!$E$19&lt;'Schedule_Inputs'!$D$19),$C19/'Schedule_Inputs'!$D$19,0),0))))</f>
        <v/>
      </c>
      <c r="AE19" s="231">
        <f>IF('Schedule_Inputs'!$C$19="Blueprint",$C19*IF(27-'Schedule_Inputs'!$B$19=0,'Assumptions'!$B$21,IF(27-'Schedule_Inputs'!$B$19=1,'Assumptions'!$C$21,IF(27-'Schedule_Inputs'!$B$19=2,'Assumptions'!$D$21,0))),IF('Schedule_Inputs'!$C$19="Launch",$C19*IF(27-'Schedule_Inputs'!$B$19=0,'Assumptions'!$B$22,IF(27-'Schedule_Inputs'!$B$19=1,'Assumptions'!$C$22,IF(27-'Schedule_Inputs'!$B$19=2,'Assumptions'!$D$22,IF(27-'Schedule_Inputs'!$B$19=3,'Assumptions'!$B$23,0)))),IF('Schedule_Inputs'!$C$19="Office Setup",$C19*IF(27-'Schedule_Inputs'!$B$19=0,'Assumptions'!$B$24,IF(27-'Schedule_Inputs'!$B$19=1,'Assumptions'!$C$24,IF(27-'Schedule_Inputs'!$B$19=2,'Assumptions'!$D$24,0))),IF(OR('Schedule_Inputs'!$C$19="Monthly",'Schedule_Inputs'!$C$19="Periodic"),IF(AND(27&gt;='Schedule_Inputs'!$B$19,MOD(27-'Schedule_Inputs'!$B$19,'Schedule_Inputs'!$E$19)=0,(27-'Schedule_Inputs'!$B$19)/'Schedule_Inputs'!$E$19&lt;'Schedule_Inputs'!$D$19),$C19/'Schedule_Inputs'!$D$19,0),0))))</f>
        <v/>
      </c>
      <c r="AF19" s="231">
        <f>IF('Schedule_Inputs'!$C$19="Blueprint",$C19*IF(28-'Schedule_Inputs'!$B$19=0,'Assumptions'!$B$21,IF(28-'Schedule_Inputs'!$B$19=1,'Assumptions'!$C$21,IF(28-'Schedule_Inputs'!$B$19=2,'Assumptions'!$D$21,0))),IF('Schedule_Inputs'!$C$19="Launch",$C19*IF(28-'Schedule_Inputs'!$B$19=0,'Assumptions'!$B$22,IF(28-'Schedule_Inputs'!$B$19=1,'Assumptions'!$C$22,IF(28-'Schedule_Inputs'!$B$19=2,'Assumptions'!$D$22,IF(28-'Schedule_Inputs'!$B$19=3,'Assumptions'!$B$23,0)))),IF('Schedule_Inputs'!$C$19="Office Setup",$C19*IF(28-'Schedule_Inputs'!$B$19=0,'Assumptions'!$B$24,IF(28-'Schedule_Inputs'!$B$19=1,'Assumptions'!$C$24,IF(28-'Schedule_Inputs'!$B$19=2,'Assumptions'!$D$24,0))),IF(OR('Schedule_Inputs'!$C$19="Monthly",'Schedule_Inputs'!$C$19="Periodic"),IF(AND(28&gt;='Schedule_Inputs'!$B$19,MOD(28-'Schedule_Inputs'!$B$19,'Schedule_Inputs'!$E$19)=0,(28-'Schedule_Inputs'!$B$19)/'Schedule_Inputs'!$E$19&lt;'Schedule_Inputs'!$D$19),$C19/'Schedule_Inputs'!$D$19,0),0))))</f>
        <v/>
      </c>
      <c r="AG19" s="231">
        <f>IF('Schedule_Inputs'!$C$19="Blueprint",$C19*IF(29-'Schedule_Inputs'!$B$19=0,'Assumptions'!$B$21,IF(29-'Schedule_Inputs'!$B$19=1,'Assumptions'!$C$21,IF(29-'Schedule_Inputs'!$B$19=2,'Assumptions'!$D$21,0))),IF('Schedule_Inputs'!$C$19="Launch",$C19*IF(29-'Schedule_Inputs'!$B$19=0,'Assumptions'!$B$22,IF(29-'Schedule_Inputs'!$B$19=1,'Assumptions'!$C$22,IF(29-'Schedule_Inputs'!$B$19=2,'Assumptions'!$D$22,IF(29-'Schedule_Inputs'!$B$19=3,'Assumptions'!$B$23,0)))),IF('Schedule_Inputs'!$C$19="Office Setup",$C19*IF(29-'Schedule_Inputs'!$B$19=0,'Assumptions'!$B$24,IF(29-'Schedule_Inputs'!$B$19=1,'Assumptions'!$C$24,IF(29-'Schedule_Inputs'!$B$19=2,'Assumptions'!$D$24,0))),IF(OR('Schedule_Inputs'!$C$19="Monthly",'Schedule_Inputs'!$C$19="Periodic"),IF(AND(29&gt;='Schedule_Inputs'!$B$19,MOD(29-'Schedule_Inputs'!$B$19,'Schedule_Inputs'!$E$19)=0,(29-'Schedule_Inputs'!$B$19)/'Schedule_Inputs'!$E$19&lt;'Schedule_Inputs'!$D$19),$C19/'Schedule_Inputs'!$D$19,0),0))))</f>
        <v/>
      </c>
      <c r="AH19" s="231">
        <f>IF('Schedule_Inputs'!$C$19="Blueprint",$C19*IF(30-'Schedule_Inputs'!$B$19=0,'Assumptions'!$B$21,IF(30-'Schedule_Inputs'!$B$19=1,'Assumptions'!$C$21,IF(30-'Schedule_Inputs'!$B$19=2,'Assumptions'!$D$21,0))),IF('Schedule_Inputs'!$C$19="Launch",$C19*IF(30-'Schedule_Inputs'!$B$19=0,'Assumptions'!$B$22,IF(30-'Schedule_Inputs'!$B$19=1,'Assumptions'!$C$22,IF(30-'Schedule_Inputs'!$B$19=2,'Assumptions'!$D$22,IF(30-'Schedule_Inputs'!$B$19=3,'Assumptions'!$B$23,0)))),IF('Schedule_Inputs'!$C$19="Office Setup",$C19*IF(30-'Schedule_Inputs'!$B$19=0,'Assumptions'!$B$24,IF(30-'Schedule_Inputs'!$B$19=1,'Assumptions'!$C$24,IF(30-'Schedule_Inputs'!$B$19=2,'Assumptions'!$D$24,0))),IF(OR('Schedule_Inputs'!$C$19="Monthly",'Schedule_Inputs'!$C$19="Periodic"),IF(AND(30&gt;='Schedule_Inputs'!$B$19,MOD(30-'Schedule_Inputs'!$B$19,'Schedule_Inputs'!$E$19)=0,(30-'Schedule_Inputs'!$B$19)/'Schedule_Inputs'!$E$19&lt;'Schedule_Inputs'!$D$19),$C19/'Schedule_Inputs'!$D$19,0),0))))</f>
        <v/>
      </c>
      <c r="AI19" s="231">
        <f>IF('Schedule_Inputs'!$C$19="Blueprint",$C19*IF(31-'Schedule_Inputs'!$B$19=0,'Assumptions'!$B$21,IF(31-'Schedule_Inputs'!$B$19=1,'Assumptions'!$C$21,IF(31-'Schedule_Inputs'!$B$19=2,'Assumptions'!$D$21,0))),IF('Schedule_Inputs'!$C$19="Launch",$C19*IF(31-'Schedule_Inputs'!$B$19=0,'Assumptions'!$B$22,IF(31-'Schedule_Inputs'!$B$19=1,'Assumptions'!$C$22,IF(31-'Schedule_Inputs'!$B$19=2,'Assumptions'!$D$22,IF(31-'Schedule_Inputs'!$B$19=3,'Assumptions'!$B$23,0)))),IF('Schedule_Inputs'!$C$19="Office Setup",$C19*IF(31-'Schedule_Inputs'!$B$19=0,'Assumptions'!$B$24,IF(31-'Schedule_Inputs'!$B$19=1,'Assumptions'!$C$24,IF(31-'Schedule_Inputs'!$B$19=2,'Assumptions'!$D$24,0))),IF(OR('Schedule_Inputs'!$C$19="Monthly",'Schedule_Inputs'!$C$19="Periodic"),IF(AND(31&gt;='Schedule_Inputs'!$B$19,MOD(31-'Schedule_Inputs'!$B$19,'Schedule_Inputs'!$E$19)=0,(31-'Schedule_Inputs'!$B$19)/'Schedule_Inputs'!$E$19&lt;'Schedule_Inputs'!$D$19),$C19/'Schedule_Inputs'!$D$19,0),0))))</f>
        <v/>
      </c>
      <c r="AJ19" s="231">
        <f>IF('Schedule_Inputs'!$C$19="Blueprint",$C19*IF(32-'Schedule_Inputs'!$B$19=0,'Assumptions'!$B$21,IF(32-'Schedule_Inputs'!$B$19=1,'Assumptions'!$C$21,IF(32-'Schedule_Inputs'!$B$19=2,'Assumptions'!$D$21,0))),IF('Schedule_Inputs'!$C$19="Launch",$C19*IF(32-'Schedule_Inputs'!$B$19=0,'Assumptions'!$B$22,IF(32-'Schedule_Inputs'!$B$19=1,'Assumptions'!$C$22,IF(32-'Schedule_Inputs'!$B$19=2,'Assumptions'!$D$22,IF(32-'Schedule_Inputs'!$B$19=3,'Assumptions'!$B$23,0)))),IF('Schedule_Inputs'!$C$19="Office Setup",$C19*IF(32-'Schedule_Inputs'!$B$19=0,'Assumptions'!$B$24,IF(32-'Schedule_Inputs'!$B$19=1,'Assumptions'!$C$24,IF(32-'Schedule_Inputs'!$B$19=2,'Assumptions'!$D$24,0))),IF(OR('Schedule_Inputs'!$C$19="Monthly",'Schedule_Inputs'!$C$19="Periodic"),IF(AND(32&gt;='Schedule_Inputs'!$B$19,MOD(32-'Schedule_Inputs'!$B$19,'Schedule_Inputs'!$E$19)=0,(32-'Schedule_Inputs'!$B$19)/'Schedule_Inputs'!$E$19&lt;'Schedule_Inputs'!$D$19),$C19/'Schedule_Inputs'!$D$19,0),0))))</f>
        <v/>
      </c>
      <c r="AK19" s="231">
        <f>IF('Schedule_Inputs'!$C$19="Blueprint",$C19*IF(33-'Schedule_Inputs'!$B$19=0,'Assumptions'!$B$21,IF(33-'Schedule_Inputs'!$B$19=1,'Assumptions'!$C$21,IF(33-'Schedule_Inputs'!$B$19=2,'Assumptions'!$D$21,0))),IF('Schedule_Inputs'!$C$19="Launch",$C19*IF(33-'Schedule_Inputs'!$B$19=0,'Assumptions'!$B$22,IF(33-'Schedule_Inputs'!$B$19=1,'Assumptions'!$C$22,IF(33-'Schedule_Inputs'!$B$19=2,'Assumptions'!$D$22,IF(33-'Schedule_Inputs'!$B$19=3,'Assumptions'!$B$23,0)))),IF('Schedule_Inputs'!$C$19="Office Setup",$C19*IF(33-'Schedule_Inputs'!$B$19=0,'Assumptions'!$B$24,IF(33-'Schedule_Inputs'!$B$19=1,'Assumptions'!$C$24,IF(33-'Schedule_Inputs'!$B$19=2,'Assumptions'!$D$24,0))),IF(OR('Schedule_Inputs'!$C$19="Monthly",'Schedule_Inputs'!$C$19="Periodic"),IF(AND(33&gt;='Schedule_Inputs'!$B$19,MOD(33-'Schedule_Inputs'!$B$19,'Schedule_Inputs'!$E$19)=0,(33-'Schedule_Inputs'!$B$19)/'Schedule_Inputs'!$E$19&lt;'Schedule_Inputs'!$D$19),$C19/'Schedule_Inputs'!$D$19,0),0))))</f>
        <v/>
      </c>
      <c r="AL19" s="231">
        <f>IF('Schedule_Inputs'!$C$19="Blueprint",$C19*IF(34-'Schedule_Inputs'!$B$19=0,'Assumptions'!$B$21,IF(34-'Schedule_Inputs'!$B$19=1,'Assumptions'!$C$21,IF(34-'Schedule_Inputs'!$B$19=2,'Assumptions'!$D$21,0))),IF('Schedule_Inputs'!$C$19="Launch",$C19*IF(34-'Schedule_Inputs'!$B$19=0,'Assumptions'!$B$22,IF(34-'Schedule_Inputs'!$B$19=1,'Assumptions'!$C$22,IF(34-'Schedule_Inputs'!$B$19=2,'Assumptions'!$D$22,IF(34-'Schedule_Inputs'!$B$19=3,'Assumptions'!$B$23,0)))),IF('Schedule_Inputs'!$C$19="Office Setup",$C19*IF(34-'Schedule_Inputs'!$B$19=0,'Assumptions'!$B$24,IF(34-'Schedule_Inputs'!$B$19=1,'Assumptions'!$C$24,IF(34-'Schedule_Inputs'!$B$19=2,'Assumptions'!$D$24,0))),IF(OR('Schedule_Inputs'!$C$19="Monthly",'Schedule_Inputs'!$C$19="Periodic"),IF(AND(34&gt;='Schedule_Inputs'!$B$19,MOD(34-'Schedule_Inputs'!$B$19,'Schedule_Inputs'!$E$19)=0,(34-'Schedule_Inputs'!$B$19)/'Schedule_Inputs'!$E$19&lt;'Schedule_Inputs'!$D$19),$C19/'Schedule_Inputs'!$D$19,0),0))))</f>
        <v/>
      </c>
      <c r="AM19" s="231">
        <f>IF('Schedule_Inputs'!$C$19="Blueprint",$C19*IF(35-'Schedule_Inputs'!$B$19=0,'Assumptions'!$B$21,IF(35-'Schedule_Inputs'!$B$19=1,'Assumptions'!$C$21,IF(35-'Schedule_Inputs'!$B$19=2,'Assumptions'!$D$21,0))),IF('Schedule_Inputs'!$C$19="Launch",$C19*IF(35-'Schedule_Inputs'!$B$19=0,'Assumptions'!$B$22,IF(35-'Schedule_Inputs'!$B$19=1,'Assumptions'!$C$22,IF(35-'Schedule_Inputs'!$B$19=2,'Assumptions'!$D$22,IF(35-'Schedule_Inputs'!$B$19=3,'Assumptions'!$B$23,0)))),IF('Schedule_Inputs'!$C$19="Office Setup",$C19*IF(35-'Schedule_Inputs'!$B$19=0,'Assumptions'!$B$24,IF(35-'Schedule_Inputs'!$B$19=1,'Assumptions'!$C$24,IF(35-'Schedule_Inputs'!$B$19=2,'Assumptions'!$D$24,0))),IF(OR('Schedule_Inputs'!$C$19="Monthly",'Schedule_Inputs'!$C$19="Periodic"),IF(AND(35&gt;='Schedule_Inputs'!$B$19,MOD(35-'Schedule_Inputs'!$B$19,'Schedule_Inputs'!$E$19)=0,(35-'Schedule_Inputs'!$B$19)/'Schedule_Inputs'!$E$19&lt;'Schedule_Inputs'!$D$19),$C19/'Schedule_Inputs'!$D$19,0),0))))</f>
        <v/>
      </c>
      <c r="AN19" s="231">
        <f>IF('Schedule_Inputs'!$C$19="Blueprint",$C19*IF(36-'Schedule_Inputs'!$B$19=0,'Assumptions'!$B$21,IF(36-'Schedule_Inputs'!$B$19=1,'Assumptions'!$C$21,IF(36-'Schedule_Inputs'!$B$19=2,'Assumptions'!$D$21,0))),IF('Schedule_Inputs'!$C$19="Launch",$C19*IF(36-'Schedule_Inputs'!$B$19=0,'Assumptions'!$B$22,IF(36-'Schedule_Inputs'!$B$19=1,'Assumptions'!$C$22,IF(36-'Schedule_Inputs'!$B$19=2,'Assumptions'!$D$22,IF(36-'Schedule_Inputs'!$B$19=3,'Assumptions'!$B$23,0)))),IF('Schedule_Inputs'!$C$19="Office Setup",$C19*IF(36-'Schedule_Inputs'!$B$19=0,'Assumptions'!$B$24,IF(36-'Schedule_Inputs'!$B$19=1,'Assumptions'!$C$24,IF(36-'Schedule_Inputs'!$B$19=2,'Assumptions'!$D$24,0))),IF(OR('Schedule_Inputs'!$C$19="Monthly",'Schedule_Inputs'!$C$19="Periodic"),IF(AND(36&gt;='Schedule_Inputs'!$B$19,MOD(36-'Schedule_Inputs'!$B$19,'Schedule_Inputs'!$E$19)=0,(36-'Schedule_Inputs'!$B$19)/'Schedule_Inputs'!$E$19&lt;'Schedule_Inputs'!$D$19),$C19/'Schedule_Inputs'!$D$19,0),0))))</f>
        <v/>
      </c>
    </row>
    <row r="20">
      <c r="A20" s="106" t="inlineStr">
        <is>
          <t>Blueprint 08</t>
        </is>
      </c>
      <c r="B20" s="106" t="n">
        <v>3</v>
      </c>
      <c r="C20" s="230" t="n">
        <v>21000</v>
      </c>
      <c r="D20" s="231" t="inlineStr">
        <is>
          <t>40 / 40 / 20</t>
        </is>
      </c>
      <c r="E20" s="231">
        <f>IF('Schedule_Inputs'!$C$20="Blueprint",$C20*IF(1-'Schedule_Inputs'!$B$20=0,'Assumptions'!$B$21,IF(1-'Schedule_Inputs'!$B$20=1,'Assumptions'!$C$21,IF(1-'Schedule_Inputs'!$B$20=2,'Assumptions'!$D$21,0))),IF('Schedule_Inputs'!$C$20="Launch",$C20*IF(1-'Schedule_Inputs'!$B$20=0,'Assumptions'!$B$22,IF(1-'Schedule_Inputs'!$B$20=1,'Assumptions'!$C$22,IF(1-'Schedule_Inputs'!$B$20=2,'Assumptions'!$D$22,IF(1-'Schedule_Inputs'!$B$20=3,'Assumptions'!$B$23,0)))),IF('Schedule_Inputs'!$C$20="Office Setup",$C20*IF(1-'Schedule_Inputs'!$B$20=0,'Assumptions'!$B$24,IF(1-'Schedule_Inputs'!$B$20=1,'Assumptions'!$C$24,IF(1-'Schedule_Inputs'!$B$20=2,'Assumptions'!$D$24,0))),IF(OR('Schedule_Inputs'!$C$20="Monthly",'Schedule_Inputs'!$C$20="Periodic"),IF(AND(1&gt;='Schedule_Inputs'!$B$20,MOD(1-'Schedule_Inputs'!$B$20,'Schedule_Inputs'!$E$20)=0,(1-'Schedule_Inputs'!$B$20)/'Schedule_Inputs'!$E$20&lt;'Schedule_Inputs'!$D$20),$C20/'Schedule_Inputs'!$D$20,0),0))))</f>
        <v/>
      </c>
      <c r="F20" s="231">
        <f>IF('Schedule_Inputs'!$C$20="Blueprint",$C20*IF(2-'Schedule_Inputs'!$B$20=0,'Assumptions'!$B$21,IF(2-'Schedule_Inputs'!$B$20=1,'Assumptions'!$C$21,IF(2-'Schedule_Inputs'!$B$20=2,'Assumptions'!$D$21,0))),IF('Schedule_Inputs'!$C$20="Launch",$C20*IF(2-'Schedule_Inputs'!$B$20=0,'Assumptions'!$B$22,IF(2-'Schedule_Inputs'!$B$20=1,'Assumptions'!$C$22,IF(2-'Schedule_Inputs'!$B$20=2,'Assumptions'!$D$22,IF(2-'Schedule_Inputs'!$B$20=3,'Assumptions'!$B$23,0)))),IF('Schedule_Inputs'!$C$20="Office Setup",$C20*IF(2-'Schedule_Inputs'!$B$20=0,'Assumptions'!$B$24,IF(2-'Schedule_Inputs'!$B$20=1,'Assumptions'!$C$24,IF(2-'Schedule_Inputs'!$B$20=2,'Assumptions'!$D$24,0))),IF(OR('Schedule_Inputs'!$C$20="Monthly",'Schedule_Inputs'!$C$20="Periodic"),IF(AND(2&gt;='Schedule_Inputs'!$B$20,MOD(2-'Schedule_Inputs'!$B$20,'Schedule_Inputs'!$E$20)=0,(2-'Schedule_Inputs'!$B$20)/'Schedule_Inputs'!$E$20&lt;'Schedule_Inputs'!$D$20),$C20/'Schedule_Inputs'!$D$20,0),0))))</f>
        <v/>
      </c>
      <c r="G20" s="231">
        <f>IF('Schedule_Inputs'!$C$20="Blueprint",$C20*IF(3-'Schedule_Inputs'!$B$20=0,'Assumptions'!$B$21,IF(3-'Schedule_Inputs'!$B$20=1,'Assumptions'!$C$21,IF(3-'Schedule_Inputs'!$B$20=2,'Assumptions'!$D$21,0))),IF('Schedule_Inputs'!$C$20="Launch",$C20*IF(3-'Schedule_Inputs'!$B$20=0,'Assumptions'!$B$22,IF(3-'Schedule_Inputs'!$B$20=1,'Assumptions'!$C$22,IF(3-'Schedule_Inputs'!$B$20=2,'Assumptions'!$D$22,IF(3-'Schedule_Inputs'!$B$20=3,'Assumptions'!$B$23,0)))),IF('Schedule_Inputs'!$C$20="Office Setup",$C20*IF(3-'Schedule_Inputs'!$B$20=0,'Assumptions'!$B$24,IF(3-'Schedule_Inputs'!$B$20=1,'Assumptions'!$C$24,IF(3-'Schedule_Inputs'!$B$20=2,'Assumptions'!$D$24,0))),IF(OR('Schedule_Inputs'!$C$20="Monthly",'Schedule_Inputs'!$C$20="Periodic"),IF(AND(3&gt;='Schedule_Inputs'!$B$20,MOD(3-'Schedule_Inputs'!$B$20,'Schedule_Inputs'!$E$20)=0,(3-'Schedule_Inputs'!$B$20)/'Schedule_Inputs'!$E$20&lt;'Schedule_Inputs'!$D$20),$C20/'Schedule_Inputs'!$D$20,0),0))))</f>
        <v/>
      </c>
      <c r="H20" s="231">
        <f>IF('Schedule_Inputs'!$C$20="Blueprint",$C20*IF(4-'Schedule_Inputs'!$B$20=0,'Assumptions'!$B$21,IF(4-'Schedule_Inputs'!$B$20=1,'Assumptions'!$C$21,IF(4-'Schedule_Inputs'!$B$20=2,'Assumptions'!$D$21,0))),IF('Schedule_Inputs'!$C$20="Launch",$C20*IF(4-'Schedule_Inputs'!$B$20=0,'Assumptions'!$B$22,IF(4-'Schedule_Inputs'!$B$20=1,'Assumptions'!$C$22,IF(4-'Schedule_Inputs'!$B$20=2,'Assumptions'!$D$22,IF(4-'Schedule_Inputs'!$B$20=3,'Assumptions'!$B$23,0)))),IF('Schedule_Inputs'!$C$20="Office Setup",$C20*IF(4-'Schedule_Inputs'!$B$20=0,'Assumptions'!$B$24,IF(4-'Schedule_Inputs'!$B$20=1,'Assumptions'!$C$24,IF(4-'Schedule_Inputs'!$B$20=2,'Assumptions'!$D$24,0))),IF(OR('Schedule_Inputs'!$C$20="Monthly",'Schedule_Inputs'!$C$20="Periodic"),IF(AND(4&gt;='Schedule_Inputs'!$B$20,MOD(4-'Schedule_Inputs'!$B$20,'Schedule_Inputs'!$E$20)=0,(4-'Schedule_Inputs'!$B$20)/'Schedule_Inputs'!$E$20&lt;'Schedule_Inputs'!$D$20),$C20/'Schedule_Inputs'!$D$20,0),0))))</f>
        <v/>
      </c>
      <c r="I20" s="231">
        <f>IF('Schedule_Inputs'!$C$20="Blueprint",$C20*IF(5-'Schedule_Inputs'!$B$20=0,'Assumptions'!$B$21,IF(5-'Schedule_Inputs'!$B$20=1,'Assumptions'!$C$21,IF(5-'Schedule_Inputs'!$B$20=2,'Assumptions'!$D$21,0))),IF('Schedule_Inputs'!$C$20="Launch",$C20*IF(5-'Schedule_Inputs'!$B$20=0,'Assumptions'!$B$22,IF(5-'Schedule_Inputs'!$B$20=1,'Assumptions'!$C$22,IF(5-'Schedule_Inputs'!$B$20=2,'Assumptions'!$D$22,IF(5-'Schedule_Inputs'!$B$20=3,'Assumptions'!$B$23,0)))),IF('Schedule_Inputs'!$C$20="Office Setup",$C20*IF(5-'Schedule_Inputs'!$B$20=0,'Assumptions'!$B$24,IF(5-'Schedule_Inputs'!$B$20=1,'Assumptions'!$C$24,IF(5-'Schedule_Inputs'!$B$20=2,'Assumptions'!$D$24,0))),IF(OR('Schedule_Inputs'!$C$20="Monthly",'Schedule_Inputs'!$C$20="Periodic"),IF(AND(5&gt;='Schedule_Inputs'!$B$20,MOD(5-'Schedule_Inputs'!$B$20,'Schedule_Inputs'!$E$20)=0,(5-'Schedule_Inputs'!$B$20)/'Schedule_Inputs'!$E$20&lt;'Schedule_Inputs'!$D$20),$C20/'Schedule_Inputs'!$D$20,0),0))))</f>
        <v/>
      </c>
      <c r="J20" s="231">
        <f>IF('Schedule_Inputs'!$C$20="Blueprint",$C20*IF(6-'Schedule_Inputs'!$B$20=0,'Assumptions'!$B$21,IF(6-'Schedule_Inputs'!$B$20=1,'Assumptions'!$C$21,IF(6-'Schedule_Inputs'!$B$20=2,'Assumptions'!$D$21,0))),IF('Schedule_Inputs'!$C$20="Launch",$C20*IF(6-'Schedule_Inputs'!$B$20=0,'Assumptions'!$B$22,IF(6-'Schedule_Inputs'!$B$20=1,'Assumptions'!$C$22,IF(6-'Schedule_Inputs'!$B$20=2,'Assumptions'!$D$22,IF(6-'Schedule_Inputs'!$B$20=3,'Assumptions'!$B$23,0)))),IF('Schedule_Inputs'!$C$20="Office Setup",$C20*IF(6-'Schedule_Inputs'!$B$20=0,'Assumptions'!$B$24,IF(6-'Schedule_Inputs'!$B$20=1,'Assumptions'!$C$24,IF(6-'Schedule_Inputs'!$B$20=2,'Assumptions'!$D$24,0))),IF(OR('Schedule_Inputs'!$C$20="Monthly",'Schedule_Inputs'!$C$20="Periodic"),IF(AND(6&gt;='Schedule_Inputs'!$B$20,MOD(6-'Schedule_Inputs'!$B$20,'Schedule_Inputs'!$E$20)=0,(6-'Schedule_Inputs'!$B$20)/'Schedule_Inputs'!$E$20&lt;'Schedule_Inputs'!$D$20),$C20/'Schedule_Inputs'!$D$20,0),0))))</f>
        <v/>
      </c>
      <c r="K20" s="231">
        <f>IF('Schedule_Inputs'!$C$20="Blueprint",$C20*IF(7-'Schedule_Inputs'!$B$20=0,'Assumptions'!$B$21,IF(7-'Schedule_Inputs'!$B$20=1,'Assumptions'!$C$21,IF(7-'Schedule_Inputs'!$B$20=2,'Assumptions'!$D$21,0))),IF('Schedule_Inputs'!$C$20="Launch",$C20*IF(7-'Schedule_Inputs'!$B$20=0,'Assumptions'!$B$22,IF(7-'Schedule_Inputs'!$B$20=1,'Assumptions'!$C$22,IF(7-'Schedule_Inputs'!$B$20=2,'Assumptions'!$D$22,IF(7-'Schedule_Inputs'!$B$20=3,'Assumptions'!$B$23,0)))),IF('Schedule_Inputs'!$C$20="Office Setup",$C20*IF(7-'Schedule_Inputs'!$B$20=0,'Assumptions'!$B$24,IF(7-'Schedule_Inputs'!$B$20=1,'Assumptions'!$C$24,IF(7-'Schedule_Inputs'!$B$20=2,'Assumptions'!$D$24,0))),IF(OR('Schedule_Inputs'!$C$20="Monthly",'Schedule_Inputs'!$C$20="Periodic"),IF(AND(7&gt;='Schedule_Inputs'!$B$20,MOD(7-'Schedule_Inputs'!$B$20,'Schedule_Inputs'!$E$20)=0,(7-'Schedule_Inputs'!$B$20)/'Schedule_Inputs'!$E$20&lt;'Schedule_Inputs'!$D$20),$C20/'Schedule_Inputs'!$D$20,0),0))))</f>
        <v/>
      </c>
      <c r="L20" s="231">
        <f>IF('Schedule_Inputs'!$C$20="Blueprint",$C20*IF(8-'Schedule_Inputs'!$B$20=0,'Assumptions'!$B$21,IF(8-'Schedule_Inputs'!$B$20=1,'Assumptions'!$C$21,IF(8-'Schedule_Inputs'!$B$20=2,'Assumptions'!$D$21,0))),IF('Schedule_Inputs'!$C$20="Launch",$C20*IF(8-'Schedule_Inputs'!$B$20=0,'Assumptions'!$B$22,IF(8-'Schedule_Inputs'!$B$20=1,'Assumptions'!$C$22,IF(8-'Schedule_Inputs'!$B$20=2,'Assumptions'!$D$22,IF(8-'Schedule_Inputs'!$B$20=3,'Assumptions'!$B$23,0)))),IF('Schedule_Inputs'!$C$20="Office Setup",$C20*IF(8-'Schedule_Inputs'!$B$20=0,'Assumptions'!$B$24,IF(8-'Schedule_Inputs'!$B$20=1,'Assumptions'!$C$24,IF(8-'Schedule_Inputs'!$B$20=2,'Assumptions'!$D$24,0))),IF(OR('Schedule_Inputs'!$C$20="Monthly",'Schedule_Inputs'!$C$20="Periodic"),IF(AND(8&gt;='Schedule_Inputs'!$B$20,MOD(8-'Schedule_Inputs'!$B$20,'Schedule_Inputs'!$E$20)=0,(8-'Schedule_Inputs'!$B$20)/'Schedule_Inputs'!$E$20&lt;'Schedule_Inputs'!$D$20),$C20/'Schedule_Inputs'!$D$20,0),0))))</f>
        <v/>
      </c>
      <c r="M20" s="231">
        <f>IF('Schedule_Inputs'!$C$20="Blueprint",$C20*IF(9-'Schedule_Inputs'!$B$20=0,'Assumptions'!$B$21,IF(9-'Schedule_Inputs'!$B$20=1,'Assumptions'!$C$21,IF(9-'Schedule_Inputs'!$B$20=2,'Assumptions'!$D$21,0))),IF('Schedule_Inputs'!$C$20="Launch",$C20*IF(9-'Schedule_Inputs'!$B$20=0,'Assumptions'!$B$22,IF(9-'Schedule_Inputs'!$B$20=1,'Assumptions'!$C$22,IF(9-'Schedule_Inputs'!$B$20=2,'Assumptions'!$D$22,IF(9-'Schedule_Inputs'!$B$20=3,'Assumptions'!$B$23,0)))),IF('Schedule_Inputs'!$C$20="Office Setup",$C20*IF(9-'Schedule_Inputs'!$B$20=0,'Assumptions'!$B$24,IF(9-'Schedule_Inputs'!$B$20=1,'Assumptions'!$C$24,IF(9-'Schedule_Inputs'!$B$20=2,'Assumptions'!$D$24,0))),IF(OR('Schedule_Inputs'!$C$20="Monthly",'Schedule_Inputs'!$C$20="Periodic"),IF(AND(9&gt;='Schedule_Inputs'!$B$20,MOD(9-'Schedule_Inputs'!$B$20,'Schedule_Inputs'!$E$20)=0,(9-'Schedule_Inputs'!$B$20)/'Schedule_Inputs'!$E$20&lt;'Schedule_Inputs'!$D$20),$C20/'Schedule_Inputs'!$D$20,0),0))))</f>
        <v/>
      </c>
      <c r="N20" s="231">
        <f>IF('Schedule_Inputs'!$C$20="Blueprint",$C20*IF(10-'Schedule_Inputs'!$B$20=0,'Assumptions'!$B$21,IF(10-'Schedule_Inputs'!$B$20=1,'Assumptions'!$C$21,IF(10-'Schedule_Inputs'!$B$20=2,'Assumptions'!$D$21,0))),IF('Schedule_Inputs'!$C$20="Launch",$C20*IF(10-'Schedule_Inputs'!$B$20=0,'Assumptions'!$B$22,IF(10-'Schedule_Inputs'!$B$20=1,'Assumptions'!$C$22,IF(10-'Schedule_Inputs'!$B$20=2,'Assumptions'!$D$22,IF(10-'Schedule_Inputs'!$B$20=3,'Assumptions'!$B$23,0)))),IF('Schedule_Inputs'!$C$20="Office Setup",$C20*IF(10-'Schedule_Inputs'!$B$20=0,'Assumptions'!$B$24,IF(10-'Schedule_Inputs'!$B$20=1,'Assumptions'!$C$24,IF(10-'Schedule_Inputs'!$B$20=2,'Assumptions'!$D$24,0))),IF(OR('Schedule_Inputs'!$C$20="Monthly",'Schedule_Inputs'!$C$20="Periodic"),IF(AND(10&gt;='Schedule_Inputs'!$B$20,MOD(10-'Schedule_Inputs'!$B$20,'Schedule_Inputs'!$E$20)=0,(10-'Schedule_Inputs'!$B$20)/'Schedule_Inputs'!$E$20&lt;'Schedule_Inputs'!$D$20),$C20/'Schedule_Inputs'!$D$20,0),0))))</f>
        <v/>
      </c>
      <c r="O20" s="231">
        <f>IF('Schedule_Inputs'!$C$20="Blueprint",$C20*IF(11-'Schedule_Inputs'!$B$20=0,'Assumptions'!$B$21,IF(11-'Schedule_Inputs'!$B$20=1,'Assumptions'!$C$21,IF(11-'Schedule_Inputs'!$B$20=2,'Assumptions'!$D$21,0))),IF('Schedule_Inputs'!$C$20="Launch",$C20*IF(11-'Schedule_Inputs'!$B$20=0,'Assumptions'!$B$22,IF(11-'Schedule_Inputs'!$B$20=1,'Assumptions'!$C$22,IF(11-'Schedule_Inputs'!$B$20=2,'Assumptions'!$D$22,IF(11-'Schedule_Inputs'!$B$20=3,'Assumptions'!$B$23,0)))),IF('Schedule_Inputs'!$C$20="Office Setup",$C20*IF(11-'Schedule_Inputs'!$B$20=0,'Assumptions'!$B$24,IF(11-'Schedule_Inputs'!$B$20=1,'Assumptions'!$C$24,IF(11-'Schedule_Inputs'!$B$20=2,'Assumptions'!$D$24,0))),IF(OR('Schedule_Inputs'!$C$20="Monthly",'Schedule_Inputs'!$C$20="Periodic"),IF(AND(11&gt;='Schedule_Inputs'!$B$20,MOD(11-'Schedule_Inputs'!$B$20,'Schedule_Inputs'!$E$20)=0,(11-'Schedule_Inputs'!$B$20)/'Schedule_Inputs'!$E$20&lt;'Schedule_Inputs'!$D$20),$C20/'Schedule_Inputs'!$D$20,0),0))))</f>
        <v/>
      </c>
      <c r="P20" s="231">
        <f>IF('Schedule_Inputs'!$C$20="Blueprint",$C20*IF(12-'Schedule_Inputs'!$B$20=0,'Assumptions'!$B$21,IF(12-'Schedule_Inputs'!$B$20=1,'Assumptions'!$C$21,IF(12-'Schedule_Inputs'!$B$20=2,'Assumptions'!$D$21,0))),IF('Schedule_Inputs'!$C$20="Launch",$C20*IF(12-'Schedule_Inputs'!$B$20=0,'Assumptions'!$B$22,IF(12-'Schedule_Inputs'!$B$20=1,'Assumptions'!$C$22,IF(12-'Schedule_Inputs'!$B$20=2,'Assumptions'!$D$22,IF(12-'Schedule_Inputs'!$B$20=3,'Assumptions'!$B$23,0)))),IF('Schedule_Inputs'!$C$20="Office Setup",$C20*IF(12-'Schedule_Inputs'!$B$20=0,'Assumptions'!$B$24,IF(12-'Schedule_Inputs'!$B$20=1,'Assumptions'!$C$24,IF(12-'Schedule_Inputs'!$B$20=2,'Assumptions'!$D$24,0))),IF(OR('Schedule_Inputs'!$C$20="Monthly",'Schedule_Inputs'!$C$20="Periodic"),IF(AND(12&gt;='Schedule_Inputs'!$B$20,MOD(12-'Schedule_Inputs'!$B$20,'Schedule_Inputs'!$E$20)=0,(12-'Schedule_Inputs'!$B$20)/'Schedule_Inputs'!$E$20&lt;'Schedule_Inputs'!$D$20),$C20/'Schedule_Inputs'!$D$20,0),0))))</f>
        <v/>
      </c>
      <c r="Q20" s="231">
        <f>IF('Schedule_Inputs'!$C$20="Blueprint",$C20*IF(13-'Schedule_Inputs'!$B$20=0,'Assumptions'!$B$21,IF(13-'Schedule_Inputs'!$B$20=1,'Assumptions'!$C$21,IF(13-'Schedule_Inputs'!$B$20=2,'Assumptions'!$D$21,0))),IF('Schedule_Inputs'!$C$20="Launch",$C20*IF(13-'Schedule_Inputs'!$B$20=0,'Assumptions'!$B$22,IF(13-'Schedule_Inputs'!$B$20=1,'Assumptions'!$C$22,IF(13-'Schedule_Inputs'!$B$20=2,'Assumptions'!$D$22,IF(13-'Schedule_Inputs'!$B$20=3,'Assumptions'!$B$23,0)))),IF('Schedule_Inputs'!$C$20="Office Setup",$C20*IF(13-'Schedule_Inputs'!$B$20=0,'Assumptions'!$B$24,IF(13-'Schedule_Inputs'!$B$20=1,'Assumptions'!$C$24,IF(13-'Schedule_Inputs'!$B$20=2,'Assumptions'!$D$24,0))),IF(OR('Schedule_Inputs'!$C$20="Monthly",'Schedule_Inputs'!$C$20="Periodic"),IF(AND(13&gt;='Schedule_Inputs'!$B$20,MOD(13-'Schedule_Inputs'!$B$20,'Schedule_Inputs'!$E$20)=0,(13-'Schedule_Inputs'!$B$20)/'Schedule_Inputs'!$E$20&lt;'Schedule_Inputs'!$D$20),$C20/'Schedule_Inputs'!$D$20,0),0))))</f>
        <v/>
      </c>
      <c r="R20" s="231">
        <f>IF('Schedule_Inputs'!$C$20="Blueprint",$C20*IF(14-'Schedule_Inputs'!$B$20=0,'Assumptions'!$B$21,IF(14-'Schedule_Inputs'!$B$20=1,'Assumptions'!$C$21,IF(14-'Schedule_Inputs'!$B$20=2,'Assumptions'!$D$21,0))),IF('Schedule_Inputs'!$C$20="Launch",$C20*IF(14-'Schedule_Inputs'!$B$20=0,'Assumptions'!$B$22,IF(14-'Schedule_Inputs'!$B$20=1,'Assumptions'!$C$22,IF(14-'Schedule_Inputs'!$B$20=2,'Assumptions'!$D$22,IF(14-'Schedule_Inputs'!$B$20=3,'Assumptions'!$B$23,0)))),IF('Schedule_Inputs'!$C$20="Office Setup",$C20*IF(14-'Schedule_Inputs'!$B$20=0,'Assumptions'!$B$24,IF(14-'Schedule_Inputs'!$B$20=1,'Assumptions'!$C$24,IF(14-'Schedule_Inputs'!$B$20=2,'Assumptions'!$D$24,0))),IF(OR('Schedule_Inputs'!$C$20="Monthly",'Schedule_Inputs'!$C$20="Periodic"),IF(AND(14&gt;='Schedule_Inputs'!$B$20,MOD(14-'Schedule_Inputs'!$B$20,'Schedule_Inputs'!$E$20)=0,(14-'Schedule_Inputs'!$B$20)/'Schedule_Inputs'!$E$20&lt;'Schedule_Inputs'!$D$20),$C20/'Schedule_Inputs'!$D$20,0),0))))</f>
        <v/>
      </c>
      <c r="S20" s="231">
        <f>IF('Schedule_Inputs'!$C$20="Blueprint",$C20*IF(15-'Schedule_Inputs'!$B$20=0,'Assumptions'!$B$21,IF(15-'Schedule_Inputs'!$B$20=1,'Assumptions'!$C$21,IF(15-'Schedule_Inputs'!$B$20=2,'Assumptions'!$D$21,0))),IF('Schedule_Inputs'!$C$20="Launch",$C20*IF(15-'Schedule_Inputs'!$B$20=0,'Assumptions'!$B$22,IF(15-'Schedule_Inputs'!$B$20=1,'Assumptions'!$C$22,IF(15-'Schedule_Inputs'!$B$20=2,'Assumptions'!$D$22,IF(15-'Schedule_Inputs'!$B$20=3,'Assumptions'!$B$23,0)))),IF('Schedule_Inputs'!$C$20="Office Setup",$C20*IF(15-'Schedule_Inputs'!$B$20=0,'Assumptions'!$B$24,IF(15-'Schedule_Inputs'!$B$20=1,'Assumptions'!$C$24,IF(15-'Schedule_Inputs'!$B$20=2,'Assumptions'!$D$24,0))),IF(OR('Schedule_Inputs'!$C$20="Monthly",'Schedule_Inputs'!$C$20="Periodic"),IF(AND(15&gt;='Schedule_Inputs'!$B$20,MOD(15-'Schedule_Inputs'!$B$20,'Schedule_Inputs'!$E$20)=0,(15-'Schedule_Inputs'!$B$20)/'Schedule_Inputs'!$E$20&lt;'Schedule_Inputs'!$D$20),$C20/'Schedule_Inputs'!$D$20,0),0))))</f>
        <v/>
      </c>
      <c r="T20" s="231">
        <f>IF('Schedule_Inputs'!$C$20="Blueprint",$C20*IF(16-'Schedule_Inputs'!$B$20=0,'Assumptions'!$B$21,IF(16-'Schedule_Inputs'!$B$20=1,'Assumptions'!$C$21,IF(16-'Schedule_Inputs'!$B$20=2,'Assumptions'!$D$21,0))),IF('Schedule_Inputs'!$C$20="Launch",$C20*IF(16-'Schedule_Inputs'!$B$20=0,'Assumptions'!$B$22,IF(16-'Schedule_Inputs'!$B$20=1,'Assumptions'!$C$22,IF(16-'Schedule_Inputs'!$B$20=2,'Assumptions'!$D$22,IF(16-'Schedule_Inputs'!$B$20=3,'Assumptions'!$B$23,0)))),IF('Schedule_Inputs'!$C$20="Office Setup",$C20*IF(16-'Schedule_Inputs'!$B$20=0,'Assumptions'!$B$24,IF(16-'Schedule_Inputs'!$B$20=1,'Assumptions'!$C$24,IF(16-'Schedule_Inputs'!$B$20=2,'Assumptions'!$D$24,0))),IF(OR('Schedule_Inputs'!$C$20="Monthly",'Schedule_Inputs'!$C$20="Periodic"),IF(AND(16&gt;='Schedule_Inputs'!$B$20,MOD(16-'Schedule_Inputs'!$B$20,'Schedule_Inputs'!$E$20)=0,(16-'Schedule_Inputs'!$B$20)/'Schedule_Inputs'!$E$20&lt;'Schedule_Inputs'!$D$20),$C20/'Schedule_Inputs'!$D$20,0),0))))</f>
        <v/>
      </c>
      <c r="U20" s="231">
        <f>IF('Schedule_Inputs'!$C$20="Blueprint",$C20*IF(17-'Schedule_Inputs'!$B$20=0,'Assumptions'!$B$21,IF(17-'Schedule_Inputs'!$B$20=1,'Assumptions'!$C$21,IF(17-'Schedule_Inputs'!$B$20=2,'Assumptions'!$D$21,0))),IF('Schedule_Inputs'!$C$20="Launch",$C20*IF(17-'Schedule_Inputs'!$B$20=0,'Assumptions'!$B$22,IF(17-'Schedule_Inputs'!$B$20=1,'Assumptions'!$C$22,IF(17-'Schedule_Inputs'!$B$20=2,'Assumptions'!$D$22,IF(17-'Schedule_Inputs'!$B$20=3,'Assumptions'!$B$23,0)))),IF('Schedule_Inputs'!$C$20="Office Setup",$C20*IF(17-'Schedule_Inputs'!$B$20=0,'Assumptions'!$B$24,IF(17-'Schedule_Inputs'!$B$20=1,'Assumptions'!$C$24,IF(17-'Schedule_Inputs'!$B$20=2,'Assumptions'!$D$24,0))),IF(OR('Schedule_Inputs'!$C$20="Monthly",'Schedule_Inputs'!$C$20="Periodic"),IF(AND(17&gt;='Schedule_Inputs'!$B$20,MOD(17-'Schedule_Inputs'!$B$20,'Schedule_Inputs'!$E$20)=0,(17-'Schedule_Inputs'!$B$20)/'Schedule_Inputs'!$E$20&lt;'Schedule_Inputs'!$D$20),$C20/'Schedule_Inputs'!$D$20,0),0))))</f>
        <v/>
      </c>
      <c r="V20" s="231">
        <f>IF('Schedule_Inputs'!$C$20="Blueprint",$C20*IF(18-'Schedule_Inputs'!$B$20=0,'Assumptions'!$B$21,IF(18-'Schedule_Inputs'!$B$20=1,'Assumptions'!$C$21,IF(18-'Schedule_Inputs'!$B$20=2,'Assumptions'!$D$21,0))),IF('Schedule_Inputs'!$C$20="Launch",$C20*IF(18-'Schedule_Inputs'!$B$20=0,'Assumptions'!$B$22,IF(18-'Schedule_Inputs'!$B$20=1,'Assumptions'!$C$22,IF(18-'Schedule_Inputs'!$B$20=2,'Assumptions'!$D$22,IF(18-'Schedule_Inputs'!$B$20=3,'Assumptions'!$B$23,0)))),IF('Schedule_Inputs'!$C$20="Office Setup",$C20*IF(18-'Schedule_Inputs'!$B$20=0,'Assumptions'!$B$24,IF(18-'Schedule_Inputs'!$B$20=1,'Assumptions'!$C$24,IF(18-'Schedule_Inputs'!$B$20=2,'Assumptions'!$D$24,0))),IF(OR('Schedule_Inputs'!$C$20="Monthly",'Schedule_Inputs'!$C$20="Periodic"),IF(AND(18&gt;='Schedule_Inputs'!$B$20,MOD(18-'Schedule_Inputs'!$B$20,'Schedule_Inputs'!$E$20)=0,(18-'Schedule_Inputs'!$B$20)/'Schedule_Inputs'!$E$20&lt;'Schedule_Inputs'!$D$20),$C20/'Schedule_Inputs'!$D$20,0),0))))</f>
        <v/>
      </c>
      <c r="W20" s="231">
        <f>IF('Schedule_Inputs'!$C$20="Blueprint",$C20*IF(19-'Schedule_Inputs'!$B$20=0,'Assumptions'!$B$21,IF(19-'Schedule_Inputs'!$B$20=1,'Assumptions'!$C$21,IF(19-'Schedule_Inputs'!$B$20=2,'Assumptions'!$D$21,0))),IF('Schedule_Inputs'!$C$20="Launch",$C20*IF(19-'Schedule_Inputs'!$B$20=0,'Assumptions'!$B$22,IF(19-'Schedule_Inputs'!$B$20=1,'Assumptions'!$C$22,IF(19-'Schedule_Inputs'!$B$20=2,'Assumptions'!$D$22,IF(19-'Schedule_Inputs'!$B$20=3,'Assumptions'!$B$23,0)))),IF('Schedule_Inputs'!$C$20="Office Setup",$C20*IF(19-'Schedule_Inputs'!$B$20=0,'Assumptions'!$B$24,IF(19-'Schedule_Inputs'!$B$20=1,'Assumptions'!$C$24,IF(19-'Schedule_Inputs'!$B$20=2,'Assumptions'!$D$24,0))),IF(OR('Schedule_Inputs'!$C$20="Monthly",'Schedule_Inputs'!$C$20="Periodic"),IF(AND(19&gt;='Schedule_Inputs'!$B$20,MOD(19-'Schedule_Inputs'!$B$20,'Schedule_Inputs'!$E$20)=0,(19-'Schedule_Inputs'!$B$20)/'Schedule_Inputs'!$E$20&lt;'Schedule_Inputs'!$D$20),$C20/'Schedule_Inputs'!$D$20,0),0))))</f>
        <v/>
      </c>
      <c r="X20" s="231">
        <f>IF('Schedule_Inputs'!$C$20="Blueprint",$C20*IF(20-'Schedule_Inputs'!$B$20=0,'Assumptions'!$B$21,IF(20-'Schedule_Inputs'!$B$20=1,'Assumptions'!$C$21,IF(20-'Schedule_Inputs'!$B$20=2,'Assumptions'!$D$21,0))),IF('Schedule_Inputs'!$C$20="Launch",$C20*IF(20-'Schedule_Inputs'!$B$20=0,'Assumptions'!$B$22,IF(20-'Schedule_Inputs'!$B$20=1,'Assumptions'!$C$22,IF(20-'Schedule_Inputs'!$B$20=2,'Assumptions'!$D$22,IF(20-'Schedule_Inputs'!$B$20=3,'Assumptions'!$B$23,0)))),IF('Schedule_Inputs'!$C$20="Office Setup",$C20*IF(20-'Schedule_Inputs'!$B$20=0,'Assumptions'!$B$24,IF(20-'Schedule_Inputs'!$B$20=1,'Assumptions'!$C$24,IF(20-'Schedule_Inputs'!$B$20=2,'Assumptions'!$D$24,0))),IF(OR('Schedule_Inputs'!$C$20="Monthly",'Schedule_Inputs'!$C$20="Periodic"),IF(AND(20&gt;='Schedule_Inputs'!$B$20,MOD(20-'Schedule_Inputs'!$B$20,'Schedule_Inputs'!$E$20)=0,(20-'Schedule_Inputs'!$B$20)/'Schedule_Inputs'!$E$20&lt;'Schedule_Inputs'!$D$20),$C20/'Schedule_Inputs'!$D$20,0),0))))</f>
        <v/>
      </c>
      <c r="Y20" s="231">
        <f>IF('Schedule_Inputs'!$C$20="Blueprint",$C20*IF(21-'Schedule_Inputs'!$B$20=0,'Assumptions'!$B$21,IF(21-'Schedule_Inputs'!$B$20=1,'Assumptions'!$C$21,IF(21-'Schedule_Inputs'!$B$20=2,'Assumptions'!$D$21,0))),IF('Schedule_Inputs'!$C$20="Launch",$C20*IF(21-'Schedule_Inputs'!$B$20=0,'Assumptions'!$B$22,IF(21-'Schedule_Inputs'!$B$20=1,'Assumptions'!$C$22,IF(21-'Schedule_Inputs'!$B$20=2,'Assumptions'!$D$22,IF(21-'Schedule_Inputs'!$B$20=3,'Assumptions'!$B$23,0)))),IF('Schedule_Inputs'!$C$20="Office Setup",$C20*IF(21-'Schedule_Inputs'!$B$20=0,'Assumptions'!$B$24,IF(21-'Schedule_Inputs'!$B$20=1,'Assumptions'!$C$24,IF(21-'Schedule_Inputs'!$B$20=2,'Assumptions'!$D$24,0))),IF(OR('Schedule_Inputs'!$C$20="Monthly",'Schedule_Inputs'!$C$20="Periodic"),IF(AND(21&gt;='Schedule_Inputs'!$B$20,MOD(21-'Schedule_Inputs'!$B$20,'Schedule_Inputs'!$E$20)=0,(21-'Schedule_Inputs'!$B$20)/'Schedule_Inputs'!$E$20&lt;'Schedule_Inputs'!$D$20),$C20/'Schedule_Inputs'!$D$20,0),0))))</f>
        <v/>
      </c>
      <c r="Z20" s="231">
        <f>IF('Schedule_Inputs'!$C$20="Blueprint",$C20*IF(22-'Schedule_Inputs'!$B$20=0,'Assumptions'!$B$21,IF(22-'Schedule_Inputs'!$B$20=1,'Assumptions'!$C$21,IF(22-'Schedule_Inputs'!$B$20=2,'Assumptions'!$D$21,0))),IF('Schedule_Inputs'!$C$20="Launch",$C20*IF(22-'Schedule_Inputs'!$B$20=0,'Assumptions'!$B$22,IF(22-'Schedule_Inputs'!$B$20=1,'Assumptions'!$C$22,IF(22-'Schedule_Inputs'!$B$20=2,'Assumptions'!$D$22,IF(22-'Schedule_Inputs'!$B$20=3,'Assumptions'!$B$23,0)))),IF('Schedule_Inputs'!$C$20="Office Setup",$C20*IF(22-'Schedule_Inputs'!$B$20=0,'Assumptions'!$B$24,IF(22-'Schedule_Inputs'!$B$20=1,'Assumptions'!$C$24,IF(22-'Schedule_Inputs'!$B$20=2,'Assumptions'!$D$24,0))),IF(OR('Schedule_Inputs'!$C$20="Monthly",'Schedule_Inputs'!$C$20="Periodic"),IF(AND(22&gt;='Schedule_Inputs'!$B$20,MOD(22-'Schedule_Inputs'!$B$20,'Schedule_Inputs'!$E$20)=0,(22-'Schedule_Inputs'!$B$20)/'Schedule_Inputs'!$E$20&lt;'Schedule_Inputs'!$D$20),$C20/'Schedule_Inputs'!$D$20,0),0))))</f>
        <v/>
      </c>
      <c r="AA20" s="231">
        <f>IF('Schedule_Inputs'!$C$20="Blueprint",$C20*IF(23-'Schedule_Inputs'!$B$20=0,'Assumptions'!$B$21,IF(23-'Schedule_Inputs'!$B$20=1,'Assumptions'!$C$21,IF(23-'Schedule_Inputs'!$B$20=2,'Assumptions'!$D$21,0))),IF('Schedule_Inputs'!$C$20="Launch",$C20*IF(23-'Schedule_Inputs'!$B$20=0,'Assumptions'!$B$22,IF(23-'Schedule_Inputs'!$B$20=1,'Assumptions'!$C$22,IF(23-'Schedule_Inputs'!$B$20=2,'Assumptions'!$D$22,IF(23-'Schedule_Inputs'!$B$20=3,'Assumptions'!$B$23,0)))),IF('Schedule_Inputs'!$C$20="Office Setup",$C20*IF(23-'Schedule_Inputs'!$B$20=0,'Assumptions'!$B$24,IF(23-'Schedule_Inputs'!$B$20=1,'Assumptions'!$C$24,IF(23-'Schedule_Inputs'!$B$20=2,'Assumptions'!$D$24,0))),IF(OR('Schedule_Inputs'!$C$20="Monthly",'Schedule_Inputs'!$C$20="Periodic"),IF(AND(23&gt;='Schedule_Inputs'!$B$20,MOD(23-'Schedule_Inputs'!$B$20,'Schedule_Inputs'!$E$20)=0,(23-'Schedule_Inputs'!$B$20)/'Schedule_Inputs'!$E$20&lt;'Schedule_Inputs'!$D$20),$C20/'Schedule_Inputs'!$D$20,0),0))))</f>
        <v/>
      </c>
      <c r="AB20" s="231">
        <f>IF('Schedule_Inputs'!$C$20="Blueprint",$C20*IF(24-'Schedule_Inputs'!$B$20=0,'Assumptions'!$B$21,IF(24-'Schedule_Inputs'!$B$20=1,'Assumptions'!$C$21,IF(24-'Schedule_Inputs'!$B$20=2,'Assumptions'!$D$21,0))),IF('Schedule_Inputs'!$C$20="Launch",$C20*IF(24-'Schedule_Inputs'!$B$20=0,'Assumptions'!$B$22,IF(24-'Schedule_Inputs'!$B$20=1,'Assumptions'!$C$22,IF(24-'Schedule_Inputs'!$B$20=2,'Assumptions'!$D$22,IF(24-'Schedule_Inputs'!$B$20=3,'Assumptions'!$B$23,0)))),IF('Schedule_Inputs'!$C$20="Office Setup",$C20*IF(24-'Schedule_Inputs'!$B$20=0,'Assumptions'!$B$24,IF(24-'Schedule_Inputs'!$B$20=1,'Assumptions'!$C$24,IF(24-'Schedule_Inputs'!$B$20=2,'Assumptions'!$D$24,0))),IF(OR('Schedule_Inputs'!$C$20="Monthly",'Schedule_Inputs'!$C$20="Periodic"),IF(AND(24&gt;='Schedule_Inputs'!$B$20,MOD(24-'Schedule_Inputs'!$B$20,'Schedule_Inputs'!$E$20)=0,(24-'Schedule_Inputs'!$B$20)/'Schedule_Inputs'!$E$20&lt;'Schedule_Inputs'!$D$20),$C20/'Schedule_Inputs'!$D$20,0),0))))</f>
        <v/>
      </c>
      <c r="AC20" s="231">
        <f>IF('Schedule_Inputs'!$C$20="Blueprint",$C20*IF(25-'Schedule_Inputs'!$B$20=0,'Assumptions'!$B$21,IF(25-'Schedule_Inputs'!$B$20=1,'Assumptions'!$C$21,IF(25-'Schedule_Inputs'!$B$20=2,'Assumptions'!$D$21,0))),IF('Schedule_Inputs'!$C$20="Launch",$C20*IF(25-'Schedule_Inputs'!$B$20=0,'Assumptions'!$B$22,IF(25-'Schedule_Inputs'!$B$20=1,'Assumptions'!$C$22,IF(25-'Schedule_Inputs'!$B$20=2,'Assumptions'!$D$22,IF(25-'Schedule_Inputs'!$B$20=3,'Assumptions'!$B$23,0)))),IF('Schedule_Inputs'!$C$20="Office Setup",$C20*IF(25-'Schedule_Inputs'!$B$20=0,'Assumptions'!$B$24,IF(25-'Schedule_Inputs'!$B$20=1,'Assumptions'!$C$24,IF(25-'Schedule_Inputs'!$B$20=2,'Assumptions'!$D$24,0))),IF(OR('Schedule_Inputs'!$C$20="Monthly",'Schedule_Inputs'!$C$20="Periodic"),IF(AND(25&gt;='Schedule_Inputs'!$B$20,MOD(25-'Schedule_Inputs'!$B$20,'Schedule_Inputs'!$E$20)=0,(25-'Schedule_Inputs'!$B$20)/'Schedule_Inputs'!$E$20&lt;'Schedule_Inputs'!$D$20),$C20/'Schedule_Inputs'!$D$20,0),0))))</f>
        <v/>
      </c>
      <c r="AD20" s="231">
        <f>IF('Schedule_Inputs'!$C$20="Blueprint",$C20*IF(26-'Schedule_Inputs'!$B$20=0,'Assumptions'!$B$21,IF(26-'Schedule_Inputs'!$B$20=1,'Assumptions'!$C$21,IF(26-'Schedule_Inputs'!$B$20=2,'Assumptions'!$D$21,0))),IF('Schedule_Inputs'!$C$20="Launch",$C20*IF(26-'Schedule_Inputs'!$B$20=0,'Assumptions'!$B$22,IF(26-'Schedule_Inputs'!$B$20=1,'Assumptions'!$C$22,IF(26-'Schedule_Inputs'!$B$20=2,'Assumptions'!$D$22,IF(26-'Schedule_Inputs'!$B$20=3,'Assumptions'!$B$23,0)))),IF('Schedule_Inputs'!$C$20="Office Setup",$C20*IF(26-'Schedule_Inputs'!$B$20=0,'Assumptions'!$B$24,IF(26-'Schedule_Inputs'!$B$20=1,'Assumptions'!$C$24,IF(26-'Schedule_Inputs'!$B$20=2,'Assumptions'!$D$24,0))),IF(OR('Schedule_Inputs'!$C$20="Monthly",'Schedule_Inputs'!$C$20="Periodic"),IF(AND(26&gt;='Schedule_Inputs'!$B$20,MOD(26-'Schedule_Inputs'!$B$20,'Schedule_Inputs'!$E$20)=0,(26-'Schedule_Inputs'!$B$20)/'Schedule_Inputs'!$E$20&lt;'Schedule_Inputs'!$D$20),$C20/'Schedule_Inputs'!$D$20,0),0))))</f>
        <v/>
      </c>
      <c r="AE20" s="231">
        <f>IF('Schedule_Inputs'!$C$20="Blueprint",$C20*IF(27-'Schedule_Inputs'!$B$20=0,'Assumptions'!$B$21,IF(27-'Schedule_Inputs'!$B$20=1,'Assumptions'!$C$21,IF(27-'Schedule_Inputs'!$B$20=2,'Assumptions'!$D$21,0))),IF('Schedule_Inputs'!$C$20="Launch",$C20*IF(27-'Schedule_Inputs'!$B$20=0,'Assumptions'!$B$22,IF(27-'Schedule_Inputs'!$B$20=1,'Assumptions'!$C$22,IF(27-'Schedule_Inputs'!$B$20=2,'Assumptions'!$D$22,IF(27-'Schedule_Inputs'!$B$20=3,'Assumptions'!$B$23,0)))),IF('Schedule_Inputs'!$C$20="Office Setup",$C20*IF(27-'Schedule_Inputs'!$B$20=0,'Assumptions'!$B$24,IF(27-'Schedule_Inputs'!$B$20=1,'Assumptions'!$C$24,IF(27-'Schedule_Inputs'!$B$20=2,'Assumptions'!$D$24,0))),IF(OR('Schedule_Inputs'!$C$20="Monthly",'Schedule_Inputs'!$C$20="Periodic"),IF(AND(27&gt;='Schedule_Inputs'!$B$20,MOD(27-'Schedule_Inputs'!$B$20,'Schedule_Inputs'!$E$20)=0,(27-'Schedule_Inputs'!$B$20)/'Schedule_Inputs'!$E$20&lt;'Schedule_Inputs'!$D$20),$C20/'Schedule_Inputs'!$D$20,0),0))))</f>
        <v/>
      </c>
      <c r="AF20" s="231">
        <f>IF('Schedule_Inputs'!$C$20="Blueprint",$C20*IF(28-'Schedule_Inputs'!$B$20=0,'Assumptions'!$B$21,IF(28-'Schedule_Inputs'!$B$20=1,'Assumptions'!$C$21,IF(28-'Schedule_Inputs'!$B$20=2,'Assumptions'!$D$21,0))),IF('Schedule_Inputs'!$C$20="Launch",$C20*IF(28-'Schedule_Inputs'!$B$20=0,'Assumptions'!$B$22,IF(28-'Schedule_Inputs'!$B$20=1,'Assumptions'!$C$22,IF(28-'Schedule_Inputs'!$B$20=2,'Assumptions'!$D$22,IF(28-'Schedule_Inputs'!$B$20=3,'Assumptions'!$B$23,0)))),IF('Schedule_Inputs'!$C$20="Office Setup",$C20*IF(28-'Schedule_Inputs'!$B$20=0,'Assumptions'!$B$24,IF(28-'Schedule_Inputs'!$B$20=1,'Assumptions'!$C$24,IF(28-'Schedule_Inputs'!$B$20=2,'Assumptions'!$D$24,0))),IF(OR('Schedule_Inputs'!$C$20="Monthly",'Schedule_Inputs'!$C$20="Periodic"),IF(AND(28&gt;='Schedule_Inputs'!$B$20,MOD(28-'Schedule_Inputs'!$B$20,'Schedule_Inputs'!$E$20)=0,(28-'Schedule_Inputs'!$B$20)/'Schedule_Inputs'!$E$20&lt;'Schedule_Inputs'!$D$20),$C20/'Schedule_Inputs'!$D$20,0),0))))</f>
        <v/>
      </c>
      <c r="AG20" s="231">
        <f>IF('Schedule_Inputs'!$C$20="Blueprint",$C20*IF(29-'Schedule_Inputs'!$B$20=0,'Assumptions'!$B$21,IF(29-'Schedule_Inputs'!$B$20=1,'Assumptions'!$C$21,IF(29-'Schedule_Inputs'!$B$20=2,'Assumptions'!$D$21,0))),IF('Schedule_Inputs'!$C$20="Launch",$C20*IF(29-'Schedule_Inputs'!$B$20=0,'Assumptions'!$B$22,IF(29-'Schedule_Inputs'!$B$20=1,'Assumptions'!$C$22,IF(29-'Schedule_Inputs'!$B$20=2,'Assumptions'!$D$22,IF(29-'Schedule_Inputs'!$B$20=3,'Assumptions'!$B$23,0)))),IF('Schedule_Inputs'!$C$20="Office Setup",$C20*IF(29-'Schedule_Inputs'!$B$20=0,'Assumptions'!$B$24,IF(29-'Schedule_Inputs'!$B$20=1,'Assumptions'!$C$24,IF(29-'Schedule_Inputs'!$B$20=2,'Assumptions'!$D$24,0))),IF(OR('Schedule_Inputs'!$C$20="Monthly",'Schedule_Inputs'!$C$20="Periodic"),IF(AND(29&gt;='Schedule_Inputs'!$B$20,MOD(29-'Schedule_Inputs'!$B$20,'Schedule_Inputs'!$E$20)=0,(29-'Schedule_Inputs'!$B$20)/'Schedule_Inputs'!$E$20&lt;'Schedule_Inputs'!$D$20),$C20/'Schedule_Inputs'!$D$20,0),0))))</f>
        <v/>
      </c>
      <c r="AH20" s="231">
        <f>IF('Schedule_Inputs'!$C$20="Blueprint",$C20*IF(30-'Schedule_Inputs'!$B$20=0,'Assumptions'!$B$21,IF(30-'Schedule_Inputs'!$B$20=1,'Assumptions'!$C$21,IF(30-'Schedule_Inputs'!$B$20=2,'Assumptions'!$D$21,0))),IF('Schedule_Inputs'!$C$20="Launch",$C20*IF(30-'Schedule_Inputs'!$B$20=0,'Assumptions'!$B$22,IF(30-'Schedule_Inputs'!$B$20=1,'Assumptions'!$C$22,IF(30-'Schedule_Inputs'!$B$20=2,'Assumptions'!$D$22,IF(30-'Schedule_Inputs'!$B$20=3,'Assumptions'!$B$23,0)))),IF('Schedule_Inputs'!$C$20="Office Setup",$C20*IF(30-'Schedule_Inputs'!$B$20=0,'Assumptions'!$B$24,IF(30-'Schedule_Inputs'!$B$20=1,'Assumptions'!$C$24,IF(30-'Schedule_Inputs'!$B$20=2,'Assumptions'!$D$24,0))),IF(OR('Schedule_Inputs'!$C$20="Monthly",'Schedule_Inputs'!$C$20="Periodic"),IF(AND(30&gt;='Schedule_Inputs'!$B$20,MOD(30-'Schedule_Inputs'!$B$20,'Schedule_Inputs'!$E$20)=0,(30-'Schedule_Inputs'!$B$20)/'Schedule_Inputs'!$E$20&lt;'Schedule_Inputs'!$D$20),$C20/'Schedule_Inputs'!$D$20,0),0))))</f>
        <v/>
      </c>
      <c r="AI20" s="231">
        <f>IF('Schedule_Inputs'!$C$20="Blueprint",$C20*IF(31-'Schedule_Inputs'!$B$20=0,'Assumptions'!$B$21,IF(31-'Schedule_Inputs'!$B$20=1,'Assumptions'!$C$21,IF(31-'Schedule_Inputs'!$B$20=2,'Assumptions'!$D$21,0))),IF('Schedule_Inputs'!$C$20="Launch",$C20*IF(31-'Schedule_Inputs'!$B$20=0,'Assumptions'!$B$22,IF(31-'Schedule_Inputs'!$B$20=1,'Assumptions'!$C$22,IF(31-'Schedule_Inputs'!$B$20=2,'Assumptions'!$D$22,IF(31-'Schedule_Inputs'!$B$20=3,'Assumptions'!$B$23,0)))),IF('Schedule_Inputs'!$C$20="Office Setup",$C20*IF(31-'Schedule_Inputs'!$B$20=0,'Assumptions'!$B$24,IF(31-'Schedule_Inputs'!$B$20=1,'Assumptions'!$C$24,IF(31-'Schedule_Inputs'!$B$20=2,'Assumptions'!$D$24,0))),IF(OR('Schedule_Inputs'!$C$20="Monthly",'Schedule_Inputs'!$C$20="Periodic"),IF(AND(31&gt;='Schedule_Inputs'!$B$20,MOD(31-'Schedule_Inputs'!$B$20,'Schedule_Inputs'!$E$20)=0,(31-'Schedule_Inputs'!$B$20)/'Schedule_Inputs'!$E$20&lt;'Schedule_Inputs'!$D$20),$C20/'Schedule_Inputs'!$D$20,0),0))))</f>
        <v/>
      </c>
      <c r="AJ20" s="231">
        <f>IF('Schedule_Inputs'!$C$20="Blueprint",$C20*IF(32-'Schedule_Inputs'!$B$20=0,'Assumptions'!$B$21,IF(32-'Schedule_Inputs'!$B$20=1,'Assumptions'!$C$21,IF(32-'Schedule_Inputs'!$B$20=2,'Assumptions'!$D$21,0))),IF('Schedule_Inputs'!$C$20="Launch",$C20*IF(32-'Schedule_Inputs'!$B$20=0,'Assumptions'!$B$22,IF(32-'Schedule_Inputs'!$B$20=1,'Assumptions'!$C$22,IF(32-'Schedule_Inputs'!$B$20=2,'Assumptions'!$D$22,IF(32-'Schedule_Inputs'!$B$20=3,'Assumptions'!$B$23,0)))),IF('Schedule_Inputs'!$C$20="Office Setup",$C20*IF(32-'Schedule_Inputs'!$B$20=0,'Assumptions'!$B$24,IF(32-'Schedule_Inputs'!$B$20=1,'Assumptions'!$C$24,IF(32-'Schedule_Inputs'!$B$20=2,'Assumptions'!$D$24,0))),IF(OR('Schedule_Inputs'!$C$20="Monthly",'Schedule_Inputs'!$C$20="Periodic"),IF(AND(32&gt;='Schedule_Inputs'!$B$20,MOD(32-'Schedule_Inputs'!$B$20,'Schedule_Inputs'!$E$20)=0,(32-'Schedule_Inputs'!$B$20)/'Schedule_Inputs'!$E$20&lt;'Schedule_Inputs'!$D$20),$C20/'Schedule_Inputs'!$D$20,0),0))))</f>
        <v/>
      </c>
      <c r="AK20" s="231">
        <f>IF('Schedule_Inputs'!$C$20="Blueprint",$C20*IF(33-'Schedule_Inputs'!$B$20=0,'Assumptions'!$B$21,IF(33-'Schedule_Inputs'!$B$20=1,'Assumptions'!$C$21,IF(33-'Schedule_Inputs'!$B$20=2,'Assumptions'!$D$21,0))),IF('Schedule_Inputs'!$C$20="Launch",$C20*IF(33-'Schedule_Inputs'!$B$20=0,'Assumptions'!$B$22,IF(33-'Schedule_Inputs'!$B$20=1,'Assumptions'!$C$22,IF(33-'Schedule_Inputs'!$B$20=2,'Assumptions'!$D$22,IF(33-'Schedule_Inputs'!$B$20=3,'Assumptions'!$B$23,0)))),IF('Schedule_Inputs'!$C$20="Office Setup",$C20*IF(33-'Schedule_Inputs'!$B$20=0,'Assumptions'!$B$24,IF(33-'Schedule_Inputs'!$B$20=1,'Assumptions'!$C$24,IF(33-'Schedule_Inputs'!$B$20=2,'Assumptions'!$D$24,0))),IF(OR('Schedule_Inputs'!$C$20="Monthly",'Schedule_Inputs'!$C$20="Periodic"),IF(AND(33&gt;='Schedule_Inputs'!$B$20,MOD(33-'Schedule_Inputs'!$B$20,'Schedule_Inputs'!$E$20)=0,(33-'Schedule_Inputs'!$B$20)/'Schedule_Inputs'!$E$20&lt;'Schedule_Inputs'!$D$20),$C20/'Schedule_Inputs'!$D$20,0),0))))</f>
        <v/>
      </c>
      <c r="AL20" s="231">
        <f>IF('Schedule_Inputs'!$C$20="Blueprint",$C20*IF(34-'Schedule_Inputs'!$B$20=0,'Assumptions'!$B$21,IF(34-'Schedule_Inputs'!$B$20=1,'Assumptions'!$C$21,IF(34-'Schedule_Inputs'!$B$20=2,'Assumptions'!$D$21,0))),IF('Schedule_Inputs'!$C$20="Launch",$C20*IF(34-'Schedule_Inputs'!$B$20=0,'Assumptions'!$B$22,IF(34-'Schedule_Inputs'!$B$20=1,'Assumptions'!$C$22,IF(34-'Schedule_Inputs'!$B$20=2,'Assumptions'!$D$22,IF(34-'Schedule_Inputs'!$B$20=3,'Assumptions'!$B$23,0)))),IF('Schedule_Inputs'!$C$20="Office Setup",$C20*IF(34-'Schedule_Inputs'!$B$20=0,'Assumptions'!$B$24,IF(34-'Schedule_Inputs'!$B$20=1,'Assumptions'!$C$24,IF(34-'Schedule_Inputs'!$B$20=2,'Assumptions'!$D$24,0))),IF(OR('Schedule_Inputs'!$C$20="Monthly",'Schedule_Inputs'!$C$20="Periodic"),IF(AND(34&gt;='Schedule_Inputs'!$B$20,MOD(34-'Schedule_Inputs'!$B$20,'Schedule_Inputs'!$E$20)=0,(34-'Schedule_Inputs'!$B$20)/'Schedule_Inputs'!$E$20&lt;'Schedule_Inputs'!$D$20),$C20/'Schedule_Inputs'!$D$20,0),0))))</f>
        <v/>
      </c>
      <c r="AM20" s="231">
        <f>IF('Schedule_Inputs'!$C$20="Blueprint",$C20*IF(35-'Schedule_Inputs'!$B$20=0,'Assumptions'!$B$21,IF(35-'Schedule_Inputs'!$B$20=1,'Assumptions'!$C$21,IF(35-'Schedule_Inputs'!$B$20=2,'Assumptions'!$D$21,0))),IF('Schedule_Inputs'!$C$20="Launch",$C20*IF(35-'Schedule_Inputs'!$B$20=0,'Assumptions'!$B$22,IF(35-'Schedule_Inputs'!$B$20=1,'Assumptions'!$C$22,IF(35-'Schedule_Inputs'!$B$20=2,'Assumptions'!$D$22,IF(35-'Schedule_Inputs'!$B$20=3,'Assumptions'!$B$23,0)))),IF('Schedule_Inputs'!$C$20="Office Setup",$C20*IF(35-'Schedule_Inputs'!$B$20=0,'Assumptions'!$B$24,IF(35-'Schedule_Inputs'!$B$20=1,'Assumptions'!$C$24,IF(35-'Schedule_Inputs'!$B$20=2,'Assumptions'!$D$24,0))),IF(OR('Schedule_Inputs'!$C$20="Monthly",'Schedule_Inputs'!$C$20="Periodic"),IF(AND(35&gt;='Schedule_Inputs'!$B$20,MOD(35-'Schedule_Inputs'!$B$20,'Schedule_Inputs'!$E$20)=0,(35-'Schedule_Inputs'!$B$20)/'Schedule_Inputs'!$E$20&lt;'Schedule_Inputs'!$D$20),$C20/'Schedule_Inputs'!$D$20,0),0))))</f>
        <v/>
      </c>
      <c r="AN20" s="231">
        <f>IF('Schedule_Inputs'!$C$20="Blueprint",$C20*IF(36-'Schedule_Inputs'!$B$20=0,'Assumptions'!$B$21,IF(36-'Schedule_Inputs'!$B$20=1,'Assumptions'!$C$21,IF(36-'Schedule_Inputs'!$B$20=2,'Assumptions'!$D$21,0))),IF('Schedule_Inputs'!$C$20="Launch",$C20*IF(36-'Schedule_Inputs'!$B$20=0,'Assumptions'!$B$22,IF(36-'Schedule_Inputs'!$B$20=1,'Assumptions'!$C$22,IF(36-'Schedule_Inputs'!$B$20=2,'Assumptions'!$D$22,IF(36-'Schedule_Inputs'!$B$20=3,'Assumptions'!$B$23,0)))),IF('Schedule_Inputs'!$C$20="Office Setup",$C20*IF(36-'Schedule_Inputs'!$B$20=0,'Assumptions'!$B$24,IF(36-'Schedule_Inputs'!$B$20=1,'Assumptions'!$C$24,IF(36-'Schedule_Inputs'!$B$20=2,'Assumptions'!$D$24,0))),IF(OR('Schedule_Inputs'!$C$20="Monthly",'Schedule_Inputs'!$C$20="Periodic"),IF(AND(36&gt;='Schedule_Inputs'!$B$20,MOD(36-'Schedule_Inputs'!$B$20,'Schedule_Inputs'!$E$20)=0,(36-'Schedule_Inputs'!$B$20)/'Schedule_Inputs'!$E$20&lt;'Schedule_Inputs'!$D$20),$C20/'Schedule_Inputs'!$D$20,0),0))))</f>
        <v/>
      </c>
    </row>
    <row r="21">
      <c r="A21" s="106" t="inlineStr">
        <is>
          <t>Blueprint 09</t>
        </is>
      </c>
      <c r="B21" s="106" t="n">
        <v>3</v>
      </c>
      <c r="C21" s="230" t="n">
        <v>21000</v>
      </c>
      <c r="D21" s="231" t="inlineStr">
        <is>
          <t>40 / 40 / 20</t>
        </is>
      </c>
      <c r="E21" s="231">
        <f>IF('Schedule_Inputs'!$C$21="Blueprint",$C21*IF(1-'Schedule_Inputs'!$B$21=0,'Assumptions'!$B$21,IF(1-'Schedule_Inputs'!$B$21=1,'Assumptions'!$C$21,IF(1-'Schedule_Inputs'!$B$21=2,'Assumptions'!$D$21,0))),IF('Schedule_Inputs'!$C$21="Launch",$C21*IF(1-'Schedule_Inputs'!$B$21=0,'Assumptions'!$B$22,IF(1-'Schedule_Inputs'!$B$21=1,'Assumptions'!$C$22,IF(1-'Schedule_Inputs'!$B$21=2,'Assumptions'!$D$22,IF(1-'Schedule_Inputs'!$B$21=3,'Assumptions'!$B$23,0)))),IF('Schedule_Inputs'!$C$21="Office Setup",$C21*IF(1-'Schedule_Inputs'!$B$21=0,'Assumptions'!$B$24,IF(1-'Schedule_Inputs'!$B$21=1,'Assumptions'!$C$24,IF(1-'Schedule_Inputs'!$B$21=2,'Assumptions'!$D$24,0))),IF(OR('Schedule_Inputs'!$C$21="Monthly",'Schedule_Inputs'!$C$21="Periodic"),IF(AND(1&gt;='Schedule_Inputs'!$B$21,MOD(1-'Schedule_Inputs'!$B$21,'Schedule_Inputs'!$E$21)=0,(1-'Schedule_Inputs'!$B$21)/'Schedule_Inputs'!$E$21&lt;'Schedule_Inputs'!$D$21),$C21/'Schedule_Inputs'!$D$21,0),0))))</f>
        <v/>
      </c>
      <c r="F21" s="231">
        <f>IF('Schedule_Inputs'!$C$21="Blueprint",$C21*IF(2-'Schedule_Inputs'!$B$21=0,'Assumptions'!$B$21,IF(2-'Schedule_Inputs'!$B$21=1,'Assumptions'!$C$21,IF(2-'Schedule_Inputs'!$B$21=2,'Assumptions'!$D$21,0))),IF('Schedule_Inputs'!$C$21="Launch",$C21*IF(2-'Schedule_Inputs'!$B$21=0,'Assumptions'!$B$22,IF(2-'Schedule_Inputs'!$B$21=1,'Assumptions'!$C$22,IF(2-'Schedule_Inputs'!$B$21=2,'Assumptions'!$D$22,IF(2-'Schedule_Inputs'!$B$21=3,'Assumptions'!$B$23,0)))),IF('Schedule_Inputs'!$C$21="Office Setup",$C21*IF(2-'Schedule_Inputs'!$B$21=0,'Assumptions'!$B$24,IF(2-'Schedule_Inputs'!$B$21=1,'Assumptions'!$C$24,IF(2-'Schedule_Inputs'!$B$21=2,'Assumptions'!$D$24,0))),IF(OR('Schedule_Inputs'!$C$21="Monthly",'Schedule_Inputs'!$C$21="Periodic"),IF(AND(2&gt;='Schedule_Inputs'!$B$21,MOD(2-'Schedule_Inputs'!$B$21,'Schedule_Inputs'!$E$21)=0,(2-'Schedule_Inputs'!$B$21)/'Schedule_Inputs'!$E$21&lt;'Schedule_Inputs'!$D$21),$C21/'Schedule_Inputs'!$D$21,0),0))))</f>
        <v/>
      </c>
      <c r="G21" s="231">
        <f>IF('Schedule_Inputs'!$C$21="Blueprint",$C21*IF(3-'Schedule_Inputs'!$B$21=0,'Assumptions'!$B$21,IF(3-'Schedule_Inputs'!$B$21=1,'Assumptions'!$C$21,IF(3-'Schedule_Inputs'!$B$21=2,'Assumptions'!$D$21,0))),IF('Schedule_Inputs'!$C$21="Launch",$C21*IF(3-'Schedule_Inputs'!$B$21=0,'Assumptions'!$B$22,IF(3-'Schedule_Inputs'!$B$21=1,'Assumptions'!$C$22,IF(3-'Schedule_Inputs'!$B$21=2,'Assumptions'!$D$22,IF(3-'Schedule_Inputs'!$B$21=3,'Assumptions'!$B$23,0)))),IF('Schedule_Inputs'!$C$21="Office Setup",$C21*IF(3-'Schedule_Inputs'!$B$21=0,'Assumptions'!$B$24,IF(3-'Schedule_Inputs'!$B$21=1,'Assumptions'!$C$24,IF(3-'Schedule_Inputs'!$B$21=2,'Assumptions'!$D$24,0))),IF(OR('Schedule_Inputs'!$C$21="Monthly",'Schedule_Inputs'!$C$21="Periodic"),IF(AND(3&gt;='Schedule_Inputs'!$B$21,MOD(3-'Schedule_Inputs'!$B$21,'Schedule_Inputs'!$E$21)=0,(3-'Schedule_Inputs'!$B$21)/'Schedule_Inputs'!$E$21&lt;'Schedule_Inputs'!$D$21),$C21/'Schedule_Inputs'!$D$21,0),0))))</f>
        <v/>
      </c>
      <c r="H21" s="231">
        <f>IF('Schedule_Inputs'!$C$21="Blueprint",$C21*IF(4-'Schedule_Inputs'!$B$21=0,'Assumptions'!$B$21,IF(4-'Schedule_Inputs'!$B$21=1,'Assumptions'!$C$21,IF(4-'Schedule_Inputs'!$B$21=2,'Assumptions'!$D$21,0))),IF('Schedule_Inputs'!$C$21="Launch",$C21*IF(4-'Schedule_Inputs'!$B$21=0,'Assumptions'!$B$22,IF(4-'Schedule_Inputs'!$B$21=1,'Assumptions'!$C$22,IF(4-'Schedule_Inputs'!$B$21=2,'Assumptions'!$D$22,IF(4-'Schedule_Inputs'!$B$21=3,'Assumptions'!$B$23,0)))),IF('Schedule_Inputs'!$C$21="Office Setup",$C21*IF(4-'Schedule_Inputs'!$B$21=0,'Assumptions'!$B$24,IF(4-'Schedule_Inputs'!$B$21=1,'Assumptions'!$C$24,IF(4-'Schedule_Inputs'!$B$21=2,'Assumptions'!$D$24,0))),IF(OR('Schedule_Inputs'!$C$21="Monthly",'Schedule_Inputs'!$C$21="Periodic"),IF(AND(4&gt;='Schedule_Inputs'!$B$21,MOD(4-'Schedule_Inputs'!$B$21,'Schedule_Inputs'!$E$21)=0,(4-'Schedule_Inputs'!$B$21)/'Schedule_Inputs'!$E$21&lt;'Schedule_Inputs'!$D$21),$C21/'Schedule_Inputs'!$D$21,0),0))))</f>
        <v/>
      </c>
      <c r="I21" s="231">
        <f>IF('Schedule_Inputs'!$C$21="Blueprint",$C21*IF(5-'Schedule_Inputs'!$B$21=0,'Assumptions'!$B$21,IF(5-'Schedule_Inputs'!$B$21=1,'Assumptions'!$C$21,IF(5-'Schedule_Inputs'!$B$21=2,'Assumptions'!$D$21,0))),IF('Schedule_Inputs'!$C$21="Launch",$C21*IF(5-'Schedule_Inputs'!$B$21=0,'Assumptions'!$B$22,IF(5-'Schedule_Inputs'!$B$21=1,'Assumptions'!$C$22,IF(5-'Schedule_Inputs'!$B$21=2,'Assumptions'!$D$22,IF(5-'Schedule_Inputs'!$B$21=3,'Assumptions'!$B$23,0)))),IF('Schedule_Inputs'!$C$21="Office Setup",$C21*IF(5-'Schedule_Inputs'!$B$21=0,'Assumptions'!$B$24,IF(5-'Schedule_Inputs'!$B$21=1,'Assumptions'!$C$24,IF(5-'Schedule_Inputs'!$B$21=2,'Assumptions'!$D$24,0))),IF(OR('Schedule_Inputs'!$C$21="Monthly",'Schedule_Inputs'!$C$21="Periodic"),IF(AND(5&gt;='Schedule_Inputs'!$B$21,MOD(5-'Schedule_Inputs'!$B$21,'Schedule_Inputs'!$E$21)=0,(5-'Schedule_Inputs'!$B$21)/'Schedule_Inputs'!$E$21&lt;'Schedule_Inputs'!$D$21),$C21/'Schedule_Inputs'!$D$21,0),0))))</f>
        <v/>
      </c>
      <c r="J21" s="231">
        <f>IF('Schedule_Inputs'!$C$21="Blueprint",$C21*IF(6-'Schedule_Inputs'!$B$21=0,'Assumptions'!$B$21,IF(6-'Schedule_Inputs'!$B$21=1,'Assumptions'!$C$21,IF(6-'Schedule_Inputs'!$B$21=2,'Assumptions'!$D$21,0))),IF('Schedule_Inputs'!$C$21="Launch",$C21*IF(6-'Schedule_Inputs'!$B$21=0,'Assumptions'!$B$22,IF(6-'Schedule_Inputs'!$B$21=1,'Assumptions'!$C$22,IF(6-'Schedule_Inputs'!$B$21=2,'Assumptions'!$D$22,IF(6-'Schedule_Inputs'!$B$21=3,'Assumptions'!$B$23,0)))),IF('Schedule_Inputs'!$C$21="Office Setup",$C21*IF(6-'Schedule_Inputs'!$B$21=0,'Assumptions'!$B$24,IF(6-'Schedule_Inputs'!$B$21=1,'Assumptions'!$C$24,IF(6-'Schedule_Inputs'!$B$21=2,'Assumptions'!$D$24,0))),IF(OR('Schedule_Inputs'!$C$21="Monthly",'Schedule_Inputs'!$C$21="Periodic"),IF(AND(6&gt;='Schedule_Inputs'!$B$21,MOD(6-'Schedule_Inputs'!$B$21,'Schedule_Inputs'!$E$21)=0,(6-'Schedule_Inputs'!$B$21)/'Schedule_Inputs'!$E$21&lt;'Schedule_Inputs'!$D$21),$C21/'Schedule_Inputs'!$D$21,0),0))))</f>
        <v/>
      </c>
      <c r="K21" s="231">
        <f>IF('Schedule_Inputs'!$C$21="Blueprint",$C21*IF(7-'Schedule_Inputs'!$B$21=0,'Assumptions'!$B$21,IF(7-'Schedule_Inputs'!$B$21=1,'Assumptions'!$C$21,IF(7-'Schedule_Inputs'!$B$21=2,'Assumptions'!$D$21,0))),IF('Schedule_Inputs'!$C$21="Launch",$C21*IF(7-'Schedule_Inputs'!$B$21=0,'Assumptions'!$B$22,IF(7-'Schedule_Inputs'!$B$21=1,'Assumptions'!$C$22,IF(7-'Schedule_Inputs'!$B$21=2,'Assumptions'!$D$22,IF(7-'Schedule_Inputs'!$B$21=3,'Assumptions'!$B$23,0)))),IF('Schedule_Inputs'!$C$21="Office Setup",$C21*IF(7-'Schedule_Inputs'!$B$21=0,'Assumptions'!$B$24,IF(7-'Schedule_Inputs'!$B$21=1,'Assumptions'!$C$24,IF(7-'Schedule_Inputs'!$B$21=2,'Assumptions'!$D$24,0))),IF(OR('Schedule_Inputs'!$C$21="Monthly",'Schedule_Inputs'!$C$21="Periodic"),IF(AND(7&gt;='Schedule_Inputs'!$B$21,MOD(7-'Schedule_Inputs'!$B$21,'Schedule_Inputs'!$E$21)=0,(7-'Schedule_Inputs'!$B$21)/'Schedule_Inputs'!$E$21&lt;'Schedule_Inputs'!$D$21),$C21/'Schedule_Inputs'!$D$21,0),0))))</f>
        <v/>
      </c>
      <c r="L21" s="231">
        <f>IF('Schedule_Inputs'!$C$21="Blueprint",$C21*IF(8-'Schedule_Inputs'!$B$21=0,'Assumptions'!$B$21,IF(8-'Schedule_Inputs'!$B$21=1,'Assumptions'!$C$21,IF(8-'Schedule_Inputs'!$B$21=2,'Assumptions'!$D$21,0))),IF('Schedule_Inputs'!$C$21="Launch",$C21*IF(8-'Schedule_Inputs'!$B$21=0,'Assumptions'!$B$22,IF(8-'Schedule_Inputs'!$B$21=1,'Assumptions'!$C$22,IF(8-'Schedule_Inputs'!$B$21=2,'Assumptions'!$D$22,IF(8-'Schedule_Inputs'!$B$21=3,'Assumptions'!$B$23,0)))),IF('Schedule_Inputs'!$C$21="Office Setup",$C21*IF(8-'Schedule_Inputs'!$B$21=0,'Assumptions'!$B$24,IF(8-'Schedule_Inputs'!$B$21=1,'Assumptions'!$C$24,IF(8-'Schedule_Inputs'!$B$21=2,'Assumptions'!$D$24,0))),IF(OR('Schedule_Inputs'!$C$21="Monthly",'Schedule_Inputs'!$C$21="Periodic"),IF(AND(8&gt;='Schedule_Inputs'!$B$21,MOD(8-'Schedule_Inputs'!$B$21,'Schedule_Inputs'!$E$21)=0,(8-'Schedule_Inputs'!$B$21)/'Schedule_Inputs'!$E$21&lt;'Schedule_Inputs'!$D$21),$C21/'Schedule_Inputs'!$D$21,0),0))))</f>
        <v/>
      </c>
      <c r="M21" s="231">
        <f>IF('Schedule_Inputs'!$C$21="Blueprint",$C21*IF(9-'Schedule_Inputs'!$B$21=0,'Assumptions'!$B$21,IF(9-'Schedule_Inputs'!$B$21=1,'Assumptions'!$C$21,IF(9-'Schedule_Inputs'!$B$21=2,'Assumptions'!$D$21,0))),IF('Schedule_Inputs'!$C$21="Launch",$C21*IF(9-'Schedule_Inputs'!$B$21=0,'Assumptions'!$B$22,IF(9-'Schedule_Inputs'!$B$21=1,'Assumptions'!$C$22,IF(9-'Schedule_Inputs'!$B$21=2,'Assumptions'!$D$22,IF(9-'Schedule_Inputs'!$B$21=3,'Assumptions'!$B$23,0)))),IF('Schedule_Inputs'!$C$21="Office Setup",$C21*IF(9-'Schedule_Inputs'!$B$21=0,'Assumptions'!$B$24,IF(9-'Schedule_Inputs'!$B$21=1,'Assumptions'!$C$24,IF(9-'Schedule_Inputs'!$B$21=2,'Assumptions'!$D$24,0))),IF(OR('Schedule_Inputs'!$C$21="Monthly",'Schedule_Inputs'!$C$21="Periodic"),IF(AND(9&gt;='Schedule_Inputs'!$B$21,MOD(9-'Schedule_Inputs'!$B$21,'Schedule_Inputs'!$E$21)=0,(9-'Schedule_Inputs'!$B$21)/'Schedule_Inputs'!$E$21&lt;'Schedule_Inputs'!$D$21),$C21/'Schedule_Inputs'!$D$21,0),0))))</f>
        <v/>
      </c>
      <c r="N21" s="231">
        <f>IF('Schedule_Inputs'!$C$21="Blueprint",$C21*IF(10-'Schedule_Inputs'!$B$21=0,'Assumptions'!$B$21,IF(10-'Schedule_Inputs'!$B$21=1,'Assumptions'!$C$21,IF(10-'Schedule_Inputs'!$B$21=2,'Assumptions'!$D$21,0))),IF('Schedule_Inputs'!$C$21="Launch",$C21*IF(10-'Schedule_Inputs'!$B$21=0,'Assumptions'!$B$22,IF(10-'Schedule_Inputs'!$B$21=1,'Assumptions'!$C$22,IF(10-'Schedule_Inputs'!$B$21=2,'Assumptions'!$D$22,IF(10-'Schedule_Inputs'!$B$21=3,'Assumptions'!$B$23,0)))),IF('Schedule_Inputs'!$C$21="Office Setup",$C21*IF(10-'Schedule_Inputs'!$B$21=0,'Assumptions'!$B$24,IF(10-'Schedule_Inputs'!$B$21=1,'Assumptions'!$C$24,IF(10-'Schedule_Inputs'!$B$21=2,'Assumptions'!$D$24,0))),IF(OR('Schedule_Inputs'!$C$21="Monthly",'Schedule_Inputs'!$C$21="Periodic"),IF(AND(10&gt;='Schedule_Inputs'!$B$21,MOD(10-'Schedule_Inputs'!$B$21,'Schedule_Inputs'!$E$21)=0,(10-'Schedule_Inputs'!$B$21)/'Schedule_Inputs'!$E$21&lt;'Schedule_Inputs'!$D$21),$C21/'Schedule_Inputs'!$D$21,0),0))))</f>
        <v/>
      </c>
      <c r="O21" s="231">
        <f>IF('Schedule_Inputs'!$C$21="Blueprint",$C21*IF(11-'Schedule_Inputs'!$B$21=0,'Assumptions'!$B$21,IF(11-'Schedule_Inputs'!$B$21=1,'Assumptions'!$C$21,IF(11-'Schedule_Inputs'!$B$21=2,'Assumptions'!$D$21,0))),IF('Schedule_Inputs'!$C$21="Launch",$C21*IF(11-'Schedule_Inputs'!$B$21=0,'Assumptions'!$B$22,IF(11-'Schedule_Inputs'!$B$21=1,'Assumptions'!$C$22,IF(11-'Schedule_Inputs'!$B$21=2,'Assumptions'!$D$22,IF(11-'Schedule_Inputs'!$B$21=3,'Assumptions'!$B$23,0)))),IF('Schedule_Inputs'!$C$21="Office Setup",$C21*IF(11-'Schedule_Inputs'!$B$21=0,'Assumptions'!$B$24,IF(11-'Schedule_Inputs'!$B$21=1,'Assumptions'!$C$24,IF(11-'Schedule_Inputs'!$B$21=2,'Assumptions'!$D$24,0))),IF(OR('Schedule_Inputs'!$C$21="Monthly",'Schedule_Inputs'!$C$21="Periodic"),IF(AND(11&gt;='Schedule_Inputs'!$B$21,MOD(11-'Schedule_Inputs'!$B$21,'Schedule_Inputs'!$E$21)=0,(11-'Schedule_Inputs'!$B$21)/'Schedule_Inputs'!$E$21&lt;'Schedule_Inputs'!$D$21),$C21/'Schedule_Inputs'!$D$21,0),0))))</f>
        <v/>
      </c>
      <c r="P21" s="231">
        <f>IF('Schedule_Inputs'!$C$21="Blueprint",$C21*IF(12-'Schedule_Inputs'!$B$21=0,'Assumptions'!$B$21,IF(12-'Schedule_Inputs'!$B$21=1,'Assumptions'!$C$21,IF(12-'Schedule_Inputs'!$B$21=2,'Assumptions'!$D$21,0))),IF('Schedule_Inputs'!$C$21="Launch",$C21*IF(12-'Schedule_Inputs'!$B$21=0,'Assumptions'!$B$22,IF(12-'Schedule_Inputs'!$B$21=1,'Assumptions'!$C$22,IF(12-'Schedule_Inputs'!$B$21=2,'Assumptions'!$D$22,IF(12-'Schedule_Inputs'!$B$21=3,'Assumptions'!$B$23,0)))),IF('Schedule_Inputs'!$C$21="Office Setup",$C21*IF(12-'Schedule_Inputs'!$B$21=0,'Assumptions'!$B$24,IF(12-'Schedule_Inputs'!$B$21=1,'Assumptions'!$C$24,IF(12-'Schedule_Inputs'!$B$21=2,'Assumptions'!$D$24,0))),IF(OR('Schedule_Inputs'!$C$21="Monthly",'Schedule_Inputs'!$C$21="Periodic"),IF(AND(12&gt;='Schedule_Inputs'!$B$21,MOD(12-'Schedule_Inputs'!$B$21,'Schedule_Inputs'!$E$21)=0,(12-'Schedule_Inputs'!$B$21)/'Schedule_Inputs'!$E$21&lt;'Schedule_Inputs'!$D$21),$C21/'Schedule_Inputs'!$D$21,0),0))))</f>
        <v/>
      </c>
      <c r="Q21" s="231">
        <f>IF('Schedule_Inputs'!$C$21="Blueprint",$C21*IF(13-'Schedule_Inputs'!$B$21=0,'Assumptions'!$B$21,IF(13-'Schedule_Inputs'!$B$21=1,'Assumptions'!$C$21,IF(13-'Schedule_Inputs'!$B$21=2,'Assumptions'!$D$21,0))),IF('Schedule_Inputs'!$C$21="Launch",$C21*IF(13-'Schedule_Inputs'!$B$21=0,'Assumptions'!$B$22,IF(13-'Schedule_Inputs'!$B$21=1,'Assumptions'!$C$22,IF(13-'Schedule_Inputs'!$B$21=2,'Assumptions'!$D$22,IF(13-'Schedule_Inputs'!$B$21=3,'Assumptions'!$B$23,0)))),IF('Schedule_Inputs'!$C$21="Office Setup",$C21*IF(13-'Schedule_Inputs'!$B$21=0,'Assumptions'!$B$24,IF(13-'Schedule_Inputs'!$B$21=1,'Assumptions'!$C$24,IF(13-'Schedule_Inputs'!$B$21=2,'Assumptions'!$D$24,0))),IF(OR('Schedule_Inputs'!$C$21="Monthly",'Schedule_Inputs'!$C$21="Periodic"),IF(AND(13&gt;='Schedule_Inputs'!$B$21,MOD(13-'Schedule_Inputs'!$B$21,'Schedule_Inputs'!$E$21)=0,(13-'Schedule_Inputs'!$B$21)/'Schedule_Inputs'!$E$21&lt;'Schedule_Inputs'!$D$21),$C21/'Schedule_Inputs'!$D$21,0),0))))</f>
        <v/>
      </c>
      <c r="R21" s="231">
        <f>IF('Schedule_Inputs'!$C$21="Blueprint",$C21*IF(14-'Schedule_Inputs'!$B$21=0,'Assumptions'!$B$21,IF(14-'Schedule_Inputs'!$B$21=1,'Assumptions'!$C$21,IF(14-'Schedule_Inputs'!$B$21=2,'Assumptions'!$D$21,0))),IF('Schedule_Inputs'!$C$21="Launch",$C21*IF(14-'Schedule_Inputs'!$B$21=0,'Assumptions'!$B$22,IF(14-'Schedule_Inputs'!$B$21=1,'Assumptions'!$C$22,IF(14-'Schedule_Inputs'!$B$21=2,'Assumptions'!$D$22,IF(14-'Schedule_Inputs'!$B$21=3,'Assumptions'!$B$23,0)))),IF('Schedule_Inputs'!$C$21="Office Setup",$C21*IF(14-'Schedule_Inputs'!$B$21=0,'Assumptions'!$B$24,IF(14-'Schedule_Inputs'!$B$21=1,'Assumptions'!$C$24,IF(14-'Schedule_Inputs'!$B$21=2,'Assumptions'!$D$24,0))),IF(OR('Schedule_Inputs'!$C$21="Monthly",'Schedule_Inputs'!$C$21="Periodic"),IF(AND(14&gt;='Schedule_Inputs'!$B$21,MOD(14-'Schedule_Inputs'!$B$21,'Schedule_Inputs'!$E$21)=0,(14-'Schedule_Inputs'!$B$21)/'Schedule_Inputs'!$E$21&lt;'Schedule_Inputs'!$D$21),$C21/'Schedule_Inputs'!$D$21,0),0))))</f>
        <v/>
      </c>
      <c r="S21" s="231">
        <f>IF('Schedule_Inputs'!$C$21="Blueprint",$C21*IF(15-'Schedule_Inputs'!$B$21=0,'Assumptions'!$B$21,IF(15-'Schedule_Inputs'!$B$21=1,'Assumptions'!$C$21,IF(15-'Schedule_Inputs'!$B$21=2,'Assumptions'!$D$21,0))),IF('Schedule_Inputs'!$C$21="Launch",$C21*IF(15-'Schedule_Inputs'!$B$21=0,'Assumptions'!$B$22,IF(15-'Schedule_Inputs'!$B$21=1,'Assumptions'!$C$22,IF(15-'Schedule_Inputs'!$B$21=2,'Assumptions'!$D$22,IF(15-'Schedule_Inputs'!$B$21=3,'Assumptions'!$B$23,0)))),IF('Schedule_Inputs'!$C$21="Office Setup",$C21*IF(15-'Schedule_Inputs'!$B$21=0,'Assumptions'!$B$24,IF(15-'Schedule_Inputs'!$B$21=1,'Assumptions'!$C$24,IF(15-'Schedule_Inputs'!$B$21=2,'Assumptions'!$D$24,0))),IF(OR('Schedule_Inputs'!$C$21="Monthly",'Schedule_Inputs'!$C$21="Periodic"),IF(AND(15&gt;='Schedule_Inputs'!$B$21,MOD(15-'Schedule_Inputs'!$B$21,'Schedule_Inputs'!$E$21)=0,(15-'Schedule_Inputs'!$B$21)/'Schedule_Inputs'!$E$21&lt;'Schedule_Inputs'!$D$21),$C21/'Schedule_Inputs'!$D$21,0),0))))</f>
        <v/>
      </c>
      <c r="T21" s="231">
        <f>IF('Schedule_Inputs'!$C$21="Blueprint",$C21*IF(16-'Schedule_Inputs'!$B$21=0,'Assumptions'!$B$21,IF(16-'Schedule_Inputs'!$B$21=1,'Assumptions'!$C$21,IF(16-'Schedule_Inputs'!$B$21=2,'Assumptions'!$D$21,0))),IF('Schedule_Inputs'!$C$21="Launch",$C21*IF(16-'Schedule_Inputs'!$B$21=0,'Assumptions'!$B$22,IF(16-'Schedule_Inputs'!$B$21=1,'Assumptions'!$C$22,IF(16-'Schedule_Inputs'!$B$21=2,'Assumptions'!$D$22,IF(16-'Schedule_Inputs'!$B$21=3,'Assumptions'!$B$23,0)))),IF('Schedule_Inputs'!$C$21="Office Setup",$C21*IF(16-'Schedule_Inputs'!$B$21=0,'Assumptions'!$B$24,IF(16-'Schedule_Inputs'!$B$21=1,'Assumptions'!$C$24,IF(16-'Schedule_Inputs'!$B$21=2,'Assumptions'!$D$24,0))),IF(OR('Schedule_Inputs'!$C$21="Monthly",'Schedule_Inputs'!$C$21="Periodic"),IF(AND(16&gt;='Schedule_Inputs'!$B$21,MOD(16-'Schedule_Inputs'!$B$21,'Schedule_Inputs'!$E$21)=0,(16-'Schedule_Inputs'!$B$21)/'Schedule_Inputs'!$E$21&lt;'Schedule_Inputs'!$D$21),$C21/'Schedule_Inputs'!$D$21,0),0))))</f>
        <v/>
      </c>
      <c r="U21" s="231">
        <f>IF('Schedule_Inputs'!$C$21="Blueprint",$C21*IF(17-'Schedule_Inputs'!$B$21=0,'Assumptions'!$B$21,IF(17-'Schedule_Inputs'!$B$21=1,'Assumptions'!$C$21,IF(17-'Schedule_Inputs'!$B$21=2,'Assumptions'!$D$21,0))),IF('Schedule_Inputs'!$C$21="Launch",$C21*IF(17-'Schedule_Inputs'!$B$21=0,'Assumptions'!$B$22,IF(17-'Schedule_Inputs'!$B$21=1,'Assumptions'!$C$22,IF(17-'Schedule_Inputs'!$B$21=2,'Assumptions'!$D$22,IF(17-'Schedule_Inputs'!$B$21=3,'Assumptions'!$B$23,0)))),IF('Schedule_Inputs'!$C$21="Office Setup",$C21*IF(17-'Schedule_Inputs'!$B$21=0,'Assumptions'!$B$24,IF(17-'Schedule_Inputs'!$B$21=1,'Assumptions'!$C$24,IF(17-'Schedule_Inputs'!$B$21=2,'Assumptions'!$D$24,0))),IF(OR('Schedule_Inputs'!$C$21="Monthly",'Schedule_Inputs'!$C$21="Periodic"),IF(AND(17&gt;='Schedule_Inputs'!$B$21,MOD(17-'Schedule_Inputs'!$B$21,'Schedule_Inputs'!$E$21)=0,(17-'Schedule_Inputs'!$B$21)/'Schedule_Inputs'!$E$21&lt;'Schedule_Inputs'!$D$21),$C21/'Schedule_Inputs'!$D$21,0),0))))</f>
        <v/>
      </c>
      <c r="V21" s="231">
        <f>IF('Schedule_Inputs'!$C$21="Blueprint",$C21*IF(18-'Schedule_Inputs'!$B$21=0,'Assumptions'!$B$21,IF(18-'Schedule_Inputs'!$B$21=1,'Assumptions'!$C$21,IF(18-'Schedule_Inputs'!$B$21=2,'Assumptions'!$D$21,0))),IF('Schedule_Inputs'!$C$21="Launch",$C21*IF(18-'Schedule_Inputs'!$B$21=0,'Assumptions'!$B$22,IF(18-'Schedule_Inputs'!$B$21=1,'Assumptions'!$C$22,IF(18-'Schedule_Inputs'!$B$21=2,'Assumptions'!$D$22,IF(18-'Schedule_Inputs'!$B$21=3,'Assumptions'!$B$23,0)))),IF('Schedule_Inputs'!$C$21="Office Setup",$C21*IF(18-'Schedule_Inputs'!$B$21=0,'Assumptions'!$B$24,IF(18-'Schedule_Inputs'!$B$21=1,'Assumptions'!$C$24,IF(18-'Schedule_Inputs'!$B$21=2,'Assumptions'!$D$24,0))),IF(OR('Schedule_Inputs'!$C$21="Monthly",'Schedule_Inputs'!$C$21="Periodic"),IF(AND(18&gt;='Schedule_Inputs'!$B$21,MOD(18-'Schedule_Inputs'!$B$21,'Schedule_Inputs'!$E$21)=0,(18-'Schedule_Inputs'!$B$21)/'Schedule_Inputs'!$E$21&lt;'Schedule_Inputs'!$D$21),$C21/'Schedule_Inputs'!$D$21,0),0))))</f>
        <v/>
      </c>
      <c r="W21" s="231">
        <f>IF('Schedule_Inputs'!$C$21="Blueprint",$C21*IF(19-'Schedule_Inputs'!$B$21=0,'Assumptions'!$B$21,IF(19-'Schedule_Inputs'!$B$21=1,'Assumptions'!$C$21,IF(19-'Schedule_Inputs'!$B$21=2,'Assumptions'!$D$21,0))),IF('Schedule_Inputs'!$C$21="Launch",$C21*IF(19-'Schedule_Inputs'!$B$21=0,'Assumptions'!$B$22,IF(19-'Schedule_Inputs'!$B$21=1,'Assumptions'!$C$22,IF(19-'Schedule_Inputs'!$B$21=2,'Assumptions'!$D$22,IF(19-'Schedule_Inputs'!$B$21=3,'Assumptions'!$B$23,0)))),IF('Schedule_Inputs'!$C$21="Office Setup",$C21*IF(19-'Schedule_Inputs'!$B$21=0,'Assumptions'!$B$24,IF(19-'Schedule_Inputs'!$B$21=1,'Assumptions'!$C$24,IF(19-'Schedule_Inputs'!$B$21=2,'Assumptions'!$D$24,0))),IF(OR('Schedule_Inputs'!$C$21="Monthly",'Schedule_Inputs'!$C$21="Periodic"),IF(AND(19&gt;='Schedule_Inputs'!$B$21,MOD(19-'Schedule_Inputs'!$B$21,'Schedule_Inputs'!$E$21)=0,(19-'Schedule_Inputs'!$B$21)/'Schedule_Inputs'!$E$21&lt;'Schedule_Inputs'!$D$21),$C21/'Schedule_Inputs'!$D$21,0),0))))</f>
        <v/>
      </c>
      <c r="X21" s="231">
        <f>IF('Schedule_Inputs'!$C$21="Blueprint",$C21*IF(20-'Schedule_Inputs'!$B$21=0,'Assumptions'!$B$21,IF(20-'Schedule_Inputs'!$B$21=1,'Assumptions'!$C$21,IF(20-'Schedule_Inputs'!$B$21=2,'Assumptions'!$D$21,0))),IF('Schedule_Inputs'!$C$21="Launch",$C21*IF(20-'Schedule_Inputs'!$B$21=0,'Assumptions'!$B$22,IF(20-'Schedule_Inputs'!$B$21=1,'Assumptions'!$C$22,IF(20-'Schedule_Inputs'!$B$21=2,'Assumptions'!$D$22,IF(20-'Schedule_Inputs'!$B$21=3,'Assumptions'!$B$23,0)))),IF('Schedule_Inputs'!$C$21="Office Setup",$C21*IF(20-'Schedule_Inputs'!$B$21=0,'Assumptions'!$B$24,IF(20-'Schedule_Inputs'!$B$21=1,'Assumptions'!$C$24,IF(20-'Schedule_Inputs'!$B$21=2,'Assumptions'!$D$24,0))),IF(OR('Schedule_Inputs'!$C$21="Monthly",'Schedule_Inputs'!$C$21="Periodic"),IF(AND(20&gt;='Schedule_Inputs'!$B$21,MOD(20-'Schedule_Inputs'!$B$21,'Schedule_Inputs'!$E$21)=0,(20-'Schedule_Inputs'!$B$21)/'Schedule_Inputs'!$E$21&lt;'Schedule_Inputs'!$D$21),$C21/'Schedule_Inputs'!$D$21,0),0))))</f>
        <v/>
      </c>
      <c r="Y21" s="231">
        <f>IF('Schedule_Inputs'!$C$21="Blueprint",$C21*IF(21-'Schedule_Inputs'!$B$21=0,'Assumptions'!$B$21,IF(21-'Schedule_Inputs'!$B$21=1,'Assumptions'!$C$21,IF(21-'Schedule_Inputs'!$B$21=2,'Assumptions'!$D$21,0))),IF('Schedule_Inputs'!$C$21="Launch",$C21*IF(21-'Schedule_Inputs'!$B$21=0,'Assumptions'!$B$22,IF(21-'Schedule_Inputs'!$B$21=1,'Assumptions'!$C$22,IF(21-'Schedule_Inputs'!$B$21=2,'Assumptions'!$D$22,IF(21-'Schedule_Inputs'!$B$21=3,'Assumptions'!$B$23,0)))),IF('Schedule_Inputs'!$C$21="Office Setup",$C21*IF(21-'Schedule_Inputs'!$B$21=0,'Assumptions'!$B$24,IF(21-'Schedule_Inputs'!$B$21=1,'Assumptions'!$C$24,IF(21-'Schedule_Inputs'!$B$21=2,'Assumptions'!$D$24,0))),IF(OR('Schedule_Inputs'!$C$21="Monthly",'Schedule_Inputs'!$C$21="Periodic"),IF(AND(21&gt;='Schedule_Inputs'!$B$21,MOD(21-'Schedule_Inputs'!$B$21,'Schedule_Inputs'!$E$21)=0,(21-'Schedule_Inputs'!$B$21)/'Schedule_Inputs'!$E$21&lt;'Schedule_Inputs'!$D$21),$C21/'Schedule_Inputs'!$D$21,0),0))))</f>
        <v/>
      </c>
      <c r="Z21" s="231">
        <f>IF('Schedule_Inputs'!$C$21="Blueprint",$C21*IF(22-'Schedule_Inputs'!$B$21=0,'Assumptions'!$B$21,IF(22-'Schedule_Inputs'!$B$21=1,'Assumptions'!$C$21,IF(22-'Schedule_Inputs'!$B$21=2,'Assumptions'!$D$21,0))),IF('Schedule_Inputs'!$C$21="Launch",$C21*IF(22-'Schedule_Inputs'!$B$21=0,'Assumptions'!$B$22,IF(22-'Schedule_Inputs'!$B$21=1,'Assumptions'!$C$22,IF(22-'Schedule_Inputs'!$B$21=2,'Assumptions'!$D$22,IF(22-'Schedule_Inputs'!$B$21=3,'Assumptions'!$B$23,0)))),IF('Schedule_Inputs'!$C$21="Office Setup",$C21*IF(22-'Schedule_Inputs'!$B$21=0,'Assumptions'!$B$24,IF(22-'Schedule_Inputs'!$B$21=1,'Assumptions'!$C$24,IF(22-'Schedule_Inputs'!$B$21=2,'Assumptions'!$D$24,0))),IF(OR('Schedule_Inputs'!$C$21="Monthly",'Schedule_Inputs'!$C$21="Periodic"),IF(AND(22&gt;='Schedule_Inputs'!$B$21,MOD(22-'Schedule_Inputs'!$B$21,'Schedule_Inputs'!$E$21)=0,(22-'Schedule_Inputs'!$B$21)/'Schedule_Inputs'!$E$21&lt;'Schedule_Inputs'!$D$21),$C21/'Schedule_Inputs'!$D$21,0),0))))</f>
        <v/>
      </c>
      <c r="AA21" s="231">
        <f>IF('Schedule_Inputs'!$C$21="Blueprint",$C21*IF(23-'Schedule_Inputs'!$B$21=0,'Assumptions'!$B$21,IF(23-'Schedule_Inputs'!$B$21=1,'Assumptions'!$C$21,IF(23-'Schedule_Inputs'!$B$21=2,'Assumptions'!$D$21,0))),IF('Schedule_Inputs'!$C$21="Launch",$C21*IF(23-'Schedule_Inputs'!$B$21=0,'Assumptions'!$B$22,IF(23-'Schedule_Inputs'!$B$21=1,'Assumptions'!$C$22,IF(23-'Schedule_Inputs'!$B$21=2,'Assumptions'!$D$22,IF(23-'Schedule_Inputs'!$B$21=3,'Assumptions'!$B$23,0)))),IF('Schedule_Inputs'!$C$21="Office Setup",$C21*IF(23-'Schedule_Inputs'!$B$21=0,'Assumptions'!$B$24,IF(23-'Schedule_Inputs'!$B$21=1,'Assumptions'!$C$24,IF(23-'Schedule_Inputs'!$B$21=2,'Assumptions'!$D$24,0))),IF(OR('Schedule_Inputs'!$C$21="Monthly",'Schedule_Inputs'!$C$21="Periodic"),IF(AND(23&gt;='Schedule_Inputs'!$B$21,MOD(23-'Schedule_Inputs'!$B$21,'Schedule_Inputs'!$E$21)=0,(23-'Schedule_Inputs'!$B$21)/'Schedule_Inputs'!$E$21&lt;'Schedule_Inputs'!$D$21),$C21/'Schedule_Inputs'!$D$21,0),0))))</f>
        <v/>
      </c>
      <c r="AB21" s="231">
        <f>IF('Schedule_Inputs'!$C$21="Blueprint",$C21*IF(24-'Schedule_Inputs'!$B$21=0,'Assumptions'!$B$21,IF(24-'Schedule_Inputs'!$B$21=1,'Assumptions'!$C$21,IF(24-'Schedule_Inputs'!$B$21=2,'Assumptions'!$D$21,0))),IF('Schedule_Inputs'!$C$21="Launch",$C21*IF(24-'Schedule_Inputs'!$B$21=0,'Assumptions'!$B$22,IF(24-'Schedule_Inputs'!$B$21=1,'Assumptions'!$C$22,IF(24-'Schedule_Inputs'!$B$21=2,'Assumptions'!$D$22,IF(24-'Schedule_Inputs'!$B$21=3,'Assumptions'!$B$23,0)))),IF('Schedule_Inputs'!$C$21="Office Setup",$C21*IF(24-'Schedule_Inputs'!$B$21=0,'Assumptions'!$B$24,IF(24-'Schedule_Inputs'!$B$21=1,'Assumptions'!$C$24,IF(24-'Schedule_Inputs'!$B$21=2,'Assumptions'!$D$24,0))),IF(OR('Schedule_Inputs'!$C$21="Monthly",'Schedule_Inputs'!$C$21="Periodic"),IF(AND(24&gt;='Schedule_Inputs'!$B$21,MOD(24-'Schedule_Inputs'!$B$21,'Schedule_Inputs'!$E$21)=0,(24-'Schedule_Inputs'!$B$21)/'Schedule_Inputs'!$E$21&lt;'Schedule_Inputs'!$D$21),$C21/'Schedule_Inputs'!$D$21,0),0))))</f>
        <v/>
      </c>
      <c r="AC21" s="231">
        <f>IF('Schedule_Inputs'!$C$21="Blueprint",$C21*IF(25-'Schedule_Inputs'!$B$21=0,'Assumptions'!$B$21,IF(25-'Schedule_Inputs'!$B$21=1,'Assumptions'!$C$21,IF(25-'Schedule_Inputs'!$B$21=2,'Assumptions'!$D$21,0))),IF('Schedule_Inputs'!$C$21="Launch",$C21*IF(25-'Schedule_Inputs'!$B$21=0,'Assumptions'!$B$22,IF(25-'Schedule_Inputs'!$B$21=1,'Assumptions'!$C$22,IF(25-'Schedule_Inputs'!$B$21=2,'Assumptions'!$D$22,IF(25-'Schedule_Inputs'!$B$21=3,'Assumptions'!$B$23,0)))),IF('Schedule_Inputs'!$C$21="Office Setup",$C21*IF(25-'Schedule_Inputs'!$B$21=0,'Assumptions'!$B$24,IF(25-'Schedule_Inputs'!$B$21=1,'Assumptions'!$C$24,IF(25-'Schedule_Inputs'!$B$21=2,'Assumptions'!$D$24,0))),IF(OR('Schedule_Inputs'!$C$21="Monthly",'Schedule_Inputs'!$C$21="Periodic"),IF(AND(25&gt;='Schedule_Inputs'!$B$21,MOD(25-'Schedule_Inputs'!$B$21,'Schedule_Inputs'!$E$21)=0,(25-'Schedule_Inputs'!$B$21)/'Schedule_Inputs'!$E$21&lt;'Schedule_Inputs'!$D$21),$C21/'Schedule_Inputs'!$D$21,0),0))))</f>
        <v/>
      </c>
      <c r="AD21" s="231">
        <f>IF('Schedule_Inputs'!$C$21="Blueprint",$C21*IF(26-'Schedule_Inputs'!$B$21=0,'Assumptions'!$B$21,IF(26-'Schedule_Inputs'!$B$21=1,'Assumptions'!$C$21,IF(26-'Schedule_Inputs'!$B$21=2,'Assumptions'!$D$21,0))),IF('Schedule_Inputs'!$C$21="Launch",$C21*IF(26-'Schedule_Inputs'!$B$21=0,'Assumptions'!$B$22,IF(26-'Schedule_Inputs'!$B$21=1,'Assumptions'!$C$22,IF(26-'Schedule_Inputs'!$B$21=2,'Assumptions'!$D$22,IF(26-'Schedule_Inputs'!$B$21=3,'Assumptions'!$B$23,0)))),IF('Schedule_Inputs'!$C$21="Office Setup",$C21*IF(26-'Schedule_Inputs'!$B$21=0,'Assumptions'!$B$24,IF(26-'Schedule_Inputs'!$B$21=1,'Assumptions'!$C$24,IF(26-'Schedule_Inputs'!$B$21=2,'Assumptions'!$D$24,0))),IF(OR('Schedule_Inputs'!$C$21="Monthly",'Schedule_Inputs'!$C$21="Periodic"),IF(AND(26&gt;='Schedule_Inputs'!$B$21,MOD(26-'Schedule_Inputs'!$B$21,'Schedule_Inputs'!$E$21)=0,(26-'Schedule_Inputs'!$B$21)/'Schedule_Inputs'!$E$21&lt;'Schedule_Inputs'!$D$21),$C21/'Schedule_Inputs'!$D$21,0),0))))</f>
        <v/>
      </c>
      <c r="AE21" s="231">
        <f>IF('Schedule_Inputs'!$C$21="Blueprint",$C21*IF(27-'Schedule_Inputs'!$B$21=0,'Assumptions'!$B$21,IF(27-'Schedule_Inputs'!$B$21=1,'Assumptions'!$C$21,IF(27-'Schedule_Inputs'!$B$21=2,'Assumptions'!$D$21,0))),IF('Schedule_Inputs'!$C$21="Launch",$C21*IF(27-'Schedule_Inputs'!$B$21=0,'Assumptions'!$B$22,IF(27-'Schedule_Inputs'!$B$21=1,'Assumptions'!$C$22,IF(27-'Schedule_Inputs'!$B$21=2,'Assumptions'!$D$22,IF(27-'Schedule_Inputs'!$B$21=3,'Assumptions'!$B$23,0)))),IF('Schedule_Inputs'!$C$21="Office Setup",$C21*IF(27-'Schedule_Inputs'!$B$21=0,'Assumptions'!$B$24,IF(27-'Schedule_Inputs'!$B$21=1,'Assumptions'!$C$24,IF(27-'Schedule_Inputs'!$B$21=2,'Assumptions'!$D$24,0))),IF(OR('Schedule_Inputs'!$C$21="Monthly",'Schedule_Inputs'!$C$21="Periodic"),IF(AND(27&gt;='Schedule_Inputs'!$B$21,MOD(27-'Schedule_Inputs'!$B$21,'Schedule_Inputs'!$E$21)=0,(27-'Schedule_Inputs'!$B$21)/'Schedule_Inputs'!$E$21&lt;'Schedule_Inputs'!$D$21),$C21/'Schedule_Inputs'!$D$21,0),0))))</f>
        <v/>
      </c>
      <c r="AF21" s="231">
        <f>IF('Schedule_Inputs'!$C$21="Blueprint",$C21*IF(28-'Schedule_Inputs'!$B$21=0,'Assumptions'!$B$21,IF(28-'Schedule_Inputs'!$B$21=1,'Assumptions'!$C$21,IF(28-'Schedule_Inputs'!$B$21=2,'Assumptions'!$D$21,0))),IF('Schedule_Inputs'!$C$21="Launch",$C21*IF(28-'Schedule_Inputs'!$B$21=0,'Assumptions'!$B$22,IF(28-'Schedule_Inputs'!$B$21=1,'Assumptions'!$C$22,IF(28-'Schedule_Inputs'!$B$21=2,'Assumptions'!$D$22,IF(28-'Schedule_Inputs'!$B$21=3,'Assumptions'!$B$23,0)))),IF('Schedule_Inputs'!$C$21="Office Setup",$C21*IF(28-'Schedule_Inputs'!$B$21=0,'Assumptions'!$B$24,IF(28-'Schedule_Inputs'!$B$21=1,'Assumptions'!$C$24,IF(28-'Schedule_Inputs'!$B$21=2,'Assumptions'!$D$24,0))),IF(OR('Schedule_Inputs'!$C$21="Monthly",'Schedule_Inputs'!$C$21="Periodic"),IF(AND(28&gt;='Schedule_Inputs'!$B$21,MOD(28-'Schedule_Inputs'!$B$21,'Schedule_Inputs'!$E$21)=0,(28-'Schedule_Inputs'!$B$21)/'Schedule_Inputs'!$E$21&lt;'Schedule_Inputs'!$D$21),$C21/'Schedule_Inputs'!$D$21,0),0))))</f>
        <v/>
      </c>
      <c r="AG21" s="231">
        <f>IF('Schedule_Inputs'!$C$21="Blueprint",$C21*IF(29-'Schedule_Inputs'!$B$21=0,'Assumptions'!$B$21,IF(29-'Schedule_Inputs'!$B$21=1,'Assumptions'!$C$21,IF(29-'Schedule_Inputs'!$B$21=2,'Assumptions'!$D$21,0))),IF('Schedule_Inputs'!$C$21="Launch",$C21*IF(29-'Schedule_Inputs'!$B$21=0,'Assumptions'!$B$22,IF(29-'Schedule_Inputs'!$B$21=1,'Assumptions'!$C$22,IF(29-'Schedule_Inputs'!$B$21=2,'Assumptions'!$D$22,IF(29-'Schedule_Inputs'!$B$21=3,'Assumptions'!$B$23,0)))),IF('Schedule_Inputs'!$C$21="Office Setup",$C21*IF(29-'Schedule_Inputs'!$B$21=0,'Assumptions'!$B$24,IF(29-'Schedule_Inputs'!$B$21=1,'Assumptions'!$C$24,IF(29-'Schedule_Inputs'!$B$21=2,'Assumptions'!$D$24,0))),IF(OR('Schedule_Inputs'!$C$21="Monthly",'Schedule_Inputs'!$C$21="Periodic"),IF(AND(29&gt;='Schedule_Inputs'!$B$21,MOD(29-'Schedule_Inputs'!$B$21,'Schedule_Inputs'!$E$21)=0,(29-'Schedule_Inputs'!$B$21)/'Schedule_Inputs'!$E$21&lt;'Schedule_Inputs'!$D$21),$C21/'Schedule_Inputs'!$D$21,0),0))))</f>
        <v/>
      </c>
      <c r="AH21" s="231">
        <f>IF('Schedule_Inputs'!$C$21="Blueprint",$C21*IF(30-'Schedule_Inputs'!$B$21=0,'Assumptions'!$B$21,IF(30-'Schedule_Inputs'!$B$21=1,'Assumptions'!$C$21,IF(30-'Schedule_Inputs'!$B$21=2,'Assumptions'!$D$21,0))),IF('Schedule_Inputs'!$C$21="Launch",$C21*IF(30-'Schedule_Inputs'!$B$21=0,'Assumptions'!$B$22,IF(30-'Schedule_Inputs'!$B$21=1,'Assumptions'!$C$22,IF(30-'Schedule_Inputs'!$B$21=2,'Assumptions'!$D$22,IF(30-'Schedule_Inputs'!$B$21=3,'Assumptions'!$B$23,0)))),IF('Schedule_Inputs'!$C$21="Office Setup",$C21*IF(30-'Schedule_Inputs'!$B$21=0,'Assumptions'!$B$24,IF(30-'Schedule_Inputs'!$B$21=1,'Assumptions'!$C$24,IF(30-'Schedule_Inputs'!$B$21=2,'Assumptions'!$D$24,0))),IF(OR('Schedule_Inputs'!$C$21="Monthly",'Schedule_Inputs'!$C$21="Periodic"),IF(AND(30&gt;='Schedule_Inputs'!$B$21,MOD(30-'Schedule_Inputs'!$B$21,'Schedule_Inputs'!$E$21)=0,(30-'Schedule_Inputs'!$B$21)/'Schedule_Inputs'!$E$21&lt;'Schedule_Inputs'!$D$21),$C21/'Schedule_Inputs'!$D$21,0),0))))</f>
        <v/>
      </c>
      <c r="AI21" s="231">
        <f>IF('Schedule_Inputs'!$C$21="Blueprint",$C21*IF(31-'Schedule_Inputs'!$B$21=0,'Assumptions'!$B$21,IF(31-'Schedule_Inputs'!$B$21=1,'Assumptions'!$C$21,IF(31-'Schedule_Inputs'!$B$21=2,'Assumptions'!$D$21,0))),IF('Schedule_Inputs'!$C$21="Launch",$C21*IF(31-'Schedule_Inputs'!$B$21=0,'Assumptions'!$B$22,IF(31-'Schedule_Inputs'!$B$21=1,'Assumptions'!$C$22,IF(31-'Schedule_Inputs'!$B$21=2,'Assumptions'!$D$22,IF(31-'Schedule_Inputs'!$B$21=3,'Assumptions'!$B$23,0)))),IF('Schedule_Inputs'!$C$21="Office Setup",$C21*IF(31-'Schedule_Inputs'!$B$21=0,'Assumptions'!$B$24,IF(31-'Schedule_Inputs'!$B$21=1,'Assumptions'!$C$24,IF(31-'Schedule_Inputs'!$B$21=2,'Assumptions'!$D$24,0))),IF(OR('Schedule_Inputs'!$C$21="Monthly",'Schedule_Inputs'!$C$21="Periodic"),IF(AND(31&gt;='Schedule_Inputs'!$B$21,MOD(31-'Schedule_Inputs'!$B$21,'Schedule_Inputs'!$E$21)=0,(31-'Schedule_Inputs'!$B$21)/'Schedule_Inputs'!$E$21&lt;'Schedule_Inputs'!$D$21),$C21/'Schedule_Inputs'!$D$21,0),0))))</f>
        <v/>
      </c>
      <c r="AJ21" s="231">
        <f>IF('Schedule_Inputs'!$C$21="Blueprint",$C21*IF(32-'Schedule_Inputs'!$B$21=0,'Assumptions'!$B$21,IF(32-'Schedule_Inputs'!$B$21=1,'Assumptions'!$C$21,IF(32-'Schedule_Inputs'!$B$21=2,'Assumptions'!$D$21,0))),IF('Schedule_Inputs'!$C$21="Launch",$C21*IF(32-'Schedule_Inputs'!$B$21=0,'Assumptions'!$B$22,IF(32-'Schedule_Inputs'!$B$21=1,'Assumptions'!$C$22,IF(32-'Schedule_Inputs'!$B$21=2,'Assumptions'!$D$22,IF(32-'Schedule_Inputs'!$B$21=3,'Assumptions'!$B$23,0)))),IF('Schedule_Inputs'!$C$21="Office Setup",$C21*IF(32-'Schedule_Inputs'!$B$21=0,'Assumptions'!$B$24,IF(32-'Schedule_Inputs'!$B$21=1,'Assumptions'!$C$24,IF(32-'Schedule_Inputs'!$B$21=2,'Assumptions'!$D$24,0))),IF(OR('Schedule_Inputs'!$C$21="Monthly",'Schedule_Inputs'!$C$21="Periodic"),IF(AND(32&gt;='Schedule_Inputs'!$B$21,MOD(32-'Schedule_Inputs'!$B$21,'Schedule_Inputs'!$E$21)=0,(32-'Schedule_Inputs'!$B$21)/'Schedule_Inputs'!$E$21&lt;'Schedule_Inputs'!$D$21),$C21/'Schedule_Inputs'!$D$21,0),0))))</f>
        <v/>
      </c>
      <c r="AK21" s="231">
        <f>IF('Schedule_Inputs'!$C$21="Blueprint",$C21*IF(33-'Schedule_Inputs'!$B$21=0,'Assumptions'!$B$21,IF(33-'Schedule_Inputs'!$B$21=1,'Assumptions'!$C$21,IF(33-'Schedule_Inputs'!$B$21=2,'Assumptions'!$D$21,0))),IF('Schedule_Inputs'!$C$21="Launch",$C21*IF(33-'Schedule_Inputs'!$B$21=0,'Assumptions'!$B$22,IF(33-'Schedule_Inputs'!$B$21=1,'Assumptions'!$C$22,IF(33-'Schedule_Inputs'!$B$21=2,'Assumptions'!$D$22,IF(33-'Schedule_Inputs'!$B$21=3,'Assumptions'!$B$23,0)))),IF('Schedule_Inputs'!$C$21="Office Setup",$C21*IF(33-'Schedule_Inputs'!$B$21=0,'Assumptions'!$B$24,IF(33-'Schedule_Inputs'!$B$21=1,'Assumptions'!$C$24,IF(33-'Schedule_Inputs'!$B$21=2,'Assumptions'!$D$24,0))),IF(OR('Schedule_Inputs'!$C$21="Monthly",'Schedule_Inputs'!$C$21="Periodic"),IF(AND(33&gt;='Schedule_Inputs'!$B$21,MOD(33-'Schedule_Inputs'!$B$21,'Schedule_Inputs'!$E$21)=0,(33-'Schedule_Inputs'!$B$21)/'Schedule_Inputs'!$E$21&lt;'Schedule_Inputs'!$D$21),$C21/'Schedule_Inputs'!$D$21,0),0))))</f>
        <v/>
      </c>
      <c r="AL21" s="231">
        <f>IF('Schedule_Inputs'!$C$21="Blueprint",$C21*IF(34-'Schedule_Inputs'!$B$21=0,'Assumptions'!$B$21,IF(34-'Schedule_Inputs'!$B$21=1,'Assumptions'!$C$21,IF(34-'Schedule_Inputs'!$B$21=2,'Assumptions'!$D$21,0))),IF('Schedule_Inputs'!$C$21="Launch",$C21*IF(34-'Schedule_Inputs'!$B$21=0,'Assumptions'!$B$22,IF(34-'Schedule_Inputs'!$B$21=1,'Assumptions'!$C$22,IF(34-'Schedule_Inputs'!$B$21=2,'Assumptions'!$D$22,IF(34-'Schedule_Inputs'!$B$21=3,'Assumptions'!$B$23,0)))),IF('Schedule_Inputs'!$C$21="Office Setup",$C21*IF(34-'Schedule_Inputs'!$B$21=0,'Assumptions'!$B$24,IF(34-'Schedule_Inputs'!$B$21=1,'Assumptions'!$C$24,IF(34-'Schedule_Inputs'!$B$21=2,'Assumptions'!$D$24,0))),IF(OR('Schedule_Inputs'!$C$21="Monthly",'Schedule_Inputs'!$C$21="Periodic"),IF(AND(34&gt;='Schedule_Inputs'!$B$21,MOD(34-'Schedule_Inputs'!$B$21,'Schedule_Inputs'!$E$21)=0,(34-'Schedule_Inputs'!$B$21)/'Schedule_Inputs'!$E$21&lt;'Schedule_Inputs'!$D$21),$C21/'Schedule_Inputs'!$D$21,0),0))))</f>
        <v/>
      </c>
      <c r="AM21" s="231">
        <f>IF('Schedule_Inputs'!$C$21="Blueprint",$C21*IF(35-'Schedule_Inputs'!$B$21=0,'Assumptions'!$B$21,IF(35-'Schedule_Inputs'!$B$21=1,'Assumptions'!$C$21,IF(35-'Schedule_Inputs'!$B$21=2,'Assumptions'!$D$21,0))),IF('Schedule_Inputs'!$C$21="Launch",$C21*IF(35-'Schedule_Inputs'!$B$21=0,'Assumptions'!$B$22,IF(35-'Schedule_Inputs'!$B$21=1,'Assumptions'!$C$22,IF(35-'Schedule_Inputs'!$B$21=2,'Assumptions'!$D$22,IF(35-'Schedule_Inputs'!$B$21=3,'Assumptions'!$B$23,0)))),IF('Schedule_Inputs'!$C$21="Office Setup",$C21*IF(35-'Schedule_Inputs'!$B$21=0,'Assumptions'!$B$24,IF(35-'Schedule_Inputs'!$B$21=1,'Assumptions'!$C$24,IF(35-'Schedule_Inputs'!$B$21=2,'Assumptions'!$D$24,0))),IF(OR('Schedule_Inputs'!$C$21="Monthly",'Schedule_Inputs'!$C$21="Periodic"),IF(AND(35&gt;='Schedule_Inputs'!$B$21,MOD(35-'Schedule_Inputs'!$B$21,'Schedule_Inputs'!$E$21)=0,(35-'Schedule_Inputs'!$B$21)/'Schedule_Inputs'!$E$21&lt;'Schedule_Inputs'!$D$21),$C21/'Schedule_Inputs'!$D$21,0),0))))</f>
        <v/>
      </c>
      <c r="AN21" s="231">
        <f>IF('Schedule_Inputs'!$C$21="Blueprint",$C21*IF(36-'Schedule_Inputs'!$B$21=0,'Assumptions'!$B$21,IF(36-'Schedule_Inputs'!$B$21=1,'Assumptions'!$C$21,IF(36-'Schedule_Inputs'!$B$21=2,'Assumptions'!$D$21,0))),IF('Schedule_Inputs'!$C$21="Launch",$C21*IF(36-'Schedule_Inputs'!$B$21=0,'Assumptions'!$B$22,IF(36-'Schedule_Inputs'!$B$21=1,'Assumptions'!$C$22,IF(36-'Schedule_Inputs'!$B$21=2,'Assumptions'!$D$22,IF(36-'Schedule_Inputs'!$B$21=3,'Assumptions'!$B$23,0)))),IF('Schedule_Inputs'!$C$21="Office Setup",$C21*IF(36-'Schedule_Inputs'!$B$21=0,'Assumptions'!$B$24,IF(36-'Schedule_Inputs'!$B$21=1,'Assumptions'!$C$24,IF(36-'Schedule_Inputs'!$B$21=2,'Assumptions'!$D$24,0))),IF(OR('Schedule_Inputs'!$C$21="Monthly",'Schedule_Inputs'!$C$21="Periodic"),IF(AND(36&gt;='Schedule_Inputs'!$B$21,MOD(36-'Schedule_Inputs'!$B$21,'Schedule_Inputs'!$E$21)=0,(36-'Schedule_Inputs'!$B$21)/'Schedule_Inputs'!$E$21&lt;'Schedule_Inputs'!$D$21),$C21/'Schedule_Inputs'!$D$21,0),0))))</f>
        <v/>
      </c>
    </row>
    <row r="22">
      <c r="A22" s="106" t="inlineStr">
        <is>
          <t>Launch 04</t>
        </is>
      </c>
      <c r="B22" s="106" t="n">
        <v>3</v>
      </c>
      <c r="C22" s="230" t="n">
        <v>55000</v>
      </c>
      <c r="D22" s="231" t="inlineStr">
        <is>
          <t>30 / 30 / 30 / 10</t>
        </is>
      </c>
      <c r="E22" s="231">
        <f>IF('Schedule_Inputs'!$C$22="Blueprint",$C22*IF(1-'Schedule_Inputs'!$B$22=0,'Assumptions'!$B$21,IF(1-'Schedule_Inputs'!$B$22=1,'Assumptions'!$C$21,IF(1-'Schedule_Inputs'!$B$22=2,'Assumptions'!$D$21,0))),IF('Schedule_Inputs'!$C$22="Launch",$C22*IF(1-'Schedule_Inputs'!$B$22=0,'Assumptions'!$B$22,IF(1-'Schedule_Inputs'!$B$22=1,'Assumptions'!$C$22,IF(1-'Schedule_Inputs'!$B$22=2,'Assumptions'!$D$22,IF(1-'Schedule_Inputs'!$B$22=3,'Assumptions'!$B$23,0)))),IF('Schedule_Inputs'!$C$22="Office Setup",$C22*IF(1-'Schedule_Inputs'!$B$22=0,'Assumptions'!$B$24,IF(1-'Schedule_Inputs'!$B$22=1,'Assumptions'!$C$24,IF(1-'Schedule_Inputs'!$B$22=2,'Assumptions'!$D$24,0))),IF(OR('Schedule_Inputs'!$C$22="Monthly",'Schedule_Inputs'!$C$22="Periodic"),IF(AND(1&gt;='Schedule_Inputs'!$B$22,MOD(1-'Schedule_Inputs'!$B$22,'Schedule_Inputs'!$E$22)=0,(1-'Schedule_Inputs'!$B$22)/'Schedule_Inputs'!$E$22&lt;'Schedule_Inputs'!$D$22),$C22/'Schedule_Inputs'!$D$22,0),0))))</f>
        <v/>
      </c>
      <c r="F22" s="231">
        <f>IF('Schedule_Inputs'!$C$22="Blueprint",$C22*IF(2-'Schedule_Inputs'!$B$22=0,'Assumptions'!$B$21,IF(2-'Schedule_Inputs'!$B$22=1,'Assumptions'!$C$21,IF(2-'Schedule_Inputs'!$B$22=2,'Assumptions'!$D$21,0))),IF('Schedule_Inputs'!$C$22="Launch",$C22*IF(2-'Schedule_Inputs'!$B$22=0,'Assumptions'!$B$22,IF(2-'Schedule_Inputs'!$B$22=1,'Assumptions'!$C$22,IF(2-'Schedule_Inputs'!$B$22=2,'Assumptions'!$D$22,IF(2-'Schedule_Inputs'!$B$22=3,'Assumptions'!$B$23,0)))),IF('Schedule_Inputs'!$C$22="Office Setup",$C22*IF(2-'Schedule_Inputs'!$B$22=0,'Assumptions'!$B$24,IF(2-'Schedule_Inputs'!$B$22=1,'Assumptions'!$C$24,IF(2-'Schedule_Inputs'!$B$22=2,'Assumptions'!$D$24,0))),IF(OR('Schedule_Inputs'!$C$22="Monthly",'Schedule_Inputs'!$C$22="Periodic"),IF(AND(2&gt;='Schedule_Inputs'!$B$22,MOD(2-'Schedule_Inputs'!$B$22,'Schedule_Inputs'!$E$22)=0,(2-'Schedule_Inputs'!$B$22)/'Schedule_Inputs'!$E$22&lt;'Schedule_Inputs'!$D$22),$C22/'Schedule_Inputs'!$D$22,0),0))))</f>
        <v/>
      </c>
      <c r="G22" s="231">
        <f>IF('Schedule_Inputs'!$C$22="Blueprint",$C22*IF(3-'Schedule_Inputs'!$B$22=0,'Assumptions'!$B$21,IF(3-'Schedule_Inputs'!$B$22=1,'Assumptions'!$C$21,IF(3-'Schedule_Inputs'!$B$22=2,'Assumptions'!$D$21,0))),IF('Schedule_Inputs'!$C$22="Launch",$C22*IF(3-'Schedule_Inputs'!$B$22=0,'Assumptions'!$B$22,IF(3-'Schedule_Inputs'!$B$22=1,'Assumptions'!$C$22,IF(3-'Schedule_Inputs'!$B$22=2,'Assumptions'!$D$22,IF(3-'Schedule_Inputs'!$B$22=3,'Assumptions'!$B$23,0)))),IF('Schedule_Inputs'!$C$22="Office Setup",$C22*IF(3-'Schedule_Inputs'!$B$22=0,'Assumptions'!$B$24,IF(3-'Schedule_Inputs'!$B$22=1,'Assumptions'!$C$24,IF(3-'Schedule_Inputs'!$B$22=2,'Assumptions'!$D$24,0))),IF(OR('Schedule_Inputs'!$C$22="Monthly",'Schedule_Inputs'!$C$22="Periodic"),IF(AND(3&gt;='Schedule_Inputs'!$B$22,MOD(3-'Schedule_Inputs'!$B$22,'Schedule_Inputs'!$E$22)=0,(3-'Schedule_Inputs'!$B$22)/'Schedule_Inputs'!$E$22&lt;'Schedule_Inputs'!$D$22),$C22/'Schedule_Inputs'!$D$22,0),0))))</f>
        <v/>
      </c>
      <c r="H22" s="231">
        <f>IF('Schedule_Inputs'!$C$22="Blueprint",$C22*IF(4-'Schedule_Inputs'!$B$22=0,'Assumptions'!$B$21,IF(4-'Schedule_Inputs'!$B$22=1,'Assumptions'!$C$21,IF(4-'Schedule_Inputs'!$B$22=2,'Assumptions'!$D$21,0))),IF('Schedule_Inputs'!$C$22="Launch",$C22*IF(4-'Schedule_Inputs'!$B$22=0,'Assumptions'!$B$22,IF(4-'Schedule_Inputs'!$B$22=1,'Assumptions'!$C$22,IF(4-'Schedule_Inputs'!$B$22=2,'Assumptions'!$D$22,IF(4-'Schedule_Inputs'!$B$22=3,'Assumptions'!$B$23,0)))),IF('Schedule_Inputs'!$C$22="Office Setup",$C22*IF(4-'Schedule_Inputs'!$B$22=0,'Assumptions'!$B$24,IF(4-'Schedule_Inputs'!$B$22=1,'Assumptions'!$C$24,IF(4-'Schedule_Inputs'!$B$22=2,'Assumptions'!$D$24,0))),IF(OR('Schedule_Inputs'!$C$22="Monthly",'Schedule_Inputs'!$C$22="Periodic"),IF(AND(4&gt;='Schedule_Inputs'!$B$22,MOD(4-'Schedule_Inputs'!$B$22,'Schedule_Inputs'!$E$22)=0,(4-'Schedule_Inputs'!$B$22)/'Schedule_Inputs'!$E$22&lt;'Schedule_Inputs'!$D$22),$C22/'Schedule_Inputs'!$D$22,0),0))))</f>
        <v/>
      </c>
      <c r="I22" s="231">
        <f>IF('Schedule_Inputs'!$C$22="Blueprint",$C22*IF(5-'Schedule_Inputs'!$B$22=0,'Assumptions'!$B$21,IF(5-'Schedule_Inputs'!$B$22=1,'Assumptions'!$C$21,IF(5-'Schedule_Inputs'!$B$22=2,'Assumptions'!$D$21,0))),IF('Schedule_Inputs'!$C$22="Launch",$C22*IF(5-'Schedule_Inputs'!$B$22=0,'Assumptions'!$B$22,IF(5-'Schedule_Inputs'!$B$22=1,'Assumptions'!$C$22,IF(5-'Schedule_Inputs'!$B$22=2,'Assumptions'!$D$22,IF(5-'Schedule_Inputs'!$B$22=3,'Assumptions'!$B$23,0)))),IF('Schedule_Inputs'!$C$22="Office Setup",$C22*IF(5-'Schedule_Inputs'!$B$22=0,'Assumptions'!$B$24,IF(5-'Schedule_Inputs'!$B$22=1,'Assumptions'!$C$24,IF(5-'Schedule_Inputs'!$B$22=2,'Assumptions'!$D$24,0))),IF(OR('Schedule_Inputs'!$C$22="Monthly",'Schedule_Inputs'!$C$22="Periodic"),IF(AND(5&gt;='Schedule_Inputs'!$B$22,MOD(5-'Schedule_Inputs'!$B$22,'Schedule_Inputs'!$E$22)=0,(5-'Schedule_Inputs'!$B$22)/'Schedule_Inputs'!$E$22&lt;'Schedule_Inputs'!$D$22),$C22/'Schedule_Inputs'!$D$22,0),0))))</f>
        <v/>
      </c>
      <c r="J22" s="231">
        <f>IF('Schedule_Inputs'!$C$22="Blueprint",$C22*IF(6-'Schedule_Inputs'!$B$22=0,'Assumptions'!$B$21,IF(6-'Schedule_Inputs'!$B$22=1,'Assumptions'!$C$21,IF(6-'Schedule_Inputs'!$B$22=2,'Assumptions'!$D$21,0))),IF('Schedule_Inputs'!$C$22="Launch",$C22*IF(6-'Schedule_Inputs'!$B$22=0,'Assumptions'!$B$22,IF(6-'Schedule_Inputs'!$B$22=1,'Assumptions'!$C$22,IF(6-'Schedule_Inputs'!$B$22=2,'Assumptions'!$D$22,IF(6-'Schedule_Inputs'!$B$22=3,'Assumptions'!$B$23,0)))),IF('Schedule_Inputs'!$C$22="Office Setup",$C22*IF(6-'Schedule_Inputs'!$B$22=0,'Assumptions'!$B$24,IF(6-'Schedule_Inputs'!$B$22=1,'Assumptions'!$C$24,IF(6-'Schedule_Inputs'!$B$22=2,'Assumptions'!$D$24,0))),IF(OR('Schedule_Inputs'!$C$22="Monthly",'Schedule_Inputs'!$C$22="Periodic"),IF(AND(6&gt;='Schedule_Inputs'!$B$22,MOD(6-'Schedule_Inputs'!$B$22,'Schedule_Inputs'!$E$22)=0,(6-'Schedule_Inputs'!$B$22)/'Schedule_Inputs'!$E$22&lt;'Schedule_Inputs'!$D$22),$C22/'Schedule_Inputs'!$D$22,0),0))))</f>
        <v/>
      </c>
      <c r="K22" s="231">
        <f>IF('Schedule_Inputs'!$C$22="Blueprint",$C22*IF(7-'Schedule_Inputs'!$B$22=0,'Assumptions'!$B$21,IF(7-'Schedule_Inputs'!$B$22=1,'Assumptions'!$C$21,IF(7-'Schedule_Inputs'!$B$22=2,'Assumptions'!$D$21,0))),IF('Schedule_Inputs'!$C$22="Launch",$C22*IF(7-'Schedule_Inputs'!$B$22=0,'Assumptions'!$B$22,IF(7-'Schedule_Inputs'!$B$22=1,'Assumptions'!$C$22,IF(7-'Schedule_Inputs'!$B$22=2,'Assumptions'!$D$22,IF(7-'Schedule_Inputs'!$B$22=3,'Assumptions'!$B$23,0)))),IF('Schedule_Inputs'!$C$22="Office Setup",$C22*IF(7-'Schedule_Inputs'!$B$22=0,'Assumptions'!$B$24,IF(7-'Schedule_Inputs'!$B$22=1,'Assumptions'!$C$24,IF(7-'Schedule_Inputs'!$B$22=2,'Assumptions'!$D$24,0))),IF(OR('Schedule_Inputs'!$C$22="Monthly",'Schedule_Inputs'!$C$22="Periodic"),IF(AND(7&gt;='Schedule_Inputs'!$B$22,MOD(7-'Schedule_Inputs'!$B$22,'Schedule_Inputs'!$E$22)=0,(7-'Schedule_Inputs'!$B$22)/'Schedule_Inputs'!$E$22&lt;'Schedule_Inputs'!$D$22),$C22/'Schedule_Inputs'!$D$22,0),0))))</f>
        <v/>
      </c>
      <c r="L22" s="231">
        <f>IF('Schedule_Inputs'!$C$22="Blueprint",$C22*IF(8-'Schedule_Inputs'!$B$22=0,'Assumptions'!$B$21,IF(8-'Schedule_Inputs'!$B$22=1,'Assumptions'!$C$21,IF(8-'Schedule_Inputs'!$B$22=2,'Assumptions'!$D$21,0))),IF('Schedule_Inputs'!$C$22="Launch",$C22*IF(8-'Schedule_Inputs'!$B$22=0,'Assumptions'!$B$22,IF(8-'Schedule_Inputs'!$B$22=1,'Assumptions'!$C$22,IF(8-'Schedule_Inputs'!$B$22=2,'Assumptions'!$D$22,IF(8-'Schedule_Inputs'!$B$22=3,'Assumptions'!$B$23,0)))),IF('Schedule_Inputs'!$C$22="Office Setup",$C22*IF(8-'Schedule_Inputs'!$B$22=0,'Assumptions'!$B$24,IF(8-'Schedule_Inputs'!$B$22=1,'Assumptions'!$C$24,IF(8-'Schedule_Inputs'!$B$22=2,'Assumptions'!$D$24,0))),IF(OR('Schedule_Inputs'!$C$22="Monthly",'Schedule_Inputs'!$C$22="Periodic"),IF(AND(8&gt;='Schedule_Inputs'!$B$22,MOD(8-'Schedule_Inputs'!$B$22,'Schedule_Inputs'!$E$22)=0,(8-'Schedule_Inputs'!$B$22)/'Schedule_Inputs'!$E$22&lt;'Schedule_Inputs'!$D$22),$C22/'Schedule_Inputs'!$D$22,0),0))))</f>
        <v/>
      </c>
      <c r="M22" s="231">
        <f>IF('Schedule_Inputs'!$C$22="Blueprint",$C22*IF(9-'Schedule_Inputs'!$B$22=0,'Assumptions'!$B$21,IF(9-'Schedule_Inputs'!$B$22=1,'Assumptions'!$C$21,IF(9-'Schedule_Inputs'!$B$22=2,'Assumptions'!$D$21,0))),IF('Schedule_Inputs'!$C$22="Launch",$C22*IF(9-'Schedule_Inputs'!$B$22=0,'Assumptions'!$B$22,IF(9-'Schedule_Inputs'!$B$22=1,'Assumptions'!$C$22,IF(9-'Schedule_Inputs'!$B$22=2,'Assumptions'!$D$22,IF(9-'Schedule_Inputs'!$B$22=3,'Assumptions'!$B$23,0)))),IF('Schedule_Inputs'!$C$22="Office Setup",$C22*IF(9-'Schedule_Inputs'!$B$22=0,'Assumptions'!$B$24,IF(9-'Schedule_Inputs'!$B$22=1,'Assumptions'!$C$24,IF(9-'Schedule_Inputs'!$B$22=2,'Assumptions'!$D$24,0))),IF(OR('Schedule_Inputs'!$C$22="Monthly",'Schedule_Inputs'!$C$22="Periodic"),IF(AND(9&gt;='Schedule_Inputs'!$B$22,MOD(9-'Schedule_Inputs'!$B$22,'Schedule_Inputs'!$E$22)=0,(9-'Schedule_Inputs'!$B$22)/'Schedule_Inputs'!$E$22&lt;'Schedule_Inputs'!$D$22),$C22/'Schedule_Inputs'!$D$22,0),0))))</f>
        <v/>
      </c>
      <c r="N22" s="231">
        <f>IF('Schedule_Inputs'!$C$22="Blueprint",$C22*IF(10-'Schedule_Inputs'!$B$22=0,'Assumptions'!$B$21,IF(10-'Schedule_Inputs'!$B$22=1,'Assumptions'!$C$21,IF(10-'Schedule_Inputs'!$B$22=2,'Assumptions'!$D$21,0))),IF('Schedule_Inputs'!$C$22="Launch",$C22*IF(10-'Schedule_Inputs'!$B$22=0,'Assumptions'!$B$22,IF(10-'Schedule_Inputs'!$B$22=1,'Assumptions'!$C$22,IF(10-'Schedule_Inputs'!$B$22=2,'Assumptions'!$D$22,IF(10-'Schedule_Inputs'!$B$22=3,'Assumptions'!$B$23,0)))),IF('Schedule_Inputs'!$C$22="Office Setup",$C22*IF(10-'Schedule_Inputs'!$B$22=0,'Assumptions'!$B$24,IF(10-'Schedule_Inputs'!$B$22=1,'Assumptions'!$C$24,IF(10-'Schedule_Inputs'!$B$22=2,'Assumptions'!$D$24,0))),IF(OR('Schedule_Inputs'!$C$22="Monthly",'Schedule_Inputs'!$C$22="Periodic"),IF(AND(10&gt;='Schedule_Inputs'!$B$22,MOD(10-'Schedule_Inputs'!$B$22,'Schedule_Inputs'!$E$22)=0,(10-'Schedule_Inputs'!$B$22)/'Schedule_Inputs'!$E$22&lt;'Schedule_Inputs'!$D$22),$C22/'Schedule_Inputs'!$D$22,0),0))))</f>
        <v/>
      </c>
      <c r="O22" s="231">
        <f>IF('Schedule_Inputs'!$C$22="Blueprint",$C22*IF(11-'Schedule_Inputs'!$B$22=0,'Assumptions'!$B$21,IF(11-'Schedule_Inputs'!$B$22=1,'Assumptions'!$C$21,IF(11-'Schedule_Inputs'!$B$22=2,'Assumptions'!$D$21,0))),IF('Schedule_Inputs'!$C$22="Launch",$C22*IF(11-'Schedule_Inputs'!$B$22=0,'Assumptions'!$B$22,IF(11-'Schedule_Inputs'!$B$22=1,'Assumptions'!$C$22,IF(11-'Schedule_Inputs'!$B$22=2,'Assumptions'!$D$22,IF(11-'Schedule_Inputs'!$B$22=3,'Assumptions'!$B$23,0)))),IF('Schedule_Inputs'!$C$22="Office Setup",$C22*IF(11-'Schedule_Inputs'!$B$22=0,'Assumptions'!$B$24,IF(11-'Schedule_Inputs'!$B$22=1,'Assumptions'!$C$24,IF(11-'Schedule_Inputs'!$B$22=2,'Assumptions'!$D$24,0))),IF(OR('Schedule_Inputs'!$C$22="Monthly",'Schedule_Inputs'!$C$22="Periodic"),IF(AND(11&gt;='Schedule_Inputs'!$B$22,MOD(11-'Schedule_Inputs'!$B$22,'Schedule_Inputs'!$E$22)=0,(11-'Schedule_Inputs'!$B$22)/'Schedule_Inputs'!$E$22&lt;'Schedule_Inputs'!$D$22),$C22/'Schedule_Inputs'!$D$22,0),0))))</f>
        <v/>
      </c>
      <c r="P22" s="231">
        <f>IF('Schedule_Inputs'!$C$22="Blueprint",$C22*IF(12-'Schedule_Inputs'!$B$22=0,'Assumptions'!$B$21,IF(12-'Schedule_Inputs'!$B$22=1,'Assumptions'!$C$21,IF(12-'Schedule_Inputs'!$B$22=2,'Assumptions'!$D$21,0))),IF('Schedule_Inputs'!$C$22="Launch",$C22*IF(12-'Schedule_Inputs'!$B$22=0,'Assumptions'!$B$22,IF(12-'Schedule_Inputs'!$B$22=1,'Assumptions'!$C$22,IF(12-'Schedule_Inputs'!$B$22=2,'Assumptions'!$D$22,IF(12-'Schedule_Inputs'!$B$22=3,'Assumptions'!$B$23,0)))),IF('Schedule_Inputs'!$C$22="Office Setup",$C22*IF(12-'Schedule_Inputs'!$B$22=0,'Assumptions'!$B$24,IF(12-'Schedule_Inputs'!$B$22=1,'Assumptions'!$C$24,IF(12-'Schedule_Inputs'!$B$22=2,'Assumptions'!$D$24,0))),IF(OR('Schedule_Inputs'!$C$22="Monthly",'Schedule_Inputs'!$C$22="Periodic"),IF(AND(12&gt;='Schedule_Inputs'!$B$22,MOD(12-'Schedule_Inputs'!$B$22,'Schedule_Inputs'!$E$22)=0,(12-'Schedule_Inputs'!$B$22)/'Schedule_Inputs'!$E$22&lt;'Schedule_Inputs'!$D$22),$C22/'Schedule_Inputs'!$D$22,0),0))))</f>
        <v/>
      </c>
      <c r="Q22" s="231">
        <f>IF('Schedule_Inputs'!$C$22="Blueprint",$C22*IF(13-'Schedule_Inputs'!$B$22=0,'Assumptions'!$B$21,IF(13-'Schedule_Inputs'!$B$22=1,'Assumptions'!$C$21,IF(13-'Schedule_Inputs'!$B$22=2,'Assumptions'!$D$21,0))),IF('Schedule_Inputs'!$C$22="Launch",$C22*IF(13-'Schedule_Inputs'!$B$22=0,'Assumptions'!$B$22,IF(13-'Schedule_Inputs'!$B$22=1,'Assumptions'!$C$22,IF(13-'Schedule_Inputs'!$B$22=2,'Assumptions'!$D$22,IF(13-'Schedule_Inputs'!$B$22=3,'Assumptions'!$B$23,0)))),IF('Schedule_Inputs'!$C$22="Office Setup",$C22*IF(13-'Schedule_Inputs'!$B$22=0,'Assumptions'!$B$24,IF(13-'Schedule_Inputs'!$B$22=1,'Assumptions'!$C$24,IF(13-'Schedule_Inputs'!$B$22=2,'Assumptions'!$D$24,0))),IF(OR('Schedule_Inputs'!$C$22="Monthly",'Schedule_Inputs'!$C$22="Periodic"),IF(AND(13&gt;='Schedule_Inputs'!$B$22,MOD(13-'Schedule_Inputs'!$B$22,'Schedule_Inputs'!$E$22)=0,(13-'Schedule_Inputs'!$B$22)/'Schedule_Inputs'!$E$22&lt;'Schedule_Inputs'!$D$22),$C22/'Schedule_Inputs'!$D$22,0),0))))</f>
        <v/>
      </c>
      <c r="R22" s="231">
        <f>IF('Schedule_Inputs'!$C$22="Blueprint",$C22*IF(14-'Schedule_Inputs'!$B$22=0,'Assumptions'!$B$21,IF(14-'Schedule_Inputs'!$B$22=1,'Assumptions'!$C$21,IF(14-'Schedule_Inputs'!$B$22=2,'Assumptions'!$D$21,0))),IF('Schedule_Inputs'!$C$22="Launch",$C22*IF(14-'Schedule_Inputs'!$B$22=0,'Assumptions'!$B$22,IF(14-'Schedule_Inputs'!$B$22=1,'Assumptions'!$C$22,IF(14-'Schedule_Inputs'!$B$22=2,'Assumptions'!$D$22,IF(14-'Schedule_Inputs'!$B$22=3,'Assumptions'!$B$23,0)))),IF('Schedule_Inputs'!$C$22="Office Setup",$C22*IF(14-'Schedule_Inputs'!$B$22=0,'Assumptions'!$B$24,IF(14-'Schedule_Inputs'!$B$22=1,'Assumptions'!$C$24,IF(14-'Schedule_Inputs'!$B$22=2,'Assumptions'!$D$24,0))),IF(OR('Schedule_Inputs'!$C$22="Monthly",'Schedule_Inputs'!$C$22="Periodic"),IF(AND(14&gt;='Schedule_Inputs'!$B$22,MOD(14-'Schedule_Inputs'!$B$22,'Schedule_Inputs'!$E$22)=0,(14-'Schedule_Inputs'!$B$22)/'Schedule_Inputs'!$E$22&lt;'Schedule_Inputs'!$D$22),$C22/'Schedule_Inputs'!$D$22,0),0))))</f>
        <v/>
      </c>
      <c r="S22" s="231">
        <f>IF('Schedule_Inputs'!$C$22="Blueprint",$C22*IF(15-'Schedule_Inputs'!$B$22=0,'Assumptions'!$B$21,IF(15-'Schedule_Inputs'!$B$22=1,'Assumptions'!$C$21,IF(15-'Schedule_Inputs'!$B$22=2,'Assumptions'!$D$21,0))),IF('Schedule_Inputs'!$C$22="Launch",$C22*IF(15-'Schedule_Inputs'!$B$22=0,'Assumptions'!$B$22,IF(15-'Schedule_Inputs'!$B$22=1,'Assumptions'!$C$22,IF(15-'Schedule_Inputs'!$B$22=2,'Assumptions'!$D$22,IF(15-'Schedule_Inputs'!$B$22=3,'Assumptions'!$B$23,0)))),IF('Schedule_Inputs'!$C$22="Office Setup",$C22*IF(15-'Schedule_Inputs'!$B$22=0,'Assumptions'!$B$24,IF(15-'Schedule_Inputs'!$B$22=1,'Assumptions'!$C$24,IF(15-'Schedule_Inputs'!$B$22=2,'Assumptions'!$D$24,0))),IF(OR('Schedule_Inputs'!$C$22="Monthly",'Schedule_Inputs'!$C$22="Periodic"),IF(AND(15&gt;='Schedule_Inputs'!$B$22,MOD(15-'Schedule_Inputs'!$B$22,'Schedule_Inputs'!$E$22)=0,(15-'Schedule_Inputs'!$B$22)/'Schedule_Inputs'!$E$22&lt;'Schedule_Inputs'!$D$22),$C22/'Schedule_Inputs'!$D$22,0),0))))</f>
        <v/>
      </c>
      <c r="T22" s="231">
        <f>IF('Schedule_Inputs'!$C$22="Blueprint",$C22*IF(16-'Schedule_Inputs'!$B$22=0,'Assumptions'!$B$21,IF(16-'Schedule_Inputs'!$B$22=1,'Assumptions'!$C$21,IF(16-'Schedule_Inputs'!$B$22=2,'Assumptions'!$D$21,0))),IF('Schedule_Inputs'!$C$22="Launch",$C22*IF(16-'Schedule_Inputs'!$B$22=0,'Assumptions'!$B$22,IF(16-'Schedule_Inputs'!$B$22=1,'Assumptions'!$C$22,IF(16-'Schedule_Inputs'!$B$22=2,'Assumptions'!$D$22,IF(16-'Schedule_Inputs'!$B$22=3,'Assumptions'!$B$23,0)))),IF('Schedule_Inputs'!$C$22="Office Setup",$C22*IF(16-'Schedule_Inputs'!$B$22=0,'Assumptions'!$B$24,IF(16-'Schedule_Inputs'!$B$22=1,'Assumptions'!$C$24,IF(16-'Schedule_Inputs'!$B$22=2,'Assumptions'!$D$24,0))),IF(OR('Schedule_Inputs'!$C$22="Monthly",'Schedule_Inputs'!$C$22="Periodic"),IF(AND(16&gt;='Schedule_Inputs'!$B$22,MOD(16-'Schedule_Inputs'!$B$22,'Schedule_Inputs'!$E$22)=0,(16-'Schedule_Inputs'!$B$22)/'Schedule_Inputs'!$E$22&lt;'Schedule_Inputs'!$D$22),$C22/'Schedule_Inputs'!$D$22,0),0))))</f>
        <v/>
      </c>
      <c r="U22" s="231">
        <f>IF('Schedule_Inputs'!$C$22="Blueprint",$C22*IF(17-'Schedule_Inputs'!$B$22=0,'Assumptions'!$B$21,IF(17-'Schedule_Inputs'!$B$22=1,'Assumptions'!$C$21,IF(17-'Schedule_Inputs'!$B$22=2,'Assumptions'!$D$21,0))),IF('Schedule_Inputs'!$C$22="Launch",$C22*IF(17-'Schedule_Inputs'!$B$22=0,'Assumptions'!$B$22,IF(17-'Schedule_Inputs'!$B$22=1,'Assumptions'!$C$22,IF(17-'Schedule_Inputs'!$B$22=2,'Assumptions'!$D$22,IF(17-'Schedule_Inputs'!$B$22=3,'Assumptions'!$B$23,0)))),IF('Schedule_Inputs'!$C$22="Office Setup",$C22*IF(17-'Schedule_Inputs'!$B$22=0,'Assumptions'!$B$24,IF(17-'Schedule_Inputs'!$B$22=1,'Assumptions'!$C$24,IF(17-'Schedule_Inputs'!$B$22=2,'Assumptions'!$D$24,0))),IF(OR('Schedule_Inputs'!$C$22="Monthly",'Schedule_Inputs'!$C$22="Periodic"),IF(AND(17&gt;='Schedule_Inputs'!$B$22,MOD(17-'Schedule_Inputs'!$B$22,'Schedule_Inputs'!$E$22)=0,(17-'Schedule_Inputs'!$B$22)/'Schedule_Inputs'!$E$22&lt;'Schedule_Inputs'!$D$22),$C22/'Schedule_Inputs'!$D$22,0),0))))</f>
        <v/>
      </c>
      <c r="V22" s="231">
        <f>IF('Schedule_Inputs'!$C$22="Blueprint",$C22*IF(18-'Schedule_Inputs'!$B$22=0,'Assumptions'!$B$21,IF(18-'Schedule_Inputs'!$B$22=1,'Assumptions'!$C$21,IF(18-'Schedule_Inputs'!$B$22=2,'Assumptions'!$D$21,0))),IF('Schedule_Inputs'!$C$22="Launch",$C22*IF(18-'Schedule_Inputs'!$B$22=0,'Assumptions'!$B$22,IF(18-'Schedule_Inputs'!$B$22=1,'Assumptions'!$C$22,IF(18-'Schedule_Inputs'!$B$22=2,'Assumptions'!$D$22,IF(18-'Schedule_Inputs'!$B$22=3,'Assumptions'!$B$23,0)))),IF('Schedule_Inputs'!$C$22="Office Setup",$C22*IF(18-'Schedule_Inputs'!$B$22=0,'Assumptions'!$B$24,IF(18-'Schedule_Inputs'!$B$22=1,'Assumptions'!$C$24,IF(18-'Schedule_Inputs'!$B$22=2,'Assumptions'!$D$24,0))),IF(OR('Schedule_Inputs'!$C$22="Monthly",'Schedule_Inputs'!$C$22="Periodic"),IF(AND(18&gt;='Schedule_Inputs'!$B$22,MOD(18-'Schedule_Inputs'!$B$22,'Schedule_Inputs'!$E$22)=0,(18-'Schedule_Inputs'!$B$22)/'Schedule_Inputs'!$E$22&lt;'Schedule_Inputs'!$D$22),$C22/'Schedule_Inputs'!$D$22,0),0))))</f>
        <v/>
      </c>
      <c r="W22" s="231">
        <f>IF('Schedule_Inputs'!$C$22="Blueprint",$C22*IF(19-'Schedule_Inputs'!$B$22=0,'Assumptions'!$B$21,IF(19-'Schedule_Inputs'!$B$22=1,'Assumptions'!$C$21,IF(19-'Schedule_Inputs'!$B$22=2,'Assumptions'!$D$21,0))),IF('Schedule_Inputs'!$C$22="Launch",$C22*IF(19-'Schedule_Inputs'!$B$22=0,'Assumptions'!$B$22,IF(19-'Schedule_Inputs'!$B$22=1,'Assumptions'!$C$22,IF(19-'Schedule_Inputs'!$B$22=2,'Assumptions'!$D$22,IF(19-'Schedule_Inputs'!$B$22=3,'Assumptions'!$B$23,0)))),IF('Schedule_Inputs'!$C$22="Office Setup",$C22*IF(19-'Schedule_Inputs'!$B$22=0,'Assumptions'!$B$24,IF(19-'Schedule_Inputs'!$B$22=1,'Assumptions'!$C$24,IF(19-'Schedule_Inputs'!$B$22=2,'Assumptions'!$D$24,0))),IF(OR('Schedule_Inputs'!$C$22="Monthly",'Schedule_Inputs'!$C$22="Periodic"),IF(AND(19&gt;='Schedule_Inputs'!$B$22,MOD(19-'Schedule_Inputs'!$B$22,'Schedule_Inputs'!$E$22)=0,(19-'Schedule_Inputs'!$B$22)/'Schedule_Inputs'!$E$22&lt;'Schedule_Inputs'!$D$22),$C22/'Schedule_Inputs'!$D$22,0),0))))</f>
        <v/>
      </c>
      <c r="X22" s="231">
        <f>IF('Schedule_Inputs'!$C$22="Blueprint",$C22*IF(20-'Schedule_Inputs'!$B$22=0,'Assumptions'!$B$21,IF(20-'Schedule_Inputs'!$B$22=1,'Assumptions'!$C$21,IF(20-'Schedule_Inputs'!$B$22=2,'Assumptions'!$D$21,0))),IF('Schedule_Inputs'!$C$22="Launch",$C22*IF(20-'Schedule_Inputs'!$B$22=0,'Assumptions'!$B$22,IF(20-'Schedule_Inputs'!$B$22=1,'Assumptions'!$C$22,IF(20-'Schedule_Inputs'!$B$22=2,'Assumptions'!$D$22,IF(20-'Schedule_Inputs'!$B$22=3,'Assumptions'!$B$23,0)))),IF('Schedule_Inputs'!$C$22="Office Setup",$C22*IF(20-'Schedule_Inputs'!$B$22=0,'Assumptions'!$B$24,IF(20-'Schedule_Inputs'!$B$22=1,'Assumptions'!$C$24,IF(20-'Schedule_Inputs'!$B$22=2,'Assumptions'!$D$24,0))),IF(OR('Schedule_Inputs'!$C$22="Monthly",'Schedule_Inputs'!$C$22="Periodic"),IF(AND(20&gt;='Schedule_Inputs'!$B$22,MOD(20-'Schedule_Inputs'!$B$22,'Schedule_Inputs'!$E$22)=0,(20-'Schedule_Inputs'!$B$22)/'Schedule_Inputs'!$E$22&lt;'Schedule_Inputs'!$D$22),$C22/'Schedule_Inputs'!$D$22,0),0))))</f>
        <v/>
      </c>
      <c r="Y22" s="231">
        <f>IF('Schedule_Inputs'!$C$22="Blueprint",$C22*IF(21-'Schedule_Inputs'!$B$22=0,'Assumptions'!$B$21,IF(21-'Schedule_Inputs'!$B$22=1,'Assumptions'!$C$21,IF(21-'Schedule_Inputs'!$B$22=2,'Assumptions'!$D$21,0))),IF('Schedule_Inputs'!$C$22="Launch",$C22*IF(21-'Schedule_Inputs'!$B$22=0,'Assumptions'!$B$22,IF(21-'Schedule_Inputs'!$B$22=1,'Assumptions'!$C$22,IF(21-'Schedule_Inputs'!$B$22=2,'Assumptions'!$D$22,IF(21-'Schedule_Inputs'!$B$22=3,'Assumptions'!$B$23,0)))),IF('Schedule_Inputs'!$C$22="Office Setup",$C22*IF(21-'Schedule_Inputs'!$B$22=0,'Assumptions'!$B$24,IF(21-'Schedule_Inputs'!$B$22=1,'Assumptions'!$C$24,IF(21-'Schedule_Inputs'!$B$22=2,'Assumptions'!$D$24,0))),IF(OR('Schedule_Inputs'!$C$22="Monthly",'Schedule_Inputs'!$C$22="Periodic"),IF(AND(21&gt;='Schedule_Inputs'!$B$22,MOD(21-'Schedule_Inputs'!$B$22,'Schedule_Inputs'!$E$22)=0,(21-'Schedule_Inputs'!$B$22)/'Schedule_Inputs'!$E$22&lt;'Schedule_Inputs'!$D$22),$C22/'Schedule_Inputs'!$D$22,0),0))))</f>
        <v/>
      </c>
      <c r="Z22" s="231">
        <f>IF('Schedule_Inputs'!$C$22="Blueprint",$C22*IF(22-'Schedule_Inputs'!$B$22=0,'Assumptions'!$B$21,IF(22-'Schedule_Inputs'!$B$22=1,'Assumptions'!$C$21,IF(22-'Schedule_Inputs'!$B$22=2,'Assumptions'!$D$21,0))),IF('Schedule_Inputs'!$C$22="Launch",$C22*IF(22-'Schedule_Inputs'!$B$22=0,'Assumptions'!$B$22,IF(22-'Schedule_Inputs'!$B$22=1,'Assumptions'!$C$22,IF(22-'Schedule_Inputs'!$B$22=2,'Assumptions'!$D$22,IF(22-'Schedule_Inputs'!$B$22=3,'Assumptions'!$B$23,0)))),IF('Schedule_Inputs'!$C$22="Office Setup",$C22*IF(22-'Schedule_Inputs'!$B$22=0,'Assumptions'!$B$24,IF(22-'Schedule_Inputs'!$B$22=1,'Assumptions'!$C$24,IF(22-'Schedule_Inputs'!$B$22=2,'Assumptions'!$D$24,0))),IF(OR('Schedule_Inputs'!$C$22="Monthly",'Schedule_Inputs'!$C$22="Periodic"),IF(AND(22&gt;='Schedule_Inputs'!$B$22,MOD(22-'Schedule_Inputs'!$B$22,'Schedule_Inputs'!$E$22)=0,(22-'Schedule_Inputs'!$B$22)/'Schedule_Inputs'!$E$22&lt;'Schedule_Inputs'!$D$22),$C22/'Schedule_Inputs'!$D$22,0),0))))</f>
        <v/>
      </c>
      <c r="AA22" s="231">
        <f>IF('Schedule_Inputs'!$C$22="Blueprint",$C22*IF(23-'Schedule_Inputs'!$B$22=0,'Assumptions'!$B$21,IF(23-'Schedule_Inputs'!$B$22=1,'Assumptions'!$C$21,IF(23-'Schedule_Inputs'!$B$22=2,'Assumptions'!$D$21,0))),IF('Schedule_Inputs'!$C$22="Launch",$C22*IF(23-'Schedule_Inputs'!$B$22=0,'Assumptions'!$B$22,IF(23-'Schedule_Inputs'!$B$22=1,'Assumptions'!$C$22,IF(23-'Schedule_Inputs'!$B$22=2,'Assumptions'!$D$22,IF(23-'Schedule_Inputs'!$B$22=3,'Assumptions'!$B$23,0)))),IF('Schedule_Inputs'!$C$22="Office Setup",$C22*IF(23-'Schedule_Inputs'!$B$22=0,'Assumptions'!$B$24,IF(23-'Schedule_Inputs'!$B$22=1,'Assumptions'!$C$24,IF(23-'Schedule_Inputs'!$B$22=2,'Assumptions'!$D$24,0))),IF(OR('Schedule_Inputs'!$C$22="Monthly",'Schedule_Inputs'!$C$22="Periodic"),IF(AND(23&gt;='Schedule_Inputs'!$B$22,MOD(23-'Schedule_Inputs'!$B$22,'Schedule_Inputs'!$E$22)=0,(23-'Schedule_Inputs'!$B$22)/'Schedule_Inputs'!$E$22&lt;'Schedule_Inputs'!$D$22),$C22/'Schedule_Inputs'!$D$22,0),0))))</f>
        <v/>
      </c>
      <c r="AB22" s="231">
        <f>IF('Schedule_Inputs'!$C$22="Blueprint",$C22*IF(24-'Schedule_Inputs'!$B$22=0,'Assumptions'!$B$21,IF(24-'Schedule_Inputs'!$B$22=1,'Assumptions'!$C$21,IF(24-'Schedule_Inputs'!$B$22=2,'Assumptions'!$D$21,0))),IF('Schedule_Inputs'!$C$22="Launch",$C22*IF(24-'Schedule_Inputs'!$B$22=0,'Assumptions'!$B$22,IF(24-'Schedule_Inputs'!$B$22=1,'Assumptions'!$C$22,IF(24-'Schedule_Inputs'!$B$22=2,'Assumptions'!$D$22,IF(24-'Schedule_Inputs'!$B$22=3,'Assumptions'!$B$23,0)))),IF('Schedule_Inputs'!$C$22="Office Setup",$C22*IF(24-'Schedule_Inputs'!$B$22=0,'Assumptions'!$B$24,IF(24-'Schedule_Inputs'!$B$22=1,'Assumptions'!$C$24,IF(24-'Schedule_Inputs'!$B$22=2,'Assumptions'!$D$24,0))),IF(OR('Schedule_Inputs'!$C$22="Monthly",'Schedule_Inputs'!$C$22="Periodic"),IF(AND(24&gt;='Schedule_Inputs'!$B$22,MOD(24-'Schedule_Inputs'!$B$22,'Schedule_Inputs'!$E$22)=0,(24-'Schedule_Inputs'!$B$22)/'Schedule_Inputs'!$E$22&lt;'Schedule_Inputs'!$D$22),$C22/'Schedule_Inputs'!$D$22,0),0))))</f>
        <v/>
      </c>
      <c r="AC22" s="231">
        <f>IF('Schedule_Inputs'!$C$22="Blueprint",$C22*IF(25-'Schedule_Inputs'!$B$22=0,'Assumptions'!$B$21,IF(25-'Schedule_Inputs'!$B$22=1,'Assumptions'!$C$21,IF(25-'Schedule_Inputs'!$B$22=2,'Assumptions'!$D$21,0))),IF('Schedule_Inputs'!$C$22="Launch",$C22*IF(25-'Schedule_Inputs'!$B$22=0,'Assumptions'!$B$22,IF(25-'Schedule_Inputs'!$B$22=1,'Assumptions'!$C$22,IF(25-'Schedule_Inputs'!$B$22=2,'Assumptions'!$D$22,IF(25-'Schedule_Inputs'!$B$22=3,'Assumptions'!$B$23,0)))),IF('Schedule_Inputs'!$C$22="Office Setup",$C22*IF(25-'Schedule_Inputs'!$B$22=0,'Assumptions'!$B$24,IF(25-'Schedule_Inputs'!$B$22=1,'Assumptions'!$C$24,IF(25-'Schedule_Inputs'!$B$22=2,'Assumptions'!$D$24,0))),IF(OR('Schedule_Inputs'!$C$22="Monthly",'Schedule_Inputs'!$C$22="Periodic"),IF(AND(25&gt;='Schedule_Inputs'!$B$22,MOD(25-'Schedule_Inputs'!$B$22,'Schedule_Inputs'!$E$22)=0,(25-'Schedule_Inputs'!$B$22)/'Schedule_Inputs'!$E$22&lt;'Schedule_Inputs'!$D$22),$C22/'Schedule_Inputs'!$D$22,0),0))))</f>
        <v/>
      </c>
      <c r="AD22" s="231">
        <f>IF('Schedule_Inputs'!$C$22="Blueprint",$C22*IF(26-'Schedule_Inputs'!$B$22=0,'Assumptions'!$B$21,IF(26-'Schedule_Inputs'!$B$22=1,'Assumptions'!$C$21,IF(26-'Schedule_Inputs'!$B$22=2,'Assumptions'!$D$21,0))),IF('Schedule_Inputs'!$C$22="Launch",$C22*IF(26-'Schedule_Inputs'!$B$22=0,'Assumptions'!$B$22,IF(26-'Schedule_Inputs'!$B$22=1,'Assumptions'!$C$22,IF(26-'Schedule_Inputs'!$B$22=2,'Assumptions'!$D$22,IF(26-'Schedule_Inputs'!$B$22=3,'Assumptions'!$B$23,0)))),IF('Schedule_Inputs'!$C$22="Office Setup",$C22*IF(26-'Schedule_Inputs'!$B$22=0,'Assumptions'!$B$24,IF(26-'Schedule_Inputs'!$B$22=1,'Assumptions'!$C$24,IF(26-'Schedule_Inputs'!$B$22=2,'Assumptions'!$D$24,0))),IF(OR('Schedule_Inputs'!$C$22="Monthly",'Schedule_Inputs'!$C$22="Periodic"),IF(AND(26&gt;='Schedule_Inputs'!$B$22,MOD(26-'Schedule_Inputs'!$B$22,'Schedule_Inputs'!$E$22)=0,(26-'Schedule_Inputs'!$B$22)/'Schedule_Inputs'!$E$22&lt;'Schedule_Inputs'!$D$22),$C22/'Schedule_Inputs'!$D$22,0),0))))</f>
        <v/>
      </c>
      <c r="AE22" s="231">
        <f>IF('Schedule_Inputs'!$C$22="Blueprint",$C22*IF(27-'Schedule_Inputs'!$B$22=0,'Assumptions'!$B$21,IF(27-'Schedule_Inputs'!$B$22=1,'Assumptions'!$C$21,IF(27-'Schedule_Inputs'!$B$22=2,'Assumptions'!$D$21,0))),IF('Schedule_Inputs'!$C$22="Launch",$C22*IF(27-'Schedule_Inputs'!$B$22=0,'Assumptions'!$B$22,IF(27-'Schedule_Inputs'!$B$22=1,'Assumptions'!$C$22,IF(27-'Schedule_Inputs'!$B$22=2,'Assumptions'!$D$22,IF(27-'Schedule_Inputs'!$B$22=3,'Assumptions'!$B$23,0)))),IF('Schedule_Inputs'!$C$22="Office Setup",$C22*IF(27-'Schedule_Inputs'!$B$22=0,'Assumptions'!$B$24,IF(27-'Schedule_Inputs'!$B$22=1,'Assumptions'!$C$24,IF(27-'Schedule_Inputs'!$B$22=2,'Assumptions'!$D$24,0))),IF(OR('Schedule_Inputs'!$C$22="Monthly",'Schedule_Inputs'!$C$22="Periodic"),IF(AND(27&gt;='Schedule_Inputs'!$B$22,MOD(27-'Schedule_Inputs'!$B$22,'Schedule_Inputs'!$E$22)=0,(27-'Schedule_Inputs'!$B$22)/'Schedule_Inputs'!$E$22&lt;'Schedule_Inputs'!$D$22),$C22/'Schedule_Inputs'!$D$22,0),0))))</f>
        <v/>
      </c>
      <c r="AF22" s="231">
        <f>IF('Schedule_Inputs'!$C$22="Blueprint",$C22*IF(28-'Schedule_Inputs'!$B$22=0,'Assumptions'!$B$21,IF(28-'Schedule_Inputs'!$B$22=1,'Assumptions'!$C$21,IF(28-'Schedule_Inputs'!$B$22=2,'Assumptions'!$D$21,0))),IF('Schedule_Inputs'!$C$22="Launch",$C22*IF(28-'Schedule_Inputs'!$B$22=0,'Assumptions'!$B$22,IF(28-'Schedule_Inputs'!$B$22=1,'Assumptions'!$C$22,IF(28-'Schedule_Inputs'!$B$22=2,'Assumptions'!$D$22,IF(28-'Schedule_Inputs'!$B$22=3,'Assumptions'!$B$23,0)))),IF('Schedule_Inputs'!$C$22="Office Setup",$C22*IF(28-'Schedule_Inputs'!$B$22=0,'Assumptions'!$B$24,IF(28-'Schedule_Inputs'!$B$22=1,'Assumptions'!$C$24,IF(28-'Schedule_Inputs'!$B$22=2,'Assumptions'!$D$24,0))),IF(OR('Schedule_Inputs'!$C$22="Monthly",'Schedule_Inputs'!$C$22="Periodic"),IF(AND(28&gt;='Schedule_Inputs'!$B$22,MOD(28-'Schedule_Inputs'!$B$22,'Schedule_Inputs'!$E$22)=0,(28-'Schedule_Inputs'!$B$22)/'Schedule_Inputs'!$E$22&lt;'Schedule_Inputs'!$D$22),$C22/'Schedule_Inputs'!$D$22,0),0))))</f>
        <v/>
      </c>
      <c r="AG22" s="231">
        <f>IF('Schedule_Inputs'!$C$22="Blueprint",$C22*IF(29-'Schedule_Inputs'!$B$22=0,'Assumptions'!$B$21,IF(29-'Schedule_Inputs'!$B$22=1,'Assumptions'!$C$21,IF(29-'Schedule_Inputs'!$B$22=2,'Assumptions'!$D$21,0))),IF('Schedule_Inputs'!$C$22="Launch",$C22*IF(29-'Schedule_Inputs'!$B$22=0,'Assumptions'!$B$22,IF(29-'Schedule_Inputs'!$B$22=1,'Assumptions'!$C$22,IF(29-'Schedule_Inputs'!$B$22=2,'Assumptions'!$D$22,IF(29-'Schedule_Inputs'!$B$22=3,'Assumptions'!$B$23,0)))),IF('Schedule_Inputs'!$C$22="Office Setup",$C22*IF(29-'Schedule_Inputs'!$B$22=0,'Assumptions'!$B$24,IF(29-'Schedule_Inputs'!$B$22=1,'Assumptions'!$C$24,IF(29-'Schedule_Inputs'!$B$22=2,'Assumptions'!$D$24,0))),IF(OR('Schedule_Inputs'!$C$22="Monthly",'Schedule_Inputs'!$C$22="Periodic"),IF(AND(29&gt;='Schedule_Inputs'!$B$22,MOD(29-'Schedule_Inputs'!$B$22,'Schedule_Inputs'!$E$22)=0,(29-'Schedule_Inputs'!$B$22)/'Schedule_Inputs'!$E$22&lt;'Schedule_Inputs'!$D$22),$C22/'Schedule_Inputs'!$D$22,0),0))))</f>
        <v/>
      </c>
      <c r="AH22" s="231">
        <f>IF('Schedule_Inputs'!$C$22="Blueprint",$C22*IF(30-'Schedule_Inputs'!$B$22=0,'Assumptions'!$B$21,IF(30-'Schedule_Inputs'!$B$22=1,'Assumptions'!$C$21,IF(30-'Schedule_Inputs'!$B$22=2,'Assumptions'!$D$21,0))),IF('Schedule_Inputs'!$C$22="Launch",$C22*IF(30-'Schedule_Inputs'!$B$22=0,'Assumptions'!$B$22,IF(30-'Schedule_Inputs'!$B$22=1,'Assumptions'!$C$22,IF(30-'Schedule_Inputs'!$B$22=2,'Assumptions'!$D$22,IF(30-'Schedule_Inputs'!$B$22=3,'Assumptions'!$B$23,0)))),IF('Schedule_Inputs'!$C$22="Office Setup",$C22*IF(30-'Schedule_Inputs'!$B$22=0,'Assumptions'!$B$24,IF(30-'Schedule_Inputs'!$B$22=1,'Assumptions'!$C$24,IF(30-'Schedule_Inputs'!$B$22=2,'Assumptions'!$D$24,0))),IF(OR('Schedule_Inputs'!$C$22="Monthly",'Schedule_Inputs'!$C$22="Periodic"),IF(AND(30&gt;='Schedule_Inputs'!$B$22,MOD(30-'Schedule_Inputs'!$B$22,'Schedule_Inputs'!$E$22)=0,(30-'Schedule_Inputs'!$B$22)/'Schedule_Inputs'!$E$22&lt;'Schedule_Inputs'!$D$22),$C22/'Schedule_Inputs'!$D$22,0),0))))</f>
        <v/>
      </c>
      <c r="AI22" s="231">
        <f>IF('Schedule_Inputs'!$C$22="Blueprint",$C22*IF(31-'Schedule_Inputs'!$B$22=0,'Assumptions'!$B$21,IF(31-'Schedule_Inputs'!$B$22=1,'Assumptions'!$C$21,IF(31-'Schedule_Inputs'!$B$22=2,'Assumptions'!$D$21,0))),IF('Schedule_Inputs'!$C$22="Launch",$C22*IF(31-'Schedule_Inputs'!$B$22=0,'Assumptions'!$B$22,IF(31-'Schedule_Inputs'!$B$22=1,'Assumptions'!$C$22,IF(31-'Schedule_Inputs'!$B$22=2,'Assumptions'!$D$22,IF(31-'Schedule_Inputs'!$B$22=3,'Assumptions'!$B$23,0)))),IF('Schedule_Inputs'!$C$22="Office Setup",$C22*IF(31-'Schedule_Inputs'!$B$22=0,'Assumptions'!$B$24,IF(31-'Schedule_Inputs'!$B$22=1,'Assumptions'!$C$24,IF(31-'Schedule_Inputs'!$B$22=2,'Assumptions'!$D$24,0))),IF(OR('Schedule_Inputs'!$C$22="Monthly",'Schedule_Inputs'!$C$22="Periodic"),IF(AND(31&gt;='Schedule_Inputs'!$B$22,MOD(31-'Schedule_Inputs'!$B$22,'Schedule_Inputs'!$E$22)=0,(31-'Schedule_Inputs'!$B$22)/'Schedule_Inputs'!$E$22&lt;'Schedule_Inputs'!$D$22),$C22/'Schedule_Inputs'!$D$22,0),0))))</f>
        <v/>
      </c>
      <c r="AJ22" s="231">
        <f>IF('Schedule_Inputs'!$C$22="Blueprint",$C22*IF(32-'Schedule_Inputs'!$B$22=0,'Assumptions'!$B$21,IF(32-'Schedule_Inputs'!$B$22=1,'Assumptions'!$C$21,IF(32-'Schedule_Inputs'!$B$22=2,'Assumptions'!$D$21,0))),IF('Schedule_Inputs'!$C$22="Launch",$C22*IF(32-'Schedule_Inputs'!$B$22=0,'Assumptions'!$B$22,IF(32-'Schedule_Inputs'!$B$22=1,'Assumptions'!$C$22,IF(32-'Schedule_Inputs'!$B$22=2,'Assumptions'!$D$22,IF(32-'Schedule_Inputs'!$B$22=3,'Assumptions'!$B$23,0)))),IF('Schedule_Inputs'!$C$22="Office Setup",$C22*IF(32-'Schedule_Inputs'!$B$22=0,'Assumptions'!$B$24,IF(32-'Schedule_Inputs'!$B$22=1,'Assumptions'!$C$24,IF(32-'Schedule_Inputs'!$B$22=2,'Assumptions'!$D$24,0))),IF(OR('Schedule_Inputs'!$C$22="Monthly",'Schedule_Inputs'!$C$22="Periodic"),IF(AND(32&gt;='Schedule_Inputs'!$B$22,MOD(32-'Schedule_Inputs'!$B$22,'Schedule_Inputs'!$E$22)=0,(32-'Schedule_Inputs'!$B$22)/'Schedule_Inputs'!$E$22&lt;'Schedule_Inputs'!$D$22),$C22/'Schedule_Inputs'!$D$22,0),0))))</f>
        <v/>
      </c>
      <c r="AK22" s="231">
        <f>IF('Schedule_Inputs'!$C$22="Blueprint",$C22*IF(33-'Schedule_Inputs'!$B$22=0,'Assumptions'!$B$21,IF(33-'Schedule_Inputs'!$B$22=1,'Assumptions'!$C$21,IF(33-'Schedule_Inputs'!$B$22=2,'Assumptions'!$D$21,0))),IF('Schedule_Inputs'!$C$22="Launch",$C22*IF(33-'Schedule_Inputs'!$B$22=0,'Assumptions'!$B$22,IF(33-'Schedule_Inputs'!$B$22=1,'Assumptions'!$C$22,IF(33-'Schedule_Inputs'!$B$22=2,'Assumptions'!$D$22,IF(33-'Schedule_Inputs'!$B$22=3,'Assumptions'!$B$23,0)))),IF('Schedule_Inputs'!$C$22="Office Setup",$C22*IF(33-'Schedule_Inputs'!$B$22=0,'Assumptions'!$B$24,IF(33-'Schedule_Inputs'!$B$22=1,'Assumptions'!$C$24,IF(33-'Schedule_Inputs'!$B$22=2,'Assumptions'!$D$24,0))),IF(OR('Schedule_Inputs'!$C$22="Monthly",'Schedule_Inputs'!$C$22="Periodic"),IF(AND(33&gt;='Schedule_Inputs'!$B$22,MOD(33-'Schedule_Inputs'!$B$22,'Schedule_Inputs'!$E$22)=0,(33-'Schedule_Inputs'!$B$22)/'Schedule_Inputs'!$E$22&lt;'Schedule_Inputs'!$D$22),$C22/'Schedule_Inputs'!$D$22,0),0))))</f>
        <v/>
      </c>
      <c r="AL22" s="231">
        <f>IF('Schedule_Inputs'!$C$22="Blueprint",$C22*IF(34-'Schedule_Inputs'!$B$22=0,'Assumptions'!$B$21,IF(34-'Schedule_Inputs'!$B$22=1,'Assumptions'!$C$21,IF(34-'Schedule_Inputs'!$B$22=2,'Assumptions'!$D$21,0))),IF('Schedule_Inputs'!$C$22="Launch",$C22*IF(34-'Schedule_Inputs'!$B$22=0,'Assumptions'!$B$22,IF(34-'Schedule_Inputs'!$B$22=1,'Assumptions'!$C$22,IF(34-'Schedule_Inputs'!$B$22=2,'Assumptions'!$D$22,IF(34-'Schedule_Inputs'!$B$22=3,'Assumptions'!$B$23,0)))),IF('Schedule_Inputs'!$C$22="Office Setup",$C22*IF(34-'Schedule_Inputs'!$B$22=0,'Assumptions'!$B$24,IF(34-'Schedule_Inputs'!$B$22=1,'Assumptions'!$C$24,IF(34-'Schedule_Inputs'!$B$22=2,'Assumptions'!$D$24,0))),IF(OR('Schedule_Inputs'!$C$22="Monthly",'Schedule_Inputs'!$C$22="Periodic"),IF(AND(34&gt;='Schedule_Inputs'!$B$22,MOD(34-'Schedule_Inputs'!$B$22,'Schedule_Inputs'!$E$22)=0,(34-'Schedule_Inputs'!$B$22)/'Schedule_Inputs'!$E$22&lt;'Schedule_Inputs'!$D$22),$C22/'Schedule_Inputs'!$D$22,0),0))))</f>
        <v/>
      </c>
      <c r="AM22" s="231">
        <f>IF('Schedule_Inputs'!$C$22="Blueprint",$C22*IF(35-'Schedule_Inputs'!$B$22=0,'Assumptions'!$B$21,IF(35-'Schedule_Inputs'!$B$22=1,'Assumptions'!$C$21,IF(35-'Schedule_Inputs'!$B$22=2,'Assumptions'!$D$21,0))),IF('Schedule_Inputs'!$C$22="Launch",$C22*IF(35-'Schedule_Inputs'!$B$22=0,'Assumptions'!$B$22,IF(35-'Schedule_Inputs'!$B$22=1,'Assumptions'!$C$22,IF(35-'Schedule_Inputs'!$B$22=2,'Assumptions'!$D$22,IF(35-'Schedule_Inputs'!$B$22=3,'Assumptions'!$B$23,0)))),IF('Schedule_Inputs'!$C$22="Office Setup",$C22*IF(35-'Schedule_Inputs'!$B$22=0,'Assumptions'!$B$24,IF(35-'Schedule_Inputs'!$B$22=1,'Assumptions'!$C$24,IF(35-'Schedule_Inputs'!$B$22=2,'Assumptions'!$D$24,0))),IF(OR('Schedule_Inputs'!$C$22="Monthly",'Schedule_Inputs'!$C$22="Periodic"),IF(AND(35&gt;='Schedule_Inputs'!$B$22,MOD(35-'Schedule_Inputs'!$B$22,'Schedule_Inputs'!$E$22)=0,(35-'Schedule_Inputs'!$B$22)/'Schedule_Inputs'!$E$22&lt;'Schedule_Inputs'!$D$22),$C22/'Schedule_Inputs'!$D$22,0),0))))</f>
        <v/>
      </c>
      <c r="AN22" s="231">
        <f>IF('Schedule_Inputs'!$C$22="Blueprint",$C22*IF(36-'Schedule_Inputs'!$B$22=0,'Assumptions'!$B$21,IF(36-'Schedule_Inputs'!$B$22=1,'Assumptions'!$C$21,IF(36-'Schedule_Inputs'!$B$22=2,'Assumptions'!$D$21,0))),IF('Schedule_Inputs'!$C$22="Launch",$C22*IF(36-'Schedule_Inputs'!$B$22=0,'Assumptions'!$B$22,IF(36-'Schedule_Inputs'!$B$22=1,'Assumptions'!$C$22,IF(36-'Schedule_Inputs'!$B$22=2,'Assumptions'!$D$22,IF(36-'Schedule_Inputs'!$B$22=3,'Assumptions'!$B$23,0)))),IF('Schedule_Inputs'!$C$22="Office Setup",$C22*IF(36-'Schedule_Inputs'!$B$22=0,'Assumptions'!$B$24,IF(36-'Schedule_Inputs'!$B$22=1,'Assumptions'!$C$24,IF(36-'Schedule_Inputs'!$B$22=2,'Assumptions'!$D$24,0))),IF(OR('Schedule_Inputs'!$C$22="Monthly",'Schedule_Inputs'!$C$22="Periodic"),IF(AND(36&gt;='Schedule_Inputs'!$B$22,MOD(36-'Schedule_Inputs'!$B$22,'Schedule_Inputs'!$E$22)=0,(36-'Schedule_Inputs'!$B$22)/'Schedule_Inputs'!$E$22&lt;'Schedule_Inputs'!$D$22),$C22/'Schedule_Inputs'!$D$22,0),0))))</f>
        <v/>
      </c>
    </row>
    <row r="23">
      <c r="A23" s="106" t="inlineStr">
        <is>
          <t>Launch 05</t>
        </is>
      </c>
      <c r="B23" s="106" t="n">
        <v>3</v>
      </c>
      <c r="C23" s="230" t="n">
        <v>55000</v>
      </c>
      <c r="D23" s="231" t="inlineStr">
        <is>
          <t>30 / 30 / 30 / 10</t>
        </is>
      </c>
      <c r="E23" s="231">
        <f>IF('Schedule_Inputs'!$C$23="Blueprint",$C23*IF(1-'Schedule_Inputs'!$B$23=0,'Assumptions'!$B$21,IF(1-'Schedule_Inputs'!$B$23=1,'Assumptions'!$C$21,IF(1-'Schedule_Inputs'!$B$23=2,'Assumptions'!$D$21,0))),IF('Schedule_Inputs'!$C$23="Launch",$C23*IF(1-'Schedule_Inputs'!$B$23=0,'Assumptions'!$B$22,IF(1-'Schedule_Inputs'!$B$23=1,'Assumptions'!$C$22,IF(1-'Schedule_Inputs'!$B$23=2,'Assumptions'!$D$22,IF(1-'Schedule_Inputs'!$B$23=3,'Assumptions'!$B$23,0)))),IF('Schedule_Inputs'!$C$23="Office Setup",$C23*IF(1-'Schedule_Inputs'!$B$23=0,'Assumptions'!$B$24,IF(1-'Schedule_Inputs'!$B$23=1,'Assumptions'!$C$24,IF(1-'Schedule_Inputs'!$B$23=2,'Assumptions'!$D$24,0))),IF(OR('Schedule_Inputs'!$C$23="Monthly",'Schedule_Inputs'!$C$23="Periodic"),IF(AND(1&gt;='Schedule_Inputs'!$B$23,MOD(1-'Schedule_Inputs'!$B$23,'Schedule_Inputs'!$E$23)=0,(1-'Schedule_Inputs'!$B$23)/'Schedule_Inputs'!$E$23&lt;'Schedule_Inputs'!$D$23),$C23/'Schedule_Inputs'!$D$23,0),0))))</f>
        <v/>
      </c>
      <c r="F23" s="231">
        <f>IF('Schedule_Inputs'!$C$23="Blueprint",$C23*IF(2-'Schedule_Inputs'!$B$23=0,'Assumptions'!$B$21,IF(2-'Schedule_Inputs'!$B$23=1,'Assumptions'!$C$21,IF(2-'Schedule_Inputs'!$B$23=2,'Assumptions'!$D$21,0))),IF('Schedule_Inputs'!$C$23="Launch",$C23*IF(2-'Schedule_Inputs'!$B$23=0,'Assumptions'!$B$22,IF(2-'Schedule_Inputs'!$B$23=1,'Assumptions'!$C$22,IF(2-'Schedule_Inputs'!$B$23=2,'Assumptions'!$D$22,IF(2-'Schedule_Inputs'!$B$23=3,'Assumptions'!$B$23,0)))),IF('Schedule_Inputs'!$C$23="Office Setup",$C23*IF(2-'Schedule_Inputs'!$B$23=0,'Assumptions'!$B$24,IF(2-'Schedule_Inputs'!$B$23=1,'Assumptions'!$C$24,IF(2-'Schedule_Inputs'!$B$23=2,'Assumptions'!$D$24,0))),IF(OR('Schedule_Inputs'!$C$23="Monthly",'Schedule_Inputs'!$C$23="Periodic"),IF(AND(2&gt;='Schedule_Inputs'!$B$23,MOD(2-'Schedule_Inputs'!$B$23,'Schedule_Inputs'!$E$23)=0,(2-'Schedule_Inputs'!$B$23)/'Schedule_Inputs'!$E$23&lt;'Schedule_Inputs'!$D$23),$C23/'Schedule_Inputs'!$D$23,0),0))))</f>
        <v/>
      </c>
      <c r="G23" s="231">
        <f>IF('Schedule_Inputs'!$C$23="Blueprint",$C23*IF(3-'Schedule_Inputs'!$B$23=0,'Assumptions'!$B$21,IF(3-'Schedule_Inputs'!$B$23=1,'Assumptions'!$C$21,IF(3-'Schedule_Inputs'!$B$23=2,'Assumptions'!$D$21,0))),IF('Schedule_Inputs'!$C$23="Launch",$C23*IF(3-'Schedule_Inputs'!$B$23=0,'Assumptions'!$B$22,IF(3-'Schedule_Inputs'!$B$23=1,'Assumptions'!$C$22,IF(3-'Schedule_Inputs'!$B$23=2,'Assumptions'!$D$22,IF(3-'Schedule_Inputs'!$B$23=3,'Assumptions'!$B$23,0)))),IF('Schedule_Inputs'!$C$23="Office Setup",$C23*IF(3-'Schedule_Inputs'!$B$23=0,'Assumptions'!$B$24,IF(3-'Schedule_Inputs'!$B$23=1,'Assumptions'!$C$24,IF(3-'Schedule_Inputs'!$B$23=2,'Assumptions'!$D$24,0))),IF(OR('Schedule_Inputs'!$C$23="Monthly",'Schedule_Inputs'!$C$23="Periodic"),IF(AND(3&gt;='Schedule_Inputs'!$B$23,MOD(3-'Schedule_Inputs'!$B$23,'Schedule_Inputs'!$E$23)=0,(3-'Schedule_Inputs'!$B$23)/'Schedule_Inputs'!$E$23&lt;'Schedule_Inputs'!$D$23),$C23/'Schedule_Inputs'!$D$23,0),0))))</f>
        <v/>
      </c>
      <c r="H23" s="231">
        <f>IF('Schedule_Inputs'!$C$23="Blueprint",$C23*IF(4-'Schedule_Inputs'!$B$23=0,'Assumptions'!$B$21,IF(4-'Schedule_Inputs'!$B$23=1,'Assumptions'!$C$21,IF(4-'Schedule_Inputs'!$B$23=2,'Assumptions'!$D$21,0))),IF('Schedule_Inputs'!$C$23="Launch",$C23*IF(4-'Schedule_Inputs'!$B$23=0,'Assumptions'!$B$22,IF(4-'Schedule_Inputs'!$B$23=1,'Assumptions'!$C$22,IF(4-'Schedule_Inputs'!$B$23=2,'Assumptions'!$D$22,IF(4-'Schedule_Inputs'!$B$23=3,'Assumptions'!$B$23,0)))),IF('Schedule_Inputs'!$C$23="Office Setup",$C23*IF(4-'Schedule_Inputs'!$B$23=0,'Assumptions'!$B$24,IF(4-'Schedule_Inputs'!$B$23=1,'Assumptions'!$C$24,IF(4-'Schedule_Inputs'!$B$23=2,'Assumptions'!$D$24,0))),IF(OR('Schedule_Inputs'!$C$23="Monthly",'Schedule_Inputs'!$C$23="Periodic"),IF(AND(4&gt;='Schedule_Inputs'!$B$23,MOD(4-'Schedule_Inputs'!$B$23,'Schedule_Inputs'!$E$23)=0,(4-'Schedule_Inputs'!$B$23)/'Schedule_Inputs'!$E$23&lt;'Schedule_Inputs'!$D$23),$C23/'Schedule_Inputs'!$D$23,0),0))))</f>
        <v/>
      </c>
      <c r="I23" s="231">
        <f>IF('Schedule_Inputs'!$C$23="Blueprint",$C23*IF(5-'Schedule_Inputs'!$B$23=0,'Assumptions'!$B$21,IF(5-'Schedule_Inputs'!$B$23=1,'Assumptions'!$C$21,IF(5-'Schedule_Inputs'!$B$23=2,'Assumptions'!$D$21,0))),IF('Schedule_Inputs'!$C$23="Launch",$C23*IF(5-'Schedule_Inputs'!$B$23=0,'Assumptions'!$B$22,IF(5-'Schedule_Inputs'!$B$23=1,'Assumptions'!$C$22,IF(5-'Schedule_Inputs'!$B$23=2,'Assumptions'!$D$22,IF(5-'Schedule_Inputs'!$B$23=3,'Assumptions'!$B$23,0)))),IF('Schedule_Inputs'!$C$23="Office Setup",$C23*IF(5-'Schedule_Inputs'!$B$23=0,'Assumptions'!$B$24,IF(5-'Schedule_Inputs'!$B$23=1,'Assumptions'!$C$24,IF(5-'Schedule_Inputs'!$B$23=2,'Assumptions'!$D$24,0))),IF(OR('Schedule_Inputs'!$C$23="Monthly",'Schedule_Inputs'!$C$23="Periodic"),IF(AND(5&gt;='Schedule_Inputs'!$B$23,MOD(5-'Schedule_Inputs'!$B$23,'Schedule_Inputs'!$E$23)=0,(5-'Schedule_Inputs'!$B$23)/'Schedule_Inputs'!$E$23&lt;'Schedule_Inputs'!$D$23),$C23/'Schedule_Inputs'!$D$23,0),0))))</f>
        <v/>
      </c>
      <c r="J23" s="231">
        <f>IF('Schedule_Inputs'!$C$23="Blueprint",$C23*IF(6-'Schedule_Inputs'!$B$23=0,'Assumptions'!$B$21,IF(6-'Schedule_Inputs'!$B$23=1,'Assumptions'!$C$21,IF(6-'Schedule_Inputs'!$B$23=2,'Assumptions'!$D$21,0))),IF('Schedule_Inputs'!$C$23="Launch",$C23*IF(6-'Schedule_Inputs'!$B$23=0,'Assumptions'!$B$22,IF(6-'Schedule_Inputs'!$B$23=1,'Assumptions'!$C$22,IF(6-'Schedule_Inputs'!$B$23=2,'Assumptions'!$D$22,IF(6-'Schedule_Inputs'!$B$23=3,'Assumptions'!$B$23,0)))),IF('Schedule_Inputs'!$C$23="Office Setup",$C23*IF(6-'Schedule_Inputs'!$B$23=0,'Assumptions'!$B$24,IF(6-'Schedule_Inputs'!$B$23=1,'Assumptions'!$C$24,IF(6-'Schedule_Inputs'!$B$23=2,'Assumptions'!$D$24,0))),IF(OR('Schedule_Inputs'!$C$23="Monthly",'Schedule_Inputs'!$C$23="Periodic"),IF(AND(6&gt;='Schedule_Inputs'!$B$23,MOD(6-'Schedule_Inputs'!$B$23,'Schedule_Inputs'!$E$23)=0,(6-'Schedule_Inputs'!$B$23)/'Schedule_Inputs'!$E$23&lt;'Schedule_Inputs'!$D$23),$C23/'Schedule_Inputs'!$D$23,0),0))))</f>
        <v/>
      </c>
      <c r="K23" s="231">
        <f>IF('Schedule_Inputs'!$C$23="Blueprint",$C23*IF(7-'Schedule_Inputs'!$B$23=0,'Assumptions'!$B$21,IF(7-'Schedule_Inputs'!$B$23=1,'Assumptions'!$C$21,IF(7-'Schedule_Inputs'!$B$23=2,'Assumptions'!$D$21,0))),IF('Schedule_Inputs'!$C$23="Launch",$C23*IF(7-'Schedule_Inputs'!$B$23=0,'Assumptions'!$B$22,IF(7-'Schedule_Inputs'!$B$23=1,'Assumptions'!$C$22,IF(7-'Schedule_Inputs'!$B$23=2,'Assumptions'!$D$22,IF(7-'Schedule_Inputs'!$B$23=3,'Assumptions'!$B$23,0)))),IF('Schedule_Inputs'!$C$23="Office Setup",$C23*IF(7-'Schedule_Inputs'!$B$23=0,'Assumptions'!$B$24,IF(7-'Schedule_Inputs'!$B$23=1,'Assumptions'!$C$24,IF(7-'Schedule_Inputs'!$B$23=2,'Assumptions'!$D$24,0))),IF(OR('Schedule_Inputs'!$C$23="Monthly",'Schedule_Inputs'!$C$23="Periodic"),IF(AND(7&gt;='Schedule_Inputs'!$B$23,MOD(7-'Schedule_Inputs'!$B$23,'Schedule_Inputs'!$E$23)=0,(7-'Schedule_Inputs'!$B$23)/'Schedule_Inputs'!$E$23&lt;'Schedule_Inputs'!$D$23),$C23/'Schedule_Inputs'!$D$23,0),0))))</f>
        <v/>
      </c>
      <c r="L23" s="231">
        <f>IF('Schedule_Inputs'!$C$23="Blueprint",$C23*IF(8-'Schedule_Inputs'!$B$23=0,'Assumptions'!$B$21,IF(8-'Schedule_Inputs'!$B$23=1,'Assumptions'!$C$21,IF(8-'Schedule_Inputs'!$B$23=2,'Assumptions'!$D$21,0))),IF('Schedule_Inputs'!$C$23="Launch",$C23*IF(8-'Schedule_Inputs'!$B$23=0,'Assumptions'!$B$22,IF(8-'Schedule_Inputs'!$B$23=1,'Assumptions'!$C$22,IF(8-'Schedule_Inputs'!$B$23=2,'Assumptions'!$D$22,IF(8-'Schedule_Inputs'!$B$23=3,'Assumptions'!$B$23,0)))),IF('Schedule_Inputs'!$C$23="Office Setup",$C23*IF(8-'Schedule_Inputs'!$B$23=0,'Assumptions'!$B$24,IF(8-'Schedule_Inputs'!$B$23=1,'Assumptions'!$C$24,IF(8-'Schedule_Inputs'!$B$23=2,'Assumptions'!$D$24,0))),IF(OR('Schedule_Inputs'!$C$23="Monthly",'Schedule_Inputs'!$C$23="Periodic"),IF(AND(8&gt;='Schedule_Inputs'!$B$23,MOD(8-'Schedule_Inputs'!$B$23,'Schedule_Inputs'!$E$23)=0,(8-'Schedule_Inputs'!$B$23)/'Schedule_Inputs'!$E$23&lt;'Schedule_Inputs'!$D$23),$C23/'Schedule_Inputs'!$D$23,0),0))))</f>
        <v/>
      </c>
      <c r="M23" s="231">
        <f>IF('Schedule_Inputs'!$C$23="Blueprint",$C23*IF(9-'Schedule_Inputs'!$B$23=0,'Assumptions'!$B$21,IF(9-'Schedule_Inputs'!$B$23=1,'Assumptions'!$C$21,IF(9-'Schedule_Inputs'!$B$23=2,'Assumptions'!$D$21,0))),IF('Schedule_Inputs'!$C$23="Launch",$C23*IF(9-'Schedule_Inputs'!$B$23=0,'Assumptions'!$B$22,IF(9-'Schedule_Inputs'!$B$23=1,'Assumptions'!$C$22,IF(9-'Schedule_Inputs'!$B$23=2,'Assumptions'!$D$22,IF(9-'Schedule_Inputs'!$B$23=3,'Assumptions'!$B$23,0)))),IF('Schedule_Inputs'!$C$23="Office Setup",$C23*IF(9-'Schedule_Inputs'!$B$23=0,'Assumptions'!$B$24,IF(9-'Schedule_Inputs'!$B$23=1,'Assumptions'!$C$24,IF(9-'Schedule_Inputs'!$B$23=2,'Assumptions'!$D$24,0))),IF(OR('Schedule_Inputs'!$C$23="Monthly",'Schedule_Inputs'!$C$23="Periodic"),IF(AND(9&gt;='Schedule_Inputs'!$B$23,MOD(9-'Schedule_Inputs'!$B$23,'Schedule_Inputs'!$E$23)=0,(9-'Schedule_Inputs'!$B$23)/'Schedule_Inputs'!$E$23&lt;'Schedule_Inputs'!$D$23),$C23/'Schedule_Inputs'!$D$23,0),0))))</f>
        <v/>
      </c>
      <c r="N23" s="231">
        <f>IF('Schedule_Inputs'!$C$23="Blueprint",$C23*IF(10-'Schedule_Inputs'!$B$23=0,'Assumptions'!$B$21,IF(10-'Schedule_Inputs'!$B$23=1,'Assumptions'!$C$21,IF(10-'Schedule_Inputs'!$B$23=2,'Assumptions'!$D$21,0))),IF('Schedule_Inputs'!$C$23="Launch",$C23*IF(10-'Schedule_Inputs'!$B$23=0,'Assumptions'!$B$22,IF(10-'Schedule_Inputs'!$B$23=1,'Assumptions'!$C$22,IF(10-'Schedule_Inputs'!$B$23=2,'Assumptions'!$D$22,IF(10-'Schedule_Inputs'!$B$23=3,'Assumptions'!$B$23,0)))),IF('Schedule_Inputs'!$C$23="Office Setup",$C23*IF(10-'Schedule_Inputs'!$B$23=0,'Assumptions'!$B$24,IF(10-'Schedule_Inputs'!$B$23=1,'Assumptions'!$C$24,IF(10-'Schedule_Inputs'!$B$23=2,'Assumptions'!$D$24,0))),IF(OR('Schedule_Inputs'!$C$23="Monthly",'Schedule_Inputs'!$C$23="Periodic"),IF(AND(10&gt;='Schedule_Inputs'!$B$23,MOD(10-'Schedule_Inputs'!$B$23,'Schedule_Inputs'!$E$23)=0,(10-'Schedule_Inputs'!$B$23)/'Schedule_Inputs'!$E$23&lt;'Schedule_Inputs'!$D$23),$C23/'Schedule_Inputs'!$D$23,0),0))))</f>
        <v/>
      </c>
      <c r="O23" s="231">
        <f>IF('Schedule_Inputs'!$C$23="Blueprint",$C23*IF(11-'Schedule_Inputs'!$B$23=0,'Assumptions'!$B$21,IF(11-'Schedule_Inputs'!$B$23=1,'Assumptions'!$C$21,IF(11-'Schedule_Inputs'!$B$23=2,'Assumptions'!$D$21,0))),IF('Schedule_Inputs'!$C$23="Launch",$C23*IF(11-'Schedule_Inputs'!$B$23=0,'Assumptions'!$B$22,IF(11-'Schedule_Inputs'!$B$23=1,'Assumptions'!$C$22,IF(11-'Schedule_Inputs'!$B$23=2,'Assumptions'!$D$22,IF(11-'Schedule_Inputs'!$B$23=3,'Assumptions'!$B$23,0)))),IF('Schedule_Inputs'!$C$23="Office Setup",$C23*IF(11-'Schedule_Inputs'!$B$23=0,'Assumptions'!$B$24,IF(11-'Schedule_Inputs'!$B$23=1,'Assumptions'!$C$24,IF(11-'Schedule_Inputs'!$B$23=2,'Assumptions'!$D$24,0))),IF(OR('Schedule_Inputs'!$C$23="Monthly",'Schedule_Inputs'!$C$23="Periodic"),IF(AND(11&gt;='Schedule_Inputs'!$B$23,MOD(11-'Schedule_Inputs'!$B$23,'Schedule_Inputs'!$E$23)=0,(11-'Schedule_Inputs'!$B$23)/'Schedule_Inputs'!$E$23&lt;'Schedule_Inputs'!$D$23),$C23/'Schedule_Inputs'!$D$23,0),0))))</f>
        <v/>
      </c>
      <c r="P23" s="231">
        <f>IF('Schedule_Inputs'!$C$23="Blueprint",$C23*IF(12-'Schedule_Inputs'!$B$23=0,'Assumptions'!$B$21,IF(12-'Schedule_Inputs'!$B$23=1,'Assumptions'!$C$21,IF(12-'Schedule_Inputs'!$B$23=2,'Assumptions'!$D$21,0))),IF('Schedule_Inputs'!$C$23="Launch",$C23*IF(12-'Schedule_Inputs'!$B$23=0,'Assumptions'!$B$22,IF(12-'Schedule_Inputs'!$B$23=1,'Assumptions'!$C$22,IF(12-'Schedule_Inputs'!$B$23=2,'Assumptions'!$D$22,IF(12-'Schedule_Inputs'!$B$23=3,'Assumptions'!$B$23,0)))),IF('Schedule_Inputs'!$C$23="Office Setup",$C23*IF(12-'Schedule_Inputs'!$B$23=0,'Assumptions'!$B$24,IF(12-'Schedule_Inputs'!$B$23=1,'Assumptions'!$C$24,IF(12-'Schedule_Inputs'!$B$23=2,'Assumptions'!$D$24,0))),IF(OR('Schedule_Inputs'!$C$23="Monthly",'Schedule_Inputs'!$C$23="Periodic"),IF(AND(12&gt;='Schedule_Inputs'!$B$23,MOD(12-'Schedule_Inputs'!$B$23,'Schedule_Inputs'!$E$23)=0,(12-'Schedule_Inputs'!$B$23)/'Schedule_Inputs'!$E$23&lt;'Schedule_Inputs'!$D$23),$C23/'Schedule_Inputs'!$D$23,0),0))))</f>
        <v/>
      </c>
      <c r="Q23" s="231">
        <f>IF('Schedule_Inputs'!$C$23="Blueprint",$C23*IF(13-'Schedule_Inputs'!$B$23=0,'Assumptions'!$B$21,IF(13-'Schedule_Inputs'!$B$23=1,'Assumptions'!$C$21,IF(13-'Schedule_Inputs'!$B$23=2,'Assumptions'!$D$21,0))),IF('Schedule_Inputs'!$C$23="Launch",$C23*IF(13-'Schedule_Inputs'!$B$23=0,'Assumptions'!$B$22,IF(13-'Schedule_Inputs'!$B$23=1,'Assumptions'!$C$22,IF(13-'Schedule_Inputs'!$B$23=2,'Assumptions'!$D$22,IF(13-'Schedule_Inputs'!$B$23=3,'Assumptions'!$B$23,0)))),IF('Schedule_Inputs'!$C$23="Office Setup",$C23*IF(13-'Schedule_Inputs'!$B$23=0,'Assumptions'!$B$24,IF(13-'Schedule_Inputs'!$B$23=1,'Assumptions'!$C$24,IF(13-'Schedule_Inputs'!$B$23=2,'Assumptions'!$D$24,0))),IF(OR('Schedule_Inputs'!$C$23="Monthly",'Schedule_Inputs'!$C$23="Periodic"),IF(AND(13&gt;='Schedule_Inputs'!$B$23,MOD(13-'Schedule_Inputs'!$B$23,'Schedule_Inputs'!$E$23)=0,(13-'Schedule_Inputs'!$B$23)/'Schedule_Inputs'!$E$23&lt;'Schedule_Inputs'!$D$23),$C23/'Schedule_Inputs'!$D$23,0),0))))</f>
        <v/>
      </c>
      <c r="R23" s="231">
        <f>IF('Schedule_Inputs'!$C$23="Blueprint",$C23*IF(14-'Schedule_Inputs'!$B$23=0,'Assumptions'!$B$21,IF(14-'Schedule_Inputs'!$B$23=1,'Assumptions'!$C$21,IF(14-'Schedule_Inputs'!$B$23=2,'Assumptions'!$D$21,0))),IF('Schedule_Inputs'!$C$23="Launch",$C23*IF(14-'Schedule_Inputs'!$B$23=0,'Assumptions'!$B$22,IF(14-'Schedule_Inputs'!$B$23=1,'Assumptions'!$C$22,IF(14-'Schedule_Inputs'!$B$23=2,'Assumptions'!$D$22,IF(14-'Schedule_Inputs'!$B$23=3,'Assumptions'!$B$23,0)))),IF('Schedule_Inputs'!$C$23="Office Setup",$C23*IF(14-'Schedule_Inputs'!$B$23=0,'Assumptions'!$B$24,IF(14-'Schedule_Inputs'!$B$23=1,'Assumptions'!$C$24,IF(14-'Schedule_Inputs'!$B$23=2,'Assumptions'!$D$24,0))),IF(OR('Schedule_Inputs'!$C$23="Monthly",'Schedule_Inputs'!$C$23="Periodic"),IF(AND(14&gt;='Schedule_Inputs'!$B$23,MOD(14-'Schedule_Inputs'!$B$23,'Schedule_Inputs'!$E$23)=0,(14-'Schedule_Inputs'!$B$23)/'Schedule_Inputs'!$E$23&lt;'Schedule_Inputs'!$D$23),$C23/'Schedule_Inputs'!$D$23,0),0))))</f>
        <v/>
      </c>
      <c r="S23" s="231">
        <f>IF('Schedule_Inputs'!$C$23="Blueprint",$C23*IF(15-'Schedule_Inputs'!$B$23=0,'Assumptions'!$B$21,IF(15-'Schedule_Inputs'!$B$23=1,'Assumptions'!$C$21,IF(15-'Schedule_Inputs'!$B$23=2,'Assumptions'!$D$21,0))),IF('Schedule_Inputs'!$C$23="Launch",$C23*IF(15-'Schedule_Inputs'!$B$23=0,'Assumptions'!$B$22,IF(15-'Schedule_Inputs'!$B$23=1,'Assumptions'!$C$22,IF(15-'Schedule_Inputs'!$B$23=2,'Assumptions'!$D$22,IF(15-'Schedule_Inputs'!$B$23=3,'Assumptions'!$B$23,0)))),IF('Schedule_Inputs'!$C$23="Office Setup",$C23*IF(15-'Schedule_Inputs'!$B$23=0,'Assumptions'!$B$24,IF(15-'Schedule_Inputs'!$B$23=1,'Assumptions'!$C$24,IF(15-'Schedule_Inputs'!$B$23=2,'Assumptions'!$D$24,0))),IF(OR('Schedule_Inputs'!$C$23="Monthly",'Schedule_Inputs'!$C$23="Periodic"),IF(AND(15&gt;='Schedule_Inputs'!$B$23,MOD(15-'Schedule_Inputs'!$B$23,'Schedule_Inputs'!$E$23)=0,(15-'Schedule_Inputs'!$B$23)/'Schedule_Inputs'!$E$23&lt;'Schedule_Inputs'!$D$23),$C23/'Schedule_Inputs'!$D$23,0),0))))</f>
        <v/>
      </c>
      <c r="T23" s="231">
        <f>IF('Schedule_Inputs'!$C$23="Blueprint",$C23*IF(16-'Schedule_Inputs'!$B$23=0,'Assumptions'!$B$21,IF(16-'Schedule_Inputs'!$B$23=1,'Assumptions'!$C$21,IF(16-'Schedule_Inputs'!$B$23=2,'Assumptions'!$D$21,0))),IF('Schedule_Inputs'!$C$23="Launch",$C23*IF(16-'Schedule_Inputs'!$B$23=0,'Assumptions'!$B$22,IF(16-'Schedule_Inputs'!$B$23=1,'Assumptions'!$C$22,IF(16-'Schedule_Inputs'!$B$23=2,'Assumptions'!$D$22,IF(16-'Schedule_Inputs'!$B$23=3,'Assumptions'!$B$23,0)))),IF('Schedule_Inputs'!$C$23="Office Setup",$C23*IF(16-'Schedule_Inputs'!$B$23=0,'Assumptions'!$B$24,IF(16-'Schedule_Inputs'!$B$23=1,'Assumptions'!$C$24,IF(16-'Schedule_Inputs'!$B$23=2,'Assumptions'!$D$24,0))),IF(OR('Schedule_Inputs'!$C$23="Monthly",'Schedule_Inputs'!$C$23="Periodic"),IF(AND(16&gt;='Schedule_Inputs'!$B$23,MOD(16-'Schedule_Inputs'!$B$23,'Schedule_Inputs'!$E$23)=0,(16-'Schedule_Inputs'!$B$23)/'Schedule_Inputs'!$E$23&lt;'Schedule_Inputs'!$D$23),$C23/'Schedule_Inputs'!$D$23,0),0))))</f>
        <v/>
      </c>
      <c r="U23" s="231">
        <f>IF('Schedule_Inputs'!$C$23="Blueprint",$C23*IF(17-'Schedule_Inputs'!$B$23=0,'Assumptions'!$B$21,IF(17-'Schedule_Inputs'!$B$23=1,'Assumptions'!$C$21,IF(17-'Schedule_Inputs'!$B$23=2,'Assumptions'!$D$21,0))),IF('Schedule_Inputs'!$C$23="Launch",$C23*IF(17-'Schedule_Inputs'!$B$23=0,'Assumptions'!$B$22,IF(17-'Schedule_Inputs'!$B$23=1,'Assumptions'!$C$22,IF(17-'Schedule_Inputs'!$B$23=2,'Assumptions'!$D$22,IF(17-'Schedule_Inputs'!$B$23=3,'Assumptions'!$B$23,0)))),IF('Schedule_Inputs'!$C$23="Office Setup",$C23*IF(17-'Schedule_Inputs'!$B$23=0,'Assumptions'!$B$24,IF(17-'Schedule_Inputs'!$B$23=1,'Assumptions'!$C$24,IF(17-'Schedule_Inputs'!$B$23=2,'Assumptions'!$D$24,0))),IF(OR('Schedule_Inputs'!$C$23="Monthly",'Schedule_Inputs'!$C$23="Periodic"),IF(AND(17&gt;='Schedule_Inputs'!$B$23,MOD(17-'Schedule_Inputs'!$B$23,'Schedule_Inputs'!$E$23)=0,(17-'Schedule_Inputs'!$B$23)/'Schedule_Inputs'!$E$23&lt;'Schedule_Inputs'!$D$23),$C23/'Schedule_Inputs'!$D$23,0),0))))</f>
        <v/>
      </c>
      <c r="V23" s="231">
        <f>IF('Schedule_Inputs'!$C$23="Blueprint",$C23*IF(18-'Schedule_Inputs'!$B$23=0,'Assumptions'!$B$21,IF(18-'Schedule_Inputs'!$B$23=1,'Assumptions'!$C$21,IF(18-'Schedule_Inputs'!$B$23=2,'Assumptions'!$D$21,0))),IF('Schedule_Inputs'!$C$23="Launch",$C23*IF(18-'Schedule_Inputs'!$B$23=0,'Assumptions'!$B$22,IF(18-'Schedule_Inputs'!$B$23=1,'Assumptions'!$C$22,IF(18-'Schedule_Inputs'!$B$23=2,'Assumptions'!$D$22,IF(18-'Schedule_Inputs'!$B$23=3,'Assumptions'!$B$23,0)))),IF('Schedule_Inputs'!$C$23="Office Setup",$C23*IF(18-'Schedule_Inputs'!$B$23=0,'Assumptions'!$B$24,IF(18-'Schedule_Inputs'!$B$23=1,'Assumptions'!$C$24,IF(18-'Schedule_Inputs'!$B$23=2,'Assumptions'!$D$24,0))),IF(OR('Schedule_Inputs'!$C$23="Monthly",'Schedule_Inputs'!$C$23="Periodic"),IF(AND(18&gt;='Schedule_Inputs'!$B$23,MOD(18-'Schedule_Inputs'!$B$23,'Schedule_Inputs'!$E$23)=0,(18-'Schedule_Inputs'!$B$23)/'Schedule_Inputs'!$E$23&lt;'Schedule_Inputs'!$D$23),$C23/'Schedule_Inputs'!$D$23,0),0))))</f>
        <v/>
      </c>
      <c r="W23" s="231">
        <f>IF('Schedule_Inputs'!$C$23="Blueprint",$C23*IF(19-'Schedule_Inputs'!$B$23=0,'Assumptions'!$B$21,IF(19-'Schedule_Inputs'!$B$23=1,'Assumptions'!$C$21,IF(19-'Schedule_Inputs'!$B$23=2,'Assumptions'!$D$21,0))),IF('Schedule_Inputs'!$C$23="Launch",$C23*IF(19-'Schedule_Inputs'!$B$23=0,'Assumptions'!$B$22,IF(19-'Schedule_Inputs'!$B$23=1,'Assumptions'!$C$22,IF(19-'Schedule_Inputs'!$B$23=2,'Assumptions'!$D$22,IF(19-'Schedule_Inputs'!$B$23=3,'Assumptions'!$B$23,0)))),IF('Schedule_Inputs'!$C$23="Office Setup",$C23*IF(19-'Schedule_Inputs'!$B$23=0,'Assumptions'!$B$24,IF(19-'Schedule_Inputs'!$B$23=1,'Assumptions'!$C$24,IF(19-'Schedule_Inputs'!$B$23=2,'Assumptions'!$D$24,0))),IF(OR('Schedule_Inputs'!$C$23="Monthly",'Schedule_Inputs'!$C$23="Periodic"),IF(AND(19&gt;='Schedule_Inputs'!$B$23,MOD(19-'Schedule_Inputs'!$B$23,'Schedule_Inputs'!$E$23)=0,(19-'Schedule_Inputs'!$B$23)/'Schedule_Inputs'!$E$23&lt;'Schedule_Inputs'!$D$23),$C23/'Schedule_Inputs'!$D$23,0),0))))</f>
        <v/>
      </c>
      <c r="X23" s="231">
        <f>IF('Schedule_Inputs'!$C$23="Blueprint",$C23*IF(20-'Schedule_Inputs'!$B$23=0,'Assumptions'!$B$21,IF(20-'Schedule_Inputs'!$B$23=1,'Assumptions'!$C$21,IF(20-'Schedule_Inputs'!$B$23=2,'Assumptions'!$D$21,0))),IF('Schedule_Inputs'!$C$23="Launch",$C23*IF(20-'Schedule_Inputs'!$B$23=0,'Assumptions'!$B$22,IF(20-'Schedule_Inputs'!$B$23=1,'Assumptions'!$C$22,IF(20-'Schedule_Inputs'!$B$23=2,'Assumptions'!$D$22,IF(20-'Schedule_Inputs'!$B$23=3,'Assumptions'!$B$23,0)))),IF('Schedule_Inputs'!$C$23="Office Setup",$C23*IF(20-'Schedule_Inputs'!$B$23=0,'Assumptions'!$B$24,IF(20-'Schedule_Inputs'!$B$23=1,'Assumptions'!$C$24,IF(20-'Schedule_Inputs'!$B$23=2,'Assumptions'!$D$24,0))),IF(OR('Schedule_Inputs'!$C$23="Monthly",'Schedule_Inputs'!$C$23="Periodic"),IF(AND(20&gt;='Schedule_Inputs'!$B$23,MOD(20-'Schedule_Inputs'!$B$23,'Schedule_Inputs'!$E$23)=0,(20-'Schedule_Inputs'!$B$23)/'Schedule_Inputs'!$E$23&lt;'Schedule_Inputs'!$D$23),$C23/'Schedule_Inputs'!$D$23,0),0))))</f>
        <v/>
      </c>
      <c r="Y23" s="231">
        <f>IF('Schedule_Inputs'!$C$23="Blueprint",$C23*IF(21-'Schedule_Inputs'!$B$23=0,'Assumptions'!$B$21,IF(21-'Schedule_Inputs'!$B$23=1,'Assumptions'!$C$21,IF(21-'Schedule_Inputs'!$B$23=2,'Assumptions'!$D$21,0))),IF('Schedule_Inputs'!$C$23="Launch",$C23*IF(21-'Schedule_Inputs'!$B$23=0,'Assumptions'!$B$22,IF(21-'Schedule_Inputs'!$B$23=1,'Assumptions'!$C$22,IF(21-'Schedule_Inputs'!$B$23=2,'Assumptions'!$D$22,IF(21-'Schedule_Inputs'!$B$23=3,'Assumptions'!$B$23,0)))),IF('Schedule_Inputs'!$C$23="Office Setup",$C23*IF(21-'Schedule_Inputs'!$B$23=0,'Assumptions'!$B$24,IF(21-'Schedule_Inputs'!$B$23=1,'Assumptions'!$C$24,IF(21-'Schedule_Inputs'!$B$23=2,'Assumptions'!$D$24,0))),IF(OR('Schedule_Inputs'!$C$23="Monthly",'Schedule_Inputs'!$C$23="Periodic"),IF(AND(21&gt;='Schedule_Inputs'!$B$23,MOD(21-'Schedule_Inputs'!$B$23,'Schedule_Inputs'!$E$23)=0,(21-'Schedule_Inputs'!$B$23)/'Schedule_Inputs'!$E$23&lt;'Schedule_Inputs'!$D$23),$C23/'Schedule_Inputs'!$D$23,0),0))))</f>
        <v/>
      </c>
      <c r="Z23" s="231">
        <f>IF('Schedule_Inputs'!$C$23="Blueprint",$C23*IF(22-'Schedule_Inputs'!$B$23=0,'Assumptions'!$B$21,IF(22-'Schedule_Inputs'!$B$23=1,'Assumptions'!$C$21,IF(22-'Schedule_Inputs'!$B$23=2,'Assumptions'!$D$21,0))),IF('Schedule_Inputs'!$C$23="Launch",$C23*IF(22-'Schedule_Inputs'!$B$23=0,'Assumptions'!$B$22,IF(22-'Schedule_Inputs'!$B$23=1,'Assumptions'!$C$22,IF(22-'Schedule_Inputs'!$B$23=2,'Assumptions'!$D$22,IF(22-'Schedule_Inputs'!$B$23=3,'Assumptions'!$B$23,0)))),IF('Schedule_Inputs'!$C$23="Office Setup",$C23*IF(22-'Schedule_Inputs'!$B$23=0,'Assumptions'!$B$24,IF(22-'Schedule_Inputs'!$B$23=1,'Assumptions'!$C$24,IF(22-'Schedule_Inputs'!$B$23=2,'Assumptions'!$D$24,0))),IF(OR('Schedule_Inputs'!$C$23="Monthly",'Schedule_Inputs'!$C$23="Periodic"),IF(AND(22&gt;='Schedule_Inputs'!$B$23,MOD(22-'Schedule_Inputs'!$B$23,'Schedule_Inputs'!$E$23)=0,(22-'Schedule_Inputs'!$B$23)/'Schedule_Inputs'!$E$23&lt;'Schedule_Inputs'!$D$23),$C23/'Schedule_Inputs'!$D$23,0),0))))</f>
        <v/>
      </c>
      <c r="AA23" s="231">
        <f>IF('Schedule_Inputs'!$C$23="Blueprint",$C23*IF(23-'Schedule_Inputs'!$B$23=0,'Assumptions'!$B$21,IF(23-'Schedule_Inputs'!$B$23=1,'Assumptions'!$C$21,IF(23-'Schedule_Inputs'!$B$23=2,'Assumptions'!$D$21,0))),IF('Schedule_Inputs'!$C$23="Launch",$C23*IF(23-'Schedule_Inputs'!$B$23=0,'Assumptions'!$B$22,IF(23-'Schedule_Inputs'!$B$23=1,'Assumptions'!$C$22,IF(23-'Schedule_Inputs'!$B$23=2,'Assumptions'!$D$22,IF(23-'Schedule_Inputs'!$B$23=3,'Assumptions'!$B$23,0)))),IF('Schedule_Inputs'!$C$23="Office Setup",$C23*IF(23-'Schedule_Inputs'!$B$23=0,'Assumptions'!$B$24,IF(23-'Schedule_Inputs'!$B$23=1,'Assumptions'!$C$24,IF(23-'Schedule_Inputs'!$B$23=2,'Assumptions'!$D$24,0))),IF(OR('Schedule_Inputs'!$C$23="Monthly",'Schedule_Inputs'!$C$23="Periodic"),IF(AND(23&gt;='Schedule_Inputs'!$B$23,MOD(23-'Schedule_Inputs'!$B$23,'Schedule_Inputs'!$E$23)=0,(23-'Schedule_Inputs'!$B$23)/'Schedule_Inputs'!$E$23&lt;'Schedule_Inputs'!$D$23),$C23/'Schedule_Inputs'!$D$23,0),0))))</f>
        <v/>
      </c>
      <c r="AB23" s="231">
        <f>IF('Schedule_Inputs'!$C$23="Blueprint",$C23*IF(24-'Schedule_Inputs'!$B$23=0,'Assumptions'!$B$21,IF(24-'Schedule_Inputs'!$B$23=1,'Assumptions'!$C$21,IF(24-'Schedule_Inputs'!$B$23=2,'Assumptions'!$D$21,0))),IF('Schedule_Inputs'!$C$23="Launch",$C23*IF(24-'Schedule_Inputs'!$B$23=0,'Assumptions'!$B$22,IF(24-'Schedule_Inputs'!$B$23=1,'Assumptions'!$C$22,IF(24-'Schedule_Inputs'!$B$23=2,'Assumptions'!$D$22,IF(24-'Schedule_Inputs'!$B$23=3,'Assumptions'!$B$23,0)))),IF('Schedule_Inputs'!$C$23="Office Setup",$C23*IF(24-'Schedule_Inputs'!$B$23=0,'Assumptions'!$B$24,IF(24-'Schedule_Inputs'!$B$23=1,'Assumptions'!$C$24,IF(24-'Schedule_Inputs'!$B$23=2,'Assumptions'!$D$24,0))),IF(OR('Schedule_Inputs'!$C$23="Monthly",'Schedule_Inputs'!$C$23="Periodic"),IF(AND(24&gt;='Schedule_Inputs'!$B$23,MOD(24-'Schedule_Inputs'!$B$23,'Schedule_Inputs'!$E$23)=0,(24-'Schedule_Inputs'!$B$23)/'Schedule_Inputs'!$E$23&lt;'Schedule_Inputs'!$D$23),$C23/'Schedule_Inputs'!$D$23,0),0))))</f>
        <v/>
      </c>
      <c r="AC23" s="231">
        <f>IF('Schedule_Inputs'!$C$23="Blueprint",$C23*IF(25-'Schedule_Inputs'!$B$23=0,'Assumptions'!$B$21,IF(25-'Schedule_Inputs'!$B$23=1,'Assumptions'!$C$21,IF(25-'Schedule_Inputs'!$B$23=2,'Assumptions'!$D$21,0))),IF('Schedule_Inputs'!$C$23="Launch",$C23*IF(25-'Schedule_Inputs'!$B$23=0,'Assumptions'!$B$22,IF(25-'Schedule_Inputs'!$B$23=1,'Assumptions'!$C$22,IF(25-'Schedule_Inputs'!$B$23=2,'Assumptions'!$D$22,IF(25-'Schedule_Inputs'!$B$23=3,'Assumptions'!$B$23,0)))),IF('Schedule_Inputs'!$C$23="Office Setup",$C23*IF(25-'Schedule_Inputs'!$B$23=0,'Assumptions'!$B$24,IF(25-'Schedule_Inputs'!$B$23=1,'Assumptions'!$C$24,IF(25-'Schedule_Inputs'!$B$23=2,'Assumptions'!$D$24,0))),IF(OR('Schedule_Inputs'!$C$23="Monthly",'Schedule_Inputs'!$C$23="Periodic"),IF(AND(25&gt;='Schedule_Inputs'!$B$23,MOD(25-'Schedule_Inputs'!$B$23,'Schedule_Inputs'!$E$23)=0,(25-'Schedule_Inputs'!$B$23)/'Schedule_Inputs'!$E$23&lt;'Schedule_Inputs'!$D$23),$C23/'Schedule_Inputs'!$D$23,0),0))))</f>
        <v/>
      </c>
      <c r="AD23" s="231">
        <f>IF('Schedule_Inputs'!$C$23="Blueprint",$C23*IF(26-'Schedule_Inputs'!$B$23=0,'Assumptions'!$B$21,IF(26-'Schedule_Inputs'!$B$23=1,'Assumptions'!$C$21,IF(26-'Schedule_Inputs'!$B$23=2,'Assumptions'!$D$21,0))),IF('Schedule_Inputs'!$C$23="Launch",$C23*IF(26-'Schedule_Inputs'!$B$23=0,'Assumptions'!$B$22,IF(26-'Schedule_Inputs'!$B$23=1,'Assumptions'!$C$22,IF(26-'Schedule_Inputs'!$B$23=2,'Assumptions'!$D$22,IF(26-'Schedule_Inputs'!$B$23=3,'Assumptions'!$B$23,0)))),IF('Schedule_Inputs'!$C$23="Office Setup",$C23*IF(26-'Schedule_Inputs'!$B$23=0,'Assumptions'!$B$24,IF(26-'Schedule_Inputs'!$B$23=1,'Assumptions'!$C$24,IF(26-'Schedule_Inputs'!$B$23=2,'Assumptions'!$D$24,0))),IF(OR('Schedule_Inputs'!$C$23="Monthly",'Schedule_Inputs'!$C$23="Periodic"),IF(AND(26&gt;='Schedule_Inputs'!$B$23,MOD(26-'Schedule_Inputs'!$B$23,'Schedule_Inputs'!$E$23)=0,(26-'Schedule_Inputs'!$B$23)/'Schedule_Inputs'!$E$23&lt;'Schedule_Inputs'!$D$23),$C23/'Schedule_Inputs'!$D$23,0),0))))</f>
        <v/>
      </c>
      <c r="AE23" s="231">
        <f>IF('Schedule_Inputs'!$C$23="Blueprint",$C23*IF(27-'Schedule_Inputs'!$B$23=0,'Assumptions'!$B$21,IF(27-'Schedule_Inputs'!$B$23=1,'Assumptions'!$C$21,IF(27-'Schedule_Inputs'!$B$23=2,'Assumptions'!$D$21,0))),IF('Schedule_Inputs'!$C$23="Launch",$C23*IF(27-'Schedule_Inputs'!$B$23=0,'Assumptions'!$B$22,IF(27-'Schedule_Inputs'!$B$23=1,'Assumptions'!$C$22,IF(27-'Schedule_Inputs'!$B$23=2,'Assumptions'!$D$22,IF(27-'Schedule_Inputs'!$B$23=3,'Assumptions'!$B$23,0)))),IF('Schedule_Inputs'!$C$23="Office Setup",$C23*IF(27-'Schedule_Inputs'!$B$23=0,'Assumptions'!$B$24,IF(27-'Schedule_Inputs'!$B$23=1,'Assumptions'!$C$24,IF(27-'Schedule_Inputs'!$B$23=2,'Assumptions'!$D$24,0))),IF(OR('Schedule_Inputs'!$C$23="Monthly",'Schedule_Inputs'!$C$23="Periodic"),IF(AND(27&gt;='Schedule_Inputs'!$B$23,MOD(27-'Schedule_Inputs'!$B$23,'Schedule_Inputs'!$E$23)=0,(27-'Schedule_Inputs'!$B$23)/'Schedule_Inputs'!$E$23&lt;'Schedule_Inputs'!$D$23),$C23/'Schedule_Inputs'!$D$23,0),0))))</f>
        <v/>
      </c>
      <c r="AF23" s="231">
        <f>IF('Schedule_Inputs'!$C$23="Blueprint",$C23*IF(28-'Schedule_Inputs'!$B$23=0,'Assumptions'!$B$21,IF(28-'Schedule_Inputs'!$B$23=1,'Assumptions'!$C$21,IF(28-'Schedule_Inputs'!$B$23=2,'Assumptions'!$D$21,0))),IF('Schedule_Inputs'!$C$23="Launch",$C23*IF(28-'Schedule_Inputs'!$B$23=0,'Assumptions'!$B$22,IF(28-'Schedule_Inputs'!$B$23=1,'Assumptions'!$C$22,IF(28-'Schedule_Inputs'!$B$23=2,'Assumptions'!$D$22,IF(28-'Schedule_Inputs'!$B$23=3,'Assumptions'!$B$23,0)))),IF('Schedule_Inputs'!$C$23="Office Setup",$C23*IF(28-'Schedule_Inputs'!$B$23=0,'Assumptions'!$B$24,IF(28-'Schedule_Inputs'!$B$23=1,'Assumptions'!$C$24,IF(28-'Schedule_Inputs'!$B$23=2,'Assumptions'!$D$24,0))),IF(OR('Schedule_Inputs'!$C$23="Monthly",'Schedule_Inputs'!$C$23="Periodic"),IF(AND(28&gt;='Schedule_Inputs'!$B$23,MOD(28-'Schedule_Inputs'!$B$23,'Schedule_Inputs'!$E$23)=0,(28-'Schedule_Inputs'!$B$23)/'Schedule_Inputs'!$E$23&lt;'Schedule_Inputs'!$D$23),$C23/'Schedule_Inputs'!$D$23,0),0))))</f>
        <v/>
      </c>
      <c r="AG23" s="231">
        <f>IF('Schedule_Inputs'!$C$23="Blueprint",$C23*IF(29-'Schedule_Inputs'!$B$23=0,'Assumptions'!$B$21,IF(29-'Schedule_Inputs'!$B$23=1,'Assumptions'!$C$21,IF(29-'Schedule_Inputs'!$B$23=2,'Assumptions'!$D$21,0))),IF('Schedule_Inputs'!$C$23="Launch",$C23*IF(29-'Schedule_Inputs'!$B$23=0,'Assumptions'!$B$22,IF(29-'Schedule_Inputs'!$B$23=1,'Assumptions'!$C$22,IF(29-'Schedule_Inputs'!$B$23=2,'Assumptions'!$D$22,IF(29-'Schedule_Inputs'!$B$23=3,'Assumptions'!$B$23,0)))),IF('Schedule_Inputs'!$C$23="Office Setup",$C23*IF(29-'Schedule_Inputs'!$B$23=0,'Assumptions'!$B$24,IF(29-'Schedule_Inputs'!$B$23=1,'Assumptions'!$C$24,IF(29-'Schedule_Inputs'!$B$23=2,'Assumptions'!$D$24,0))),IF(OR('Schedule_Inputs'!$C$23="Monthly",'Schedule_Inputs'!$C$23="Periodic"),IF(AND(29&gt;='Schedule_Inputs'!$B$23,MOD(29-'Schedule_Inputs'!$B$23,'Schedule_Inputs'!$E$23)=0,(29-'Schedule_Inputs'!$B$23)/'Schedule_Inputs'!$E$23&lt;'Schedule_Inputs'!$D$23),$C23/'Schedule_Inputs'!$D$23,0),0))))</f>
        <v/>
      </c>
      <c r="AH23" s="231">
        <f>IF('Schedule_Inputs'!$C$23="Blueprint",$C23*IF(30-'Schedule_Inputs'!$B$23=0,'Assumptions'!$B$21,IF(30-'Schedule_Inputs'!$B$23=1,'Assumptions'!$C$21,IF(30-'Schedule_Inputs'!$B$23=2,'Assumptions'!$D$21,0))),IF('Schedule_Inputs'!$C$23="Launch",$C23*IF(30-'Schedule_Inputs'!$B$23=0,'Assumptions'!$B$22,IF(30-'Schedule_Inputs'!$B$23=1,'Assumptions'!$C$22,IF(30-'Schedule_Inputs'!$B$23=2,'Assumptions'!$D$22,IF(30-'Schedule_Inputs'!$B$23=3,'Assumptions'!$B$23,0)))),IF('Schedule_Inputs'!$C$23="Office Setup",$C23*IF(30-'Schedule_Inputs'!$B$23=0,'Assumptions'!$B$24,IF(30-'Schedule_Inputs'!$B$23=1,'Assumptions'!$C$24,IF(30-'Schedule_Inputs'!$B$23=2,'Assumptions'!$D$24,0))),IF(OR('Schedule_Inputs'!$C$23="Monthly",'Schedule_Inputs'!$C$23="Periodic"),IF(AND(30&gt;='Schedule_Inputs'!$B$23,MOD(30-'Schedule_Inputs'!$B$23,'Schedule_Inputs'!$E$23)=0,(30-'Schedule_Inputs'!$B$23)/'Schedule_Inputs'!$E$23&lt;'Schedule_Inputs'!$D$23),$C23/'Schedule_Inputs'!$D$23,0),0))))</f>
        <v/>
      </c>
      <c r="AI23" s="231">
        <f>IF('Schedule_Inputs'!$C$23="Blueprint",$C23*IF(31-'Schedule_Inputs'!$B$23=0,'Assumptions'!$B$21,IF(31-'Schedule_Inputs'!$B$23=1,'Assumptions'!$C$21,IF(31-'Schedule_Inputs'!$B$23=2,'Assumptions'!$D$21,0))),IF('Schedule_Inputs'!$C$23="Launch",$C23*IF(31-'Schedule_Inputs'!$B$23=0,'Assumptions'!$B$22,IF(31-'Schedule_Inputs'!$B$23=1,'Assumptions'!$C$22,IF(31-'Schedule_Inputs'!$B$23=2,'Assumptions'!$D$22,IF(31-'Schedule_Inputs'!$B$23=3,'Assumptions'!$B$23,0)))),IF('Schedule_Inputs'!$C$23="Office Setup",$C23*IF(31-'Schedule_Inputs'!$B$23=0,'Assumptions'!$B$24,IF(31-'Schedule_Inputs'!$B$23=1,'Assumptions'!$C$24,IF(31-'Schedule_Inputs'!$B$23=2,'Assumptions'!$D$24,0))),IF(OR('Schedule_Inputs'!$C$23="Monthly",'Schedule_Inputs'!$C$23="Periodic"),IF(AND(31&gt;='Schedule_Inputs'!$B$23,MOD(31-'Schedule_Inputs'!$B$23,'Schedule_Inputs'!$E$23)=0,(31-'Schedule_Inputs'!$B$23)/'Schedule_Inputs'!$E$23&lt;'Schedule_Inputs'!$D$23),$C23/'Schedule_Inputs'!$D$23,0),0))))</f>
        <v/>
      </c>
      <c r="AJ23" s="231">
        <f>IF('Schedule_Inputs'!$C$23="Blueprint",$C23*IF(32-'Schedule_Inputs'!$B$23=0,'Assumptions'!$B$21,IF(32-'Schedule_Inputs'!$B$23=1,'Assumptions'!$C$21,IF(32-'Schedule_Inputs'!$B$23=2,'Assumptions'!$D$21,0))),IF('Schedule_Inputs'!$C$23="Launch",$C23*IF(32-'Schedule_Inputs'!$B$23=0,'Assumptions'!$B$22,IF(32-'Schedule_Inputs'!$B$23=1,'Assumptions'!$C$22,IF(32-'Schedule_Inputs'!$B$23=2,'Assumptions'!$D$22,IF(32-'Schedule_Inputs'!$B$23=3,'Assumptions'!$B$23,0)))),IF('Schedule_Inputs'!$C$23="Office Setup",$C23*IF(32-'Schedule_Inputs'!$B$23=0,'Assumptions'!$B$24,IF(32-'Schedule_Inputs'!$B$23=1,'Assumptions'!$C$24,IF(32-'Schedule_Inputs'!$B$23=2,'Assumptions'!$D$24,0))),IF(OR('Schedule_Inputs'!$C$23="Monthly",'Schedule_Inputs'!$C$23="Periodic"),IF(AND(32&gt;='Schedule_Inputs'!$B$23,MOD(32-'Schedule_Inputs'!$B$23,'Schedule_Inputs'!$E$23)=0,(32-'Schedule_Inputs'!$B$23)/'Schedule_Inputs'!$E$23&lt;'Schedule_Inputs'!$D$23),$C23/'Schedule_Inputs'!$D$23,0),0))))</f>
        <v/>
      </c>
      <c r="AK23" s="231">
        <f>IF('Schedule_Inputs'!$C$23="Blueprint",$C23*IF(33-'Schedule_Inputs'!$B$23=0,'Assumptions'!$B$21,IF(33-'Schedule_Inputs'!$B$23=1,'Assumptions'!$C$21,IF(33-'Schedule_Inputs'!$B$23=2,'Assumptions'!$D$21,0))),IF('Schedule_Inputs'!$C$23="Launch",$C23*IF(33-'Schedule_Inputs'!$B$23=0,'Assumptions'!$B$22,IF(33-'Schedule_Inputs'!$B$23=1,'Assumptions'!$C$22,IF(33-'Schedule_Inputs'!$B$23=2,'Assumptions'!$D$22,IF(33-'Schedule_Inputs'!$B$23=3,'Assumptions'!$B$23,0)))),IF('Schedule_Inputs'!$C$23="Office Setup",$C23*IF(33-'Schedule_Inputs'!$B$23=0,'Assumptions'!$B$24,IF(33-'Schedule_Inputs'!$B$23=1,'Assumptions'!$C$24,IF(33-'Schedule_Inputs'!$B$23=2,'Assumptions'!$D$24,0))),IF(OR('Schedule_Inputs'!$C$23="Monthly",'Schedule_Inputs'!$C$23="Periodic"),IF(AND(33&gt;='Schedule_Inputs'!$B$23,MOD(33-'Schedule_Inputs'!$B$23,'Schedule_Inputs'!$E$23)=0,(33-'Schedule_Inputs'!$B$23)/'Schedule_Inputs'!$E$23&lt;'Schedule_Inputs'!$D$23),$C23/'Schedule_Inputs'!$D$23,0),0))))</f>
        <v/>
      </c>
      <c r="AL23" s="231">
        <f>IF('Schedule_Inputs'!$C$23="Blueprint",$C23*IF(34-'Schedule_Inputs'!$B$23=0,'Assumptions'!$B$21,IF(34-'Schedule_Inputs'!$B$23=1,'Assumptions'!$C$21,IF(34-'Schedule_Inputs'!$B$23=2,'Assumptions'!$D$21,0))),IF('Schedule_Inputs'!$C$23="Launch",$C23*IF(34-'Schedule_Inputs'!$B$23=0,'Assumptions'!$B$22,IF(34-'Schedule_Inputs'!$B$23=1,'Assumptions'!$C$22,IF(34-'Schedule_Inputs'!$B$23=2,'Assumptions'!$D$22,IF(34-'Schedule_Inputs'!$B$23=3,'Assumptions'!$B$23,0)))),IF('Schedule_Inputs'!$C$23="Office Setup",$C23*IF(34-'Schedule_Inputs'!$B$23=0,'Assumptions'!$B$24,IF(34-'Schedule_Inputs'!$B$23=1,'Assumptions'!$C$24,IF(34-'Schedule_Inputs'!$B$23=2,'Assumptions'!$D$24,0))),IF(OR('Schedule_Inputs'!$C$23="Monthly",'Schedule_Inputs'!$C$23="Periodic"),IF(AND(34&gt;='Schedule_Inputs'!$B$23,MOD(34-'Schedule_Inputs'!$B$23,'Schedule_Inputs'!$E$23)=0,(34-'Schedule_Inputs'!$B$23)/'Schedule_Inputs'!$E$23&lt;'Schedule_Inputs'!$D$23),$C23/'Schedule_Inputs'!$D$23,0),0))))</f>
        <v/>
      </c>
      <c r="AM23" s="231">
        <f>IF('Schedule_Inputs'!$C$23="Blueprint",$C23*IF(35-'Schedule_Inputs'!$B$23=0,'Assumptions'!$B$21,IF(35-'Schedule_Inputs'!$B$23=1,'Assumptions'!$C$21,IF(35-'Schedule_Inputs'!$B$23=2,'Assumptions'!$D$21,0))),IF('Schedule_Inputs'!$C$23="Launch",$C23*IF(35-'Schedule_Inputs'!$B$23=0,'Assumptions'!$B$22,IF(35-'Schedule_Inputs'!$B$23=1,'Assumptions'!$C$22,IF(35-'Schedule_Inputs'!$B$23=2,'Assumptions'!$D$22,IF(35-'Schedule_Inputs'!$B$23=3,'Assumptions'!$B$23,0)))),IF('Schedule_Inputs'!$C$23="Office Setup",$C23*IF(35-'Schedule_Inputs'!$B$23=0,'Assumptions'!$B$24,IF(35-'Schedule_Inputs'!$B$23=1,'Assumptions'!$C$24,IF(35-'Schedule_Inputs'!$B$23=2,'Assumptions'!$D$24,0))),IF(OR('Schedule_Inputs'!$C$23="Monthly",'Schedule_Inputs'!$C$23="Periodic"),IF(AND(35&gt;='Schedule_Inputs'!$B$23,MOD(35-'Schedule_Inputs'!$B$23,'Schedule_Inputs'!$E$23)=0,(35-'Schedule_Inputs'!$B$23)/'Schedule_Inputs'!$E$23&lt;'Schedule_Inputs'!$D$23),$C23/'Schedule_Inputs'!$D$23,0),0))))</f>
        <v/>
      </c>
      <c r="AN23" s="231">
        <f>IF('Schedule_Inputs'!$C$23="Blueprint",$C23*IF(36-'Schedule_Inputs'!$B$23=0,'Assumptions'!$B$21,IF(36-'Schedule_Inputs'!$B$23=1,'Assumptions'!$C$21,IF(36-'Schedule_Inputs'!$B$23=2,'Assumptions'!$D$21,0))),IF('Schedule_Inputs'!$C$23="Launch",$C23*IF(36-'Schedule_Inputs'!$B$23=0,'Assumptions'!$B$22,IF(36-'Schedule_Inputs'!$B$23=1,'Assumptions'!$C$22,IF(36-'Schedule_Inputs'!$B$23=2,'Assumptions'!$D$22,IF(36-'Schedule_Inputs'!$B$23=3,'Assumptions'!$B$23,0)))),IF('Schedule_Inputs'!$C$23="Office Setup",$C23*IF(36-'Schedule_Inputs'!$B$23=0,'Assumptions'!$B$24,IF(36-'Schedule_Inputs'!$B$23=1,'Assumptions'!$C$24,IF(36-'Schedule_Inputs'!$B$23=2,'Assumptions'!$D$24,0))),IF(OR('Schedule_Inputs'!$C$23="Monthly",'Schedule_Inputs'!$C$23="Periodic"),IF(AND(36&gt;='Schedule_Inputs'!$B$23,MOD(36-'Schedule_Inputs'!$B$23,'Schedule_Inputs'!$E$23)=0,(36-'Schedule_Inputs'!$B$23)/'Schedule_Inputs'!$E$23&lt;'Schedule_Inputs'!$D$23),$C23/'Schedule_Inputs'!$D$23,0),0))))</f>
        <v/>
      </c>
    </row>
    <row r="24">
      <c r="A24" s="106" t="inlineStr">
        <is>
          <t>Office Setup 03</t>
        </is>
      </c>
      <c r="B24" s="106" t="n">
        <v>3</v>
      </c>
      <c r="C24" s="230" t="n">
        <v>28000</v>
      </c>
      <c r="D24" s="231" t="inlineStr">
        <is>
          <t>50 / 30 / 20</t>
        </is>
      </c>
      <c r="E24" s="231">
        <f>IF('Schedule_Inputs'!$C$24="Blueprint",$C24*IF(1-'Schedule_Inputs'!$B$24=0,'Assumptions'!$B$21,IF(1-'Schedule_Inputs'!$B$24=1,'Assumptions'!$C$21,IF(1-'Schedule_Inputs'!$B$24=2,'Assumptions'!$D$21,0))),IF('Schedule_Inputs'!$C$24="Launch",$C24*IF(1-'Schedule_Inputs'!$B$24=0,'Assumptions'!$B$22,IF(1-'Schedule_Inputs'!$B$24=1,'Assumptions'!$C$22,IF(1-'Schedule_Inputs'!$B$24=2,'Assumptions'!$D$22,IF(1-'Schedule_Inputs'!$B$24=3,'Assumptions'!$B$23,0)))),IF('Schedule_Inputs'!$C$24="Office Setup",$C24*IF(1-'Schedule_Inputs'!$B$24=0,'Assumptions'!$B$24,IF(1-'Schedule_Inputs'!$B$24=1,'Assumptions'!$C$24,IF(1-'Schedule_Inputs'!$B$24=2,'Assumptions'!$D$24,0))),IF(OR('Schedule_Inputs'!$C$24="Monthly",'Schedule_Inputs'!$C$24="Periodic"),IF(AND(1&gt;='Schedule_Inputs'!$B$24,MOD(1-'Schedule_Inputs'!$B$24,'Schedule_Inputs'!$E$24)=0,(1-'Schedule_Inputs'!$B$24)/'Schedule_Inputs'!$E$24&lt;'Schedule_Inputs'!$D$24),$C24/'Schedule_Inputs'!$D$24,0),0))))</f>
        <v/>
      </c>
      <c r="F24" s="231">
        <f>IF('Schedule_Inputs'!$C$24="Blueprint",$C24*IF(2-'Schedule_Inputs'!$B$24=0,'Assumptions'!$B$21,IF(2-'Schedule_Inputs'!$B$24=1,'Assumptions'!$C$21,IF(2-'Schedule_Inputs'!$B$24=2,'Assumptions'!$D$21,0))),IF('Schedule_Inputs'!$C$24="Launch",$C24*IF(2-'Schedule_Inputs'!$B$24=0,'Assumptions'!$B$22,IF(2-'Schedule_Inputs'!$B$24=1,'Assumptions'!$C$22,IF(2-'Schedule_Inputs'!$B$24=2,'Assumptions'!$D$22,IF(2-'Schedule_Inputs'!$B$24=3,'Assumptions'!$B$23,0)))),IF('Schedule_Inputs'!$C$24="Office Setup",$C24*IF(2-'Schedule_Inputs'!$B$24=0,'Assumptions'!$B$24,IF(2-'Schedule_Inputs'!$B$24=1,'Assumptions'!$C$24,IF(2-'Schedule_Inputs'!$B$24=2,'Assumptions'!$D$24,0))),IF(OR('Schedule_Inputs'!$C$24="Monthly",'Schedule_Inputs'!$C$24="Periodic"),IF(AND(2&gt;='Schedule_Inputs'!$B$24,MOD(2-'Schedule_Inputs'!$B$24,'Schedule_Inputs'!$E$24)=0,(2-'Schedule_Inputs'!$B$24)/'Schedule_Inputs'!$E$24&lt;'Schedule_Inputs'!$D$24),$C24/'Schedule_Inputs'!$D$24,0),0))))</f>
        <v/>
      </c>
      <c r="G24" s="231">
        <f>IF('Schedule_Inputs'!$C$24="Blueprint",$C24*IF(3-'Schedule_Inputs'!$B$24=0,'Assumptions'!$B$21,IF(3-'Schedule_Inputs'!$B$24=1,'Assumptions'!$C$21,IF(3-'Schedule_Inputs'!$B$24=2,'Assumptions'!$D$21,0))),IF('Schedule_Inputs'!$C$24="Launch",$C24*IF(3-'Schedule_Inputs'!$B$24=0,'Assumptions'!$B$22,IF(3-'Schedule_Inputs'!$B$24=1,'Assumptions'!$C$22,IF(3-'Schedule_Inputs'!$B$24=2,'Assumptions'!$D$22,IF(3-'Schedule_Inputs'!$B$24=3,'Assumptions'!$B$23,0)))),IF('Schedule_Inputs'!$C$24="Office Setup",$C24*IF(3-'Schedule_Inputs'!$B$24=0,'Assumptions'!$B$24,IF(3-'Schedule_Inputs'!$B$24=1,'Assumptions'!$C$24,IF(3-'Schedule_Inputs'!$B$24=2,'Assumptions'!$D$24,0))),IF(OR('Schedule_Inputs'!$C$24="Monthly",'Schedule_Inputs'!$C$24="Periodic"),IF(AND(3&gt;='Schedule_Inputs'!$B$24,MOD(3-'Schedule_Inputs'!$B$24,'Schedule_Inputs'!$E$24)=0,(3-'Schedule_Inputs'!$B$24)/'Schedule_Inputs'!$E$24&lt;'Schedule_Inputs'!$D$24),$C24/'Schedule_Inputs'!$D$24,0),0))))</f>
        <v/>
      </c>
      <c r="H24" s="231">
        <f>IF('Schedule_Inputs'!$C$24="Blueprint",$C24*IF(4-'Schedule_Inputs'!$B$24=0,'Assumptions'!$B$21,IF(4-'Schedule_Inputs'!$B$24=1,'Assumptions'!$C$21,IF(4-'Schedule_Inputs'!$B$24=2,'Assumptions'!$D$21,0))),IF('Schedule_Inputs'!$C$24="Launch",$C24*IF(4-'Schedule_Inputs'!$B$24=0,'Assumptions'!$B$22,IF(4-'Schedule_Inputs'!$B$24=1,'Assumptions'!$C$22,IF(4-'Schedule_Inputs'!$B$24=2,'Assumptions'!$D$22,IF(4-'Schedule_Inputs'!$B$24=3,'Assumptions'!$B$23,0)))),IF('Schedule_Inputs'!$C$24="Office Setup",$C24*IF(4-'Schedule_Inputs'!$B$24=0,'Assumptions'!$B$24,IF(4-'Schedule_Inputs'!$B$24=1,'Assumptions'!$C$24,IF(4-'Schedule_Inputs'!$B$24=2,'Assumptions'!$D$24,0))),IF(OR('Schedule_Inputs'!$C$24="Monthly",'Schedule_Inputs'!$C$24="Periodic"),IF(AND(4&gt;='Schedule_Inputs'!$B$24,MOD(4-'Schedule_Inputs'!$B$24,'Schedule_Inputs'!$E$24)=0,(4-'Schedule_Inputs'!$B$24)/'Schedule_Inputs'!$E$24&lt;'Schedule_Inputs'!$D$24),$C24/'Schedule_Inputs'!$D$24,0),0))))</f>
        <v/>
      </c>
      <c r="I24" s="231">
        <f>IF('Schedule_Inputs'!$C$24="Blueprint",$C24*IF(5-'Schedule_Inputs'!$B$24=0,'Assumptions'!$B$21,IF(5-'Schedule_Inputs'!$B$24=1,'Assumptions'!$C$21,IF(5-'Schedule_Inputs'!$B$24=2,'Assumptions'!$D$21,0))),IF('Schedule_Inputs'!$C$24="Launch",$C24*IF(5-'Schedule_Inputs'!$B$24=0,'Assumptions'!$B$22,IF(5-'Schedule_Inputs'!$B$24=1,'Assumptions'!$C$22,IF(5-'Schedule_Inputs'!$B$24=2,'Assumptions'!$D$22,IF(5-'Schedule_Inputs'!$B$24=3,'Assumptions'!$B$23,0)))),IF('Schedule_Inputs'!$C$24="Office Setup",$C24*IF(5-'Schedule_Inputs'!$B$24=0,'Assumptions'!$B$24,IF(5-'Schedule_Inputs'!$B$24=1,'Assumptions'!$C$24,IF(5-'Schedule_Inputs'!$B$24=2,'Assumptions'!$D$24,0))),IF(OR('Schedule_Inputs'!$C$24="Monthly",'Schedule_Inputs'!$C$24="Periodic"),IF(AND(5&gt;='Schedule_Inputs'!$B$24,MOD(5-'Schedule_Inputs'!$B$24,'Schedule_Inputs'!$E$24)=0,(5-'Schedule_Inputs'!$B$24)/'Schedule_Inputs'!$E$24&lt;'Schedule_Inputs'!$D$24),$C24/'Schedule_Inputs'!$D$24,0),0))))</f>
        <v/>
      </c>
      <c r="J24" s="231">
        <f>IF('Schedule_Inputs'!$C$24="Blueprint",$C24*IF(6-'Schedule_Inputs'!$B$24=0,'Assumptions'!$B$21,IF(6-'Schedule_Inputs'!$B$24=1,'Assumptions'!$C$21,IF(6-'Schedule_Inputs'!$B$24=2,'Assumptions'!$D$21,0))),IF('Schedule_Inputs'!$C$24="Launch",$C24*IF(6-'Schedule_Inputs'!$B$24=0,'Assumptions'!$B$22,IF(6-'Schedule_Inputs'!$B$24=1,'Assumptions'!$C$22,IF(6-'Schedule_Inputs'!$B$24=2,'Assumptions'!$D$22,IF(6-'Schedule_Inputs'!$B$24=3,'Assumptions'!$B$23,0)))),IF('Schedule_Inputs'!$C$24="Office Setup",$C24*IF(6-'Schedule_Inputs'!$B$24=0,'Assumptions'!$B$24,IF(6-'Schedule_Inputs'!$B$24=1,'Assumptions'!$C$24,IF(6-'Schedule_Inputs'!$B$24=2,'Assumptions'!$D$24,0))),IF(OR('Schedule_Inputs'!$C$24="Monthly",'Schedule_Inputs'!$C$24="Periodic"),IF(AND(6&gt;='Schedule_Inputs'!$B$24,MOD(6-'Schedule_Inputs'!$B$24,'Schedule_Inputs'!$E$24)=0,(6-'Schedule_Inputs'!$B$24)/'Schedule_Inputs'!$E$24&lt;'Schedule_Inputs'!$D$24),$C24/'Schedule_Inputs'!$D$24,0),0))))</f>
        <v/>
      </c>
      <c r="K24" s="231">
        <f>IF('Schedule_Inputs'!$C$24="Blueprint",$C24*IF(7-'Schedule_Inputs'!$B$24=0,'Assumptions'!$B$21,IF(7-'Schedule_Inputs'!$B$24=1,'Assumptions'!$C$21,IF(7-'Schedule_Inputs'!$B$24=2,'Assumptions'!$D$21,0))),IF('Schedule_Inputs'!$C$24="Launch",$C24*IF(7-'Schedule_Inputs'!$B$24=0,'Assumptions'!$B$22,IF(7-'Schedule_Inputs'!$B$24=1,'Assumptions'!$C$22,IF(7-'Schedule_Inputs'!$B$24=2,'Assumptions'!$D$22,IF(7-'Schedule_Inputs'!$B$24=3,'Assumptions'!$B$23,0)))),IF('Schedule_Inputs'!$C$24="Office Setup",$C24*IF(7-'Schedule_Inputs'!$B$24=0,'Assumptions'!$B$24,IF(7-'Schedule_Inputs'!$B$24=1,'Assumptions'!$C$24,IF(7-'Schedule_Inputs'!$B$24=2,'Assumptions'!$D$24,0))),IF(OR('Schedule_Inputs'!$C$24="Monthly",'Schedule_Inputs'!$C$24="Periodic"),IF(AND(7&gt;='Schedule_Inputs'!$B$24,MOD(7-'Schedule_Inputs'!$B$24,'Schedule_Inputs'!$E$24)=0,(7-'Schedule_Inputs'!$B$24)/'Schedule_Inputs'!$E$24&lt;'Schedule_Inputs'!$D$24),$C24/'Schedule_Inputs'!$D$24,0),0))))</f>
        <v/>
      </c>
      <c r="L24" s="231">
        <f>IF('Schedule_Inputs'!$C$24="Blueprint",$C24*IF(8-'Schedule_Inputs'!$B$24=0,'Assumptions'!$B$21,IF(8-'Schedule_Inputs'!$B$24=1,'Assumptions'!$C$21,IF(8-'Schedule_Inputs'!$B$24=2,'Assumptions'!$D$21,0))),IF('Schedule_Inputs'!$C$24="Launch",$C24*IF(8-'Schedule_Inputs'!$B$24=0,'Assumptions'!$B$22,IF(8-'Schedule_Inputs'!$B$24=1,'Assumptions'!$C$22,IF(8-'Schedule_Inputs'!$B$24=2,'Assumptions'!$D$22,IF(8-'Schedule_Inputs'!$B$24=3,'Assumptions'!$B$23,0)))),IF('Schedule_Inputs'!$C$24="Office Setup",$C24*IF(8-'Schedule_Inputs'!$B$24=0,'Assumptions'!$B$24,IF(8-'Schedule_Inputs'!$B$24=1,'Assumptions'!$C$24,IF(8-'Schedule_Inputs'!$B$24=2,'Assumptions'!$D$24,0))),IF(OR('Schedule_Inputs'!$C$24="Monthly",'Schedule_Inputs'!$C$24="Periodic"),IF(AND(8&gt;='Schedule_Inputs'!$B$24,MOD(8-'Schedule_Inputs'!$B$24,'Schedule_Inputs'!$E$24)=0,(8-'Schedule_Inputs'!$B$24)/'Schedule_Inputs'!$E$24&lt;'Schedule_Inputs'!$D$24),$C24/'Schedule_Inputs'!$D$24,0),0))))</f>
        <v/>
      </c>
      <c r="M24" s="231">
        <f>IF('Schedule_Inputs'!$C$24="Blueprint",$C24*IF(9-'Schedule_Inputs'!$B$24=0,'Assumptions'!$B$21,IF(9-'Schedule_Inputs'!$B$24=1,'Assumptions'!$C$21,IF(9-'Schedule_Inputs'!$B$24=2,'Assumptions'!$D$21,0))),IF('Schedule_Inputs'!$C$24="Launch",$C24*IF(9-'Schedule_Inputs'!$B$24=0,'Assumptions'!$B$22,IF(9-'Schedule_Inputs'!$B$24=1,'Assumptions'!$C$22,IF(9-'Schedule_Inputs'!$B$24=2,'Assumptions'!$D$22,IF(9-'Schedule_Inputs'!$B$24=3,'Assumptions'!$B$23,0)))),IF('Schedule_Inputs'!$C$24="Office Setup",$C24*IF(9-'Schedule_Inputs'!$B$24=0,'Assumptions'!$B$24,IF(9-'Schedule_Inputs'!$B$24=1,'Assumptions'!$C$24,IF(9-'Schedule_Inputs'!$B$24=2,'Assumptions'!$D$24,0))),IF(OR('Schedule_Inputs'!$C$24="Monthly",'Schedule_Inputs'!$C$24="Periodic"),IF(AND(9&gt;='Schedule_Inputs'!$B$24,MOD(9-'Schedule_Inputs'!$B$24,'Schedule_Inputs'!$E$24)=0,(9-'Schedule_Inputs'!$B$24)/'Schedule_Inputs'!$E$24&lt;'Schedule_Inputs'!$D$24),$C24/'Schedule_Inputs'!$D$24,0),0))))</f>
        <v/>
      </c>
      <c r="N24" s="231">
        <f>IF('Schedule_Inputs'!$C$24="Blueprint",$C24*IF(10-'Schedule_Inputs'!$B$24=0,'Assumptions'!$B$21,IF(10-'Schedule_Inputs'!$B$24=1,'Assumptions'!$C$21,IF(10-'Schedule_Inputs'!$B$24=2,'Assumptions'!$D$21,0))),IF('Schedule_Inputs'!$C$24="Launch",$C24*IF(10-'Schedule_Inputs'!$B$24=0,'Assumptions'!$B$22,IF(10-'Schedule_Inputs'!$B$24=1,'Assumptions'!$C$22,IF(10-'Schedule_Inputs'!$B$24=2,'Assumptions'!$D$22,IF(10-'Schedule_Inputs'!$B$24=3,'Assumptions'!$B$23,0)))),IF('Schedule_Inputs'!$C$24="Office Setup",$C24*IF(10-'Schedule_Inputs'!$B$24=0,'Assumptions'!$B$24,IF(10-'Schedule_Inputs'!$B$24=1,'Assumptions'!$C$24,IF(10-'Schedule_Inputs'!$B$24=2,'Assumptions'!$D$24,0))),IF(OR('Schedule_Inputs'!$C$24="Monthly",'Schedule_Inputs'!$C$24="Periodic"),IF(AND(10&gt;='Schedule_Inputs'!$B$24,MOD(10-'Schedule_Inputs'!$B$24,'Schedule_Inputs'!$E$24)=0,(10-'Schedule_Inputs'!$B$24)/'Schedule_Inputs'!$E$24&lt;'Schedule_Inputs'!$D$24),$C24/'Schedule_Inputs'!$D$24,0),0))))</f>
        <v/>
      </c>
      <c r="O24" s="231">
        <f>IF('Schedule_Inputs'!$C$24="Blueprint",$C24*IF(11-'Schedule_Inputs'!$B$24=0,'Assumptions'!$B$21,IF(11-'Schedule_Inputs'!$B$24=1,'Assumptions'!$C$21,IF(11-'Schedule_Inputs'!$B$24=2,'Assumptions'!$D$21,0))),IF('Schedule_Inputs'!$C$24="Launch",$C24*IF(11-'Schedule_Inputs'!$B$24=0,'Assumptions'!$B$22,IF(11-'Schedule_Inputs'!$B$24=1,'Assumptions'!$C$22,IF(11-'Schedule_Inputs'!$B$24=2,'Assumptions'!$D$22,IF(11-'Schedule_Inputs'!$B$24=3,'Assumptions'!$B$23,0)))),IF('Schedule_Inputs'!$C$24="Office Setup",$C24*IF(11-'Schedule_Inputs'!$B$24=0,'Assumptions'!$B$24,IF(11-'Schedule_Inputs'!$B$24=1,'Assumptions'!$C$24,IF(11-'Schedule_Inputs'!$B$24=2,'Assumptions'!$D$24,0))),IF(OR('Schedule_Inputs'!$C$24="Monthly",'Schedule_Inputs'!$C$24="Periodic"),IF(AND(11&gt;='Schedule_Inputs'!$B$24,MOD(11-'Schedule_Inputs'!$B$24,'Schedule_Inputs'!$E$24)=0,(11-'Schedule_Inputs'!$B$24)/'Schedule_Inputs'!$E$24&lt;'Schedule_Inputs'!$D$24),$C24/'Schedule_Inputs'!$D$24,0),0))))</f>
        <v/>
      </c>
      <c r="P24" s="231">
        <f>IF('Schedule_Inputs'!$C$24="Blueprint",$C24*IF(12-'Schedule_Inputs'!$B$24=0,'Assumptions'!$B$21,IF(12-'Schedule_Inputs'!$B$24=1,'Assumptions'!$C$21,IF(12-'Schedule_Inputs'!$B$24=2,'Assumptions'!$D$21,0))),IF('Schedule_Inputs'!$C$24="Launch",$C24*IF(12-'Schedule_Inputs'!$B$24=0,'Assumptions'!$B$22,IF(12-'Schedule_Inputs'!$B$24=1,'Assumptions'!$C$22,IF(12-'Schedule_Inputs'!$B$24=2,'Assumptions'!$D$22,IF(12-'Schedule_Inputs'!$B$24=3,'Assumptions'!$B$23,0)))),IF('Schedule_Inputs'!$C$24="Office Setup",$C24*IF(12-'Schedule_Inputs'!$B$24=0,'Assumptions'!$B$24,IF(12-'Schedule_Inputs'!$B$24=1,'Assumptions'!$C$24,IF(12-'Schedule_Inputs'!$B$24=2,'Assumptions'!$D$24,0))),IF(OR('Schedule_Inputs'!$C$24="Monthly",'Schedule_Inputs'!$C$24="Periodic"),IF(AND(12&gt;='Schedule_Inputs'!$B$24,MOD(12-'Schedule_Inputs'!$B$24,'Schedule_Inputs'!$E$24)=0,(12-'Schedule_Inputs'!$B$24)/'Schedule_Inputs'!$E$24&lt;'Schedule_Inputs'!$D$24),$C24/'Schedule_Inputs'!$D$24,0),0))))</f>
        <v/>
      </c>
      <c r="Q24" s="231">
        <f>IF('Schedule_Inputs'!$C$24="Blueprint",$C24*IF(13-'Schedule_Inputs'!$B$24=0,'Assumptions'!$B$21,IF(13-'Schedule_Inputs'!$B$24=1,'Assumptions'!$C$21,IF(13-'Schedule_Inputs'!$B$24=2,'Assumptions'!$D$21,0))),IF('Schedule_Inputs'!$C$24="Launch",$C24*IF(13-'Schedule_Inputs'!$B$24=0,'Assumptions'!$B$22,IF(13-'Schedule_Inputs'!$B$24=1,'Assumptions'!$C$22,IF(13-'Schedule_Inputs'!$B$24=2,'Assumptions'!$D$22,IF(13-'Schedule_Inputs'!$B$24=3,'Assumptions'!$B$23,0)))),IF('Schedule_Inputs'!$C$24="Office Setup",$C24*IF(13-'Schedule_Inputs'!$B$24=0,'Assumptions'!$B$24,IF(13-'Schedule_Inputs'!$B$24=1,'Assumptions'!$C$24,IF(13-'Schedule_Inputs'!$B$24=2,'Assumptions'!$D$24,0))),IF(OR('Schedule_Inputs'!$C$24="Monthly",'Schedule_Inputs'!$C$24="Periodic"),IF(AND(13&gt;='Schedule_Inputs'!$B$24,MOD(13-'Schedule_Inputs'!$B$24,'Schedule_Inputs'!$E$24)=0,(13-'Schedule_Inputs'!$B$24)/'Schedule_Inputs'!$E$24&lt;'Schedule_Inputs'!$D$24),$C24/'Schedule_Inputs'!$D$24,0),0))))</f>
        <v/>
      </c>
      <c r="R24" s="231">
        <f>IF('Schedule_Inputs'!$C$24="Blueprint",$C24*IF(14-'Schedule_Inputs'!$B$24=0,'Assumptions'!$B$21,IF(14-'Schedule_Inputs'!$B$24=1,'Assumptions'!$C$21,IF(14-'Schedule_Inputs'!$B$24=2,'Assumptions'!$D$21,0))),IF('Schedule_Inputs'!$C$24="Launch",$C24*IF(14-'Schedule_Inputs'!$B$24=0,'Assumptions'!$B$22,IF(14-'Schedule_Inputs'!$B$24=1,'Assumptions'!$C$22,IF(14-'Schedule_Inputs'!$B$24=2,'Assumptions'!$D$22,IF(14-'Schedule_Inputs'!$B$24=3,'Assumptions'!$B$23,0)))),IF('Schedule_Inputs'!$C$24="Office Setup",$C24*IF(14-'Schedule_Inputs'!$B$24=0,'Assumptions'!$B$24,IF(14-'Schedule_Inputs'!$B$24=1,'Assumptions'!$C$24,IF(14-'Schedule_Inputs'!$B$24=2,'Assumptions'!$D$24,0))),IF(OR('Schedule_Inputs'!$C$24="Monthly",'Schedule_Inputs'!$C$24="Periodic"),IF(AND(14&gt;='Schedule_Inputs'!$B$24,MOD(14-'Schedule_Inputs'!$B$24,'Schedule_Inputs'!$E$24)=0,(14-'Schedule_Inputs'!$B$24)/'Schedule_Inputs'!$E$24&lt;'Schedule_Inputs'!$D$24),$C24/'Schedule_Inputs'!$D$24,0),0))))</f>
        <v/>
      </c>
      <c r="S24" s="231">
        <f>IF('Schedule_Inputs'!$C$24="Blueprint",$C24*IF(15-'Schedule_Inputs'!$B$24=0,'Assumptions'!$B$21,IF(15-'Schedule_Inputs'!$B$24=1,'Assumptions'!$C$21,IF(15-'Schedule_Inputs'!$B$24=2,'Assumptions'!$D$21,0))),IF('Schedule_Inputs'!$C$24="Launch",$C24*IF(15-'Schedule_Inputs'!$B$24=0,'Assumptions'!$B$22,IF(15-'Schedule_Inputs'!$B$24=1,'Assumptions'!$C$22,IF(15-'Schedule_Inputs'!$B$24=2,'Assumptions'!$D$22,IF(15-'Schedule_Inputs'!$B$24=3,'Assumptions'!$B$23,0)))),IF('Schedule_Inputs'!$C$24="Office Setup",$C24*IF(15-'Schedule_Inputs'!$B$24=0,'Assumptions'!$B$24,IF(15-'Schedule_Inputs'!$B$24=1,'Assumptions'!$C$24,IF(15-'Schedule_Inputs'!$B$24=2,'Assumptions'!$D$24,0))),IF(OR('Schedule_Inputs'!$C$24="Monthly",'Schedule_Inputs'!$C$24="Periodic"),IF(AND(15&gt;='Schedule_Inputs'!$B$24,MOD(15-'Schedule_Inputs'!$B$24,'Schedule_Inputs'!$E$24)=0,(15-'Schedule_Inputs'!$B$24)/'Schedule_Inputs'!$E$24&lt;'Schedule_Inputs'!$D$24),$C24/'Schedule_Inputs'!$D$24,0),0))))</f>
        <v/>
      </c>
      <c r="T24" s="231">
        <f>IF('Schedule_Inputs'!$C$24="Blueprint",$C24*IF(16-'Schedule_Inputs'!$B$24=0,'Assumptions'!$B$21,IF(16-'Schedule_Inputs'!$B$24=1,'Assumptions'!$C$21,IF(16-'Schedule_Inputs'!$B$24=2,'Assumptions'!$D$21,0))),IF('Schedule_Inputs'!$C$24="Launch",$C24*IF(16-'Schedule_Inputs'!$B$24=0,'Assumptions'!$B$22,IF(16-'Schedule_Inputs'!$B$24=1,'Assumptions'!$C$22,IF(16-'Schedule_Inputs'!$B$24=2,'Assumptions'!$D$22,IF(16-'Schedule_Inputs'!$B$24=3,'Assumptions'!$B$23,0)))),IF('Schedule_Inputs'!$C$24="Office Setup",$C24*IF(16-'Schedule_Inputs'!$B$24=0,'Assumptions'!$B$24,IF(16-'Schedule_Inputs'!$B$24=1,'Assumptions'!$C$24,IF(16-'Schedule_Inputs'!$B$24=2,'Assumptions'!$D$24,0))),IF(OR('Schedule_Inputs'!$C$24="Monthly",'Schedule_Inputs'!$C$24="Periodic"),IF(AND(16&gt;='Schedule_Inputs'!$B$24,MOD(16-'Schedule_Inputs'!$B$24,'Schedule_Inputs'!$E$24)=0,(16-'Schedule_Inputs'!$B$24)/'Schedule_Inputs'!$E$24&lt;'Schedule_Inputs'!$D$24),$C24/'Schedule_Inputs'!$D$24,0),0))))</f>
        <v/>
      </c>
      <c r="U24" s="231">
        <f>IF('Schedule_Inputs'!$C$24="Blueprint",$C24*IF(17-'Schedule_Inputs'!$B$24=0,'Assumptions'!$B$21,IF(17-'Schedule_Inputs'!$B$24=1,'Assumptions'!$C$21,IF(17-'Schedule_Inputs'!$B$24=2,'Assumptions'!$D$21,0))),IF('Schedule_Inputs'!$C$24="Launch",$C24*IF(17-'Schedule_Inputs'!$B$24=0,'Assumptions'!$B$22,IF(17-'Schedule_Inputs'!$B$24=1,'Assumptions'!$C$22,IF(17-'Schedule_Inputs'!$B$24=2,'Assumptions'!$D$22,IF(17-'Schedule_Inputs'!$B$24=3,'Assumptions'!$B$23,0)))),IF('Schedule_Inputs'!$C$24="Office Setup",$C24*IF(17-'Schedule_Inputs'!$B$24=0,'Assumptions'!$B$24,IF(17-'Schedule_Inputs'!$B$24=1,'Assumptions'!$C$24,IF(17-'Schedule_Inputs'!$B$24=2,'Assumptions'!$D$24,0))),IF(OR('Schedule_Inputs'!$C$24="Monthly",'Schedule_Inputs'!$C$24="Periodic"),IF(AND(17&gt;='Schedule_Inputs'!$B$24,MOD(17-'Schedule_Inputs'!$B$24,'Schedule_Inputs'!$E$24)=0,(17-'Schedule_Inputs'!$B$24)/'Schedule_Inputs'!$E$24&lt;'Schedule_Inputs'!$D$24),$C24/'Schedule_Inputs'!$D$24,0),0))))</f>
        <v/>
      </c>
      <c r="V24" s="231">
        <f>IF('Schedule_Inputs'!$C$24="Blueprint",$C24*IF(18-'Schedule_Inputs'!$B$24=0,'Assumptions'!$B$21,IF(18-'Schedule_Inputs'!$B$24=1,'Assumptions'!$C$21,IF(18-'Schedule_Inputs'!$B$24=2,'Assumptions'!$D$21,0))),IF('Schedule_Inputs'!$C$24="Launch",$C24*IF(18-'Schedule_Inputs'!$B$24=0,'Assumptions'!$B$22,IF(18-'Schedule_Inputs'!$B$24=1,'Assumptions'!$C$22,IF(18-'Schedule_Inputs'!$B$24=2,'Assumptions'!$D$22,IF(18-'Schedule_Inputs'!$B$24=3,'Assumptions'!$B$23,0)))),IF('Schedule_Inputs'!$C$24="Office Setup",$C24*IF(18-'Schedule_Inputs'!$B$24=0,'Assumptions'!$B$24,IF(18-'Schedule_Inputs'!$B$24=1,'Assumptions'!$C$24,IF(18-'Schedule_Inputs'!$B$24=2,'Assumptions'!$D$24,0))),IF(OR('Schedule_Inputs'!$C$24="Monthly",'Schedule_Inputs'!$C$24="Periodic"),IF(AND(18&gt;='Schedule_Inputs'!$B$24,MOD(18-'Schedule_Inputs'!$B$24,'Schedule_Inputs'!$E$24)=0,(18-'Schedule_Inputs'!$B$24)/'Schedule_Inputs'!$E$24&lt;'Schedule_Inputs'!$D$24),$C24/'Schedule_Inputs'!$D$24,0),0))))</f>
        <v/>
      </c>
      <c r="W24" s="231">
        <f>IF('Schedule_Inputs'!$C$24="Blueprint",$C24*IF(19-'Schedule_Inputs'!$B$24=0,'Assumptions'!$B$21,IF(19-'Schedule_Inputs'!$B$24=1,'Assumptions'!$C$21,IF(19-'Schedule_Inputs'!$B$24=2,'Assumptions'!$D$21,0))),IF('Schedule_Inputs'!$C$24="Launch",$C24*IF(19-'Schedule_Inputs'!$B$24=0,'Assumptions'!$B$22,IF(19-'Schedule_Inputs'!$B$24=1,'Assumptions'!$C$22,IF(19-'Schedule_Inputs'!$B$24=2,'Assumptions'!$D$22,IF(19-'Schedule_Inputs'!$B$24=3,'Assumptions'!$B$23,0)))),IF('Schedule_Inputs'!$C$24="Office Setup",$C24*IF(19-'Schedule_Inputs'!$B$24=0,'Assumptions'!$B$24,IF(19-'Schedule_Inputs'!$B$24=1,'Assumptions'!$C$24,IF(19-'Schedule_Inputs'!$B$24=2,'Assumptions'!$D$24,0))),IF(OR('Schedule_Inputs'!$C$24="Monthly",'Schedule_Inputs'!$C$24="Periodic"),IF(AND(19&gt;='Schedule_Inputs'!$B$24,MOD(19-'Schedule_Inputs'!$B$24,'Schedule_Inputs'!$E$24)=0,(19-'Schedule_Inputs'!$B$24)/'Schedule_Inputs'!$E$24&lt;'Schedule_Inputs'!$D$24),$C24/'Schedule_Inputs'!$D$24,0),0))))</f>
        <v/>
      </c>
      <c r="X24" s="231">
        <f>IF('Schedule_Inputs'!$C$24="Blueprint",$C24*IF(20-'Schedule_Inputs'!$B$24=0,'Assumptions'!$B$21,IF(20-'Schedule_Inputs'!$B$24=1,'Assumptions'!$C$21,IF(20-'Schedule_Inputs'!$B$24=2,'Assumptions'!$D$21,0))),IF('Schedule_Inputs'!$C$24="Launch",$C24*IF(20-'Schedule_Inputs'!$B$24=0,'Assumptions'!$B$22,IF(20-'Schedule_Inputs'!$B$24=1,'Assumptions'!$C$22,IF(20-'Schedule_Inputs'!$B$24=2,'Assumptions'!$D$22,IF(20-'Schedule_Inputs'!$B$24=3,'Assumptions'!$B$23,0)))),IF('Schedule_Inputs'!$C$24="Office Setup",$C24*IF(20-'Schedule_Inputs'!$B$24=0,'Assumptions'!$B$24,IF(20-'Schedule_Inputs'!$B$24=1,'Assumptions'!$C$24,IF(20-'Schedule_Inputs'!$B$24=2,'Assumptions'!$D$24,0))),IF(OR('Schedule_Inputs'!$C$24="Monthly",'Schedule_Inputs'!$C$24="Periodic"),IF(AND(20&gt;='Schedule_Inputs'!$B$24,MOD(20-'Schedule_Inputs'!$B$24,'Schedule_Inputs'!$E$24)=0,(20-'Schedule_Inputs'!$B$24)/'Schedule_Inputs'!$E$24&lt;'Schedule_Inputs'!$D$24),$C24/'Schedule_Inputs'!$D$24,0),0))))</f>
        <v/>
      </c>
      <c r="Y24" s="231">
        <f>IF('Schedule_Inputs'!$C$24="Blueprint",$C24*IF(21-'Schedule_Inputs'!$B$24=0,'Assumptions'!$B$21,IF(21-'Schedule_Inputs'!$B$24=1,'Assumptions'!$C$21,IF(21-'Schedule_Inputs'!$B$24=2,'Assumptions'!$D$21,0))),IF('Schedule_Inputs'!$C$24="Launch",$C24*IF(21-'Schedule_Inputs'!$B$24=0,'Assumptions'!$B$22,IF(21-'Schedule_Inputs'!$B$24=1,'Assumptions'!$C$22,IF(21-'Schedule_Inputs'!$B$24=2,'Assumptions'!$D$22,IF(21-'Schedule_Inputs'!$B$24=3,'Assumptions'!$B$23,0)))),IF('Schedule_Inputs'!$C$24="Office Setup",$C24*IF(21-'Schedule_Inputs'!$B$24=0,'Assumptions'!$B$24,IF(21-'Schedule_Inputs'!$B$24=1,'Assumptions'!$C$24,IF(21-'Schedule_Inputs'!$B$24=2,'Assumptions'!$D$24,0))),IF(OR('Schedule_Inputs'!$C$24="Monthly",'Schedule_Inputs'!$C$24="Periodic"),IF(AND(21&gt;='Schedule_Inputs'!$B$24,MOD(21-'Schedule_Inputs'!$B$24,'Schedule_Inputs'!$E$24)=0,(21-'Schedule_Inputs'!$B$24)/'Schedule_Inputs'!$E$24&lt;'Schedule_Inputs'!$D$24),$C24/'Schedule_Inputs'!$D$24,0),0))))</f>
        <v/>
      </c>
      <c r="Z24" s="231">
        <f>IF('Schedule_Inputs'!$C$24="Blueprint",$C24*IF(22-'Schedule_Inputs'!$B$24=0,'Assumptions'!$B$21,IF(22-'Schedule_Inputs'!$B$24=1,'Assumptions'!$C$21,IF(22-'Schedule_Inputs'!$B$24=2,'Assumptions'!$D$21,0))),IF('Schedule_Inputs'!$C$24="Launch",$C24*IF(22-'Schedule_Inputs'!$B$24=0,'Assumptions'!$B$22,IF(22-'Schedule_Inputs'!$B$24=1,'Assumptions'!$C$22,IF(22-'Schedule_Inputs'!$B$24=2,'Assumptions'!$D$22,IF(22-'Schedule_Inputs'!$B$24=3,'Assumptions'!$B$23,0)))),IF('Schedule_Inputs'!$C$24="Office Setup",$C24*IF(22-'Schedule_Inputs'!$B$24=0,'Assumptions'!$B$24,IF(22-'Schedule_Inputs'!$B$24=1,'Assumptions'!$C$24,IF(22-'Schedule_Inputs'!$B$24=2,'Assumptions'!$D$24,0))),IF(OR('Schedule_Inputs'!$C$24="Monthly",'Schedule_Inputs'!$C$24="Periodic"),IF(AND(22&gt;='Schedule_Inputs'!$B$24,MOD(22-'Schedule_Inputs'!$B$24,'Schedule_Inputs'!$E$24)=0,(22-'Schedule_Inputs'!$B$24)/'Schedule_Inputs'!$E$24&lt;'Schedule_Inputs'!$D$24),$C24/'Schedule_Inputs'!$D$24,0),0))))</f>
        <v/>
      </c>
      <c r="AA24" s="231">
        <f>IF('Schedule_Inputs'!$C$24="Blueprint",$C24*IF(23-'Schedule_Inputs'!$B$24=0,'Assumptions'!$B$21,IF(23-'Schedule_Inputs'!$B$24=1,'Assumptions'!$C$21,IF(23-'Schedule_Inputs'!$B$24=2,'Assumptions'!$D$21,0))),IF('Schedule_Inputs'!$C$24="Launch",$C24*IF(23-'Schedule_Inputs'!$B$24=0,'Assumptions'!$B$22,IF(23-'Schedule_Inputs'!$B$24=1,'Assumptions'!$C$22,IF(23-'Schedule_Inputs'!$B$24=2,'Assumptions'!$D$22,IF(23-'Schedule_Inputs'!$B$24=3,'Assumptions'!$B$23,0)))),IF('Schedule_Inputs'!$C$24="Office Setup",$C24*IF(23-'Schedule_Inputs'!$B$24=0,'Assumptions'!$B$24,IF(23-'Schedule_Inputs'!$B$24=1,'Assumptions'!$C$24,IF(23-'Schedule_Inputs'!$B$24=2,'Assumptions'!$D$24,0))),IF(OR('Schedule_Inputs'!$C$24="Monthly",'Schedule_Inputs'!$C$24="Periodic"),IF(AND(23&gt;='Schedule_Inputs'!$B$24,MOD(23-'Schedule_Inputs'!$B$24,'Schedule_Inputs'!$E$24)=0,(23-'Schedule_Inputs'!$B$24)/'Schedule_Inputs'!$E$24&lt;'Schedule_Inputs'!$D$24),$C24/'Schedule_Inputs'!$D$24,0),0))))</f>
        <v/>
      </c>
      <c r="AB24" s="231">
        <f>IF('Schedule_Inputs'!$C$24="Blueprint",$C24*IF(24-'Schedule_Inputs'!$B$24=0,'Assumptions'!$B$21,IF(24-'Schedule_Inputs'!$B$24=1,'Assumptions'!$C$21,IF(24-'Schedule_Inputs'!$B$24=2,'Assumptions'!$D$21,0))),IF('Schedule_Inputs'!$C$24="Launch",$C24*IF(24-'Schedule_Inputs'!$B$24=0,'Assumptions'!$B$22,IF(24-'Schedule_Inputs'!$B$24=1,'Assumptions'!$C$22,IF(24-'Schedule_Inputs'!$B$24=2,'Assumptions'!$D$22,IF(24-'Schedule_Inputs'!$B$24=3,'Assumptions'!$B$23,0)))),IF('Schedule_Inputs'!$C$24="Office Setup",$C24*IF(24-'Schedule_Inputs'!$B$24=0,'Assumptions'!$B$24,IF(24-'Schedule_Inputs'!$B$24=1,'Assumptions'!$C$24,IF(24-'Schedule_Inputs'!$B$24=2,'Assumptions'!$D$24,0))),IF(OR('Schedule_Inputs'!$C$24="Monthly",'Schedule_Inputs'!$C$24="Periodic"),IF(AND(24&gt;='Schedule_Inputs'!$B$24,MOD(24-'Schedule_Inputs'!$B$24,'Schedule_Inputs'!$E$24)=0,(24-'Schedule_Inputs'!$B$24)/'Schedule_Inputs'!$E$24&lt;'Schedule_Inputs'!$D$24),$C24/'Schedule_Inputs'!$D$24,0),0))))</f>
        <v/>
      </c>
      <c r="AC24" s="231">
        <f>IF('Schedule_Inputs'!$C$24="Blueprint",$C24*IF(25-'Schedule_Inputs'!$B$24=0,'Assumptions'!$B$21,IF(25-'Schedule_Inputs'!$B$24=1,'Assumptions'!$C$21,IF(25-'Schedule_Inputs'!$B$24=2,'Assumptions'!$D$21,0))),IF('Schedule_Inputs'!$C$24="Launch",$C24*IF(25-'Schedule_Inputs'!$B$24=0,'Assumptions'!$B$22,IF(25-'Schedule_Inputs'!$B$24=1,'Assumptions'!$C$22,IF(25-'Schedule_Inputs'!$B$24=2,'Assumptions'!$D$22,IF(25-'Schedule_Inputs'!$B$24=3,'Assumptions'!$B$23,0)))),IF('Schedule_Inputs'!$C$24="Office Setup",$C24*IF(25-'Schedule_Inputs'!$B$24=0,'Assumptions'!$B$24,IF(25-'Schedule_Inputs'!$B$24=1,'Assumptions'!$C$24,IF(25-'Schedule_Inputs'!$B$24=2,'Assumptions'!$D$24,0))),IF(OR('Schedule_Inputs'!$C$24="Monthly",'Schedule_Inputs'!$C$24="Periodic"),IF(AND(25&gt;='Schedule_Inputs'!$B$24,MOD(25-'Schedule_Inputs'!$B$24,'Schedule_Inputs'!$E$24)=0,(25-'Schedule_Inputs'!$B$24)/'Schedule_Inputs'!$E$24&lt;'Schedule_Inputs'!$D$24),$C24/'Schedule_Inputs'!$D$24,0),0))))</f>
        <v/>
      </c>
      <c r="AD24" s="231">
        <f>IF('Schedule_Inputs'!$C$24="Blueprint",$C24*IF(26-'Schedule_Inputs'!$B$24=0,'Assumptions'!$B$21,IF(26-'Schedule_Inputs'!$B$24=1,'Assumptions'!$C$21,IF(26-'Schedule_Inputs'!$B$24=2,'Assumptions'!$D$21,0))),IF('Schedule_Inputs'!$C$24="Launch",$C24*IF(26-'Schedule_Inputs'!$B$24=0,'Assumptions'!$B$22,IF(26-'Schedule_Inputs'!$B$24=1,'Assumptions'!$C$22,IF(26-'Schedule_Inputs'!$B$24=2,'Assumptions'!$D$22,IF(26-'Schedule_Inputs'!$B$24=3,'Assumptions'!$B$23,0)))),IF('Schedule_Inputs'!$C$24="Office Setup",$C24*IF(26-'Schedule_Inputs'!$B$24=0,'Assumptions'!$B$24,IF(26-'Schedule_Inputs'!$B$24=1,'Assumptions'!$C$24,IF(26-'Schedule_Inputs'!$B$24=2,'Assumptions'!$D$24,0))),IF(OR('Schedule_Inputs'!$C$24="Monthly",'Schedule_Inputs'!$C$24="Periodic"),IF(AND(26&gt;='Schedule_Inputs'!$B$24,MOD(26-'Schedule_Inputs'!$B$24,'Schedule_Inputs'!$E$24)=0,(26-'Schedule_Inputs'!$B$24)/'Schedule_Inputs'!$E$24&lt;'Schedule_Inputs'!$D$24),$C24/'Schedule_Inputs'!$D$24,0),0))))</f>
        <v/>
      </c>
      <c r="AE24" s="231">
        <f>IF('Schedule_Inputs'!$C$24="Blueprint",$C24*IF(27-'Schedule_Inputs'!$B$24=0,'Assumptions'!$B$21,IF(27-'Schedule_Inputs'!$B$24=1,'Assumptions'!$C$21,IF(27-'Schedule_Inputs'!$B$24=2,'Assumptions'!$D$21,0))),IF('Schedule_Inputs'!$C$24="Launch",$C24*IF(27-'Schedule_Inputs'!$B$24=0,'Assumptions'!$B$22,IF(27-'Schedule_Inputs'!$B$24=1,'Assumptions'!$C$22,IF(27-'Schedule_Inputs'!$B$24=2,'Assumptions'!$D$22,IF(27-'Schedule_Inputs'!$B$24=3,'Assumptions'!$B$23,0)))),IF('Schedule_Inputs'!$C$24="Office Setup",$C24*IF(27-'Schedule_Inputs'!$B$24=0,'Assumptions'!$B$24,IF(27-'Schedule_Inputs'!$B$24=1,'Assumptions'!$C$24,IF(27-'Schedule_Inputs'!$B$24=2,'Assumptions'!$D$24,0))),IF(OR('Schedule_Inputs'!$C$24="Monthly",'Schedule_Inputs'!$C$24="Periodic"),IF(AND(27&gt;='Schedule_Inputs'!$B$24,MOD(27-'Schedule_Inputs'!$B$24,'Schedule_Inputs'!$E$24)=0,(27-'Schedule_Inputs'!$B$24)/'Schedule_Inputs'!$E$24&lt;'Schedule_Inputs'!$D$24),$C24/'Schedule_Inputs'!$D$24,0),0))))</f>
        <v/>
      </c>
      <c r="AF24" s="231">
        <f>IF('Schedule_Inputs'!$C$24="Blueprint",$C24*IF(28-'Schedule_Inputs'!$B$24=0,'Assumptions'!$B$21,IF(28-'Schedule_Inputs'!$B$24=1,'Assumptions'!$C$21,IF(28-'Schedule_Inputs'!$B$24=2,'Assumptions'!$D$21,0))),IF('Schedule_Inputs'!$C$24="Launch",$C24*IF(28-'Schedule_Inputs'!$B$24=0,'Assumptions'!$B$22,IF(28-'Schedule_Inputs'!$B$24=1,'Assumptions'!$C$22,IF(28-'Schedule_Inputs'!$B$24=2,'Assumptions'!$D$22,IF(28-'Schedule_Inputs'!$B$24=3,'Assumptions'!$B$23,0)))),IF('Schedule_Inputs'!$C$24="Office Setup",$C24*IF(28-'Schedule_Inputs'!$B$24=0,'Assumptions'!$B$24,IF(28-'Schedule_Inputs'!$B$24=1,'Assumptions'!$C$24,IF(28-'Schedule_Inputs'!$B$24=2,'Assumptions'!$D$24,0))),IF(OR('Schedule_Inputs'!$C$24="Monthly",'Schedule_Inputs'!$C$24="Periodic"),IF(AND(28&gt;='Schedule_Inputs'!$B$24,MOD(28-'Schedule_Inputs'!$B$24,'Schedule_Inputs'!$E$24)=0,(28-'Schedule_Inputs'!$B$24)/'Schedule_Inputs'!$E$24&lt;'Schedule_Inputs'!$D$24),$C24/'Schedule_Inputs'!$D$24,0),0))))</f>
        <v/>
      </c>
      <c r="AG24" s="231">
        <f>IF('Schedule_Inputs'!$C$24="Blueprint",$C24*IF(29-'Schedule_Inputs'!$B$24=0,'Assumptions'!$B$21,IF(29-'Schedule_Inputs'!$B$24=1,'Assumptions'!$C$21,IF(29-'Schedule_Inputs'!$B$24=2,'Assumptions'!$D$21,0))),IF('Schedule_Inputs'!$C$24="Launch",$C24*IF(29-'Schedule_Inputs'!$B$24=0,'Assumptions'!$B$22,IF(29-'Schedule_Inputs'!$B$24=1,'Assumptions'!$C$22,IF(29-'Schedule_Inputs'!$B$24=2,'Assumptions'!$D$22,IF(29-'Schedule_Inputs'!$B$24=3,'Assumptions'!$B$23,0)))),IF('Schedule_Inputs'!$C$24="Office Setup",$C24*IF(29-'Schedule_Inputs'!$B$24=0,'Assumptions'!$B$24,IF(29-'Schedule_Inputs'!$B$24=1,'Assumptions'!$C$24,IF(29-'Schedule_Inputs'!$B$24=2,'Assumptions'!$D$24,0))),IF(OR('Schedule_Inputs'!$C$24="Monthly",'Schedule_Inputs'!$C$24="Periodic"),IF(AND(29&gt;='Schedule_Inputs'!$B$24,MOD(29-'Schedule_Inputs'!$B$24,'Schedule_Inputs'!$E$24)=0,(29-'Schedule_Inputs'!$B$24)/'Schedule_Inputs'!$E$24&lt;'Schedule_Inputs'!$D$24),$C24/'Schedule_Inputs'!$D$24,0),0))))</f>
        <v/>
      </c>
      <c r="AH24" s="231">
        <f>IF('Schedule_Inputs'!$C$24="Blueprint",$C24*IF(30-'Schedule_Inputs'!$B$24=0,'Assumptions'!$B$21,IF(30-'Schedule_Inputs'!$B$24=1,'Assumptions'!$C$21,IF(30-'Schedule_Inputs'!$B$24=2,'Assumptions'!$D$21,0))),IF('Schedule_Inputs'!$C$24="Launch",$C24*IF(30-'Schedule_Inputs'!$B$24=0,'Assumptions'!$B$22,IF(30-'Schedule_Inputs'!$B$24=1,'Assumptions'!$C$22,IF(30-'Schedule_Inputs'!$B$24=2,'Assumptions'!$D$22,IF(30-'Schedule_Inputs'!$B$24=3,'Assumptions'!$B$23,0)))),IF('Schedule_Inputs'!$C$24="Office Setup",$C24*IF(30-'Schedule_Inputs'!$B$24=0,'Assumptions'!$B$24,IF(30-'Schedule_Inputs'!$B$24=1,'Assumptions'!$C$24,IF(30-'Schedule_Inputs'!$B$24=2,'Assumptions'!$D$24,0))),IF(OR('Schedule_Inputs'!$C$24="Monthly",'Schedule_Inputs'!$C$24="Periodic"),IF(AND(30&gt;='Schedule_Inputs'!$B$24,MOD(30-'Schedule_Inputs'!$B$24,'Schedule_Inputs'!$E$24)=0,(30-'Schedule_Inputs'!$B$24)/'Schedule_Inputs'!$E$24&lt;'Schedule_Inputs'!$D$24),$C24/'Schedule_Inputs'!$D$24,0),0))))</f>
        <v/>
      </c>
      <c r="AI24" s="231">
        <f>IF('Schedule_Inputs'!$C$24="Blueprint",$C24*IF(31-'Schedule_Inputs'!$B$24=0,'Assumptions'!$B$21,IF(31-'Schedule_Inputs'!$B$24=1,'Assumptions'!$C$21,IF(31-'Schedule_Inputs'!$B$24=2,'Assumptions'!$D$21,0))),IF('Schedule_Inputs'!$C$24="Launch",$C24*IF(31-'Schedule_Inputs'!$B$24=0,'Assumptions'!$B$22,IF(31-'Schedule_Inputs'!$B$24=1,'Assumptions'!$C$22,IF(31-'Schedule_Inputs'!$B$24=2,'Assumptions'!$D$22,IF(31-'Schedule_Inputs'!$B$24=3,'Assumptions'!$B$23,0)))),IF('Schedule_Inputs'!$C$24="Office Setup",$C24*IF(31-'Schedule_Inputs'!$B$24=0,'Assumptions'!$B$24,IF(31-'Schedule_Inputs'!$B$24=1,'Assumptions'!$C$24,IF(31-'Schedule_Inputs'!$B$24=2,'Assumptions'!$D$24,0))),IF(OR('Schedule_Inputs'!$C$24="Monthly",'Schedule_Inputs'!$C$24="Periodic"),IF(AND(31&gt;='Schedule_Inputs'!$B$24,MOD(31-'Schedule_Inputs'!$B$24,'Schedule_Inputs'!$E$24)=0,(31-'Schedule_Inputs'!$B$24)/'Schedule_Inputs'!$E$24&lt;'Schedule_Inputs'!$D$24),$C24/'Schedule_Inputs'!$D$24,0),0))))</f>
        <v/>
      </c>
      <c r="AJ24" s="231">
        <f>IF('Schedule_Inputs'!$C$24="Blueprint",$C24*IF(32-'Schedule_Inputs'!$B$24=0,'Assumptions'!$B$21,IF(32-'Schedule_Inputs'!$B$24=1,'Assumptions'!$C$21,IF(32-'Schedule_Inputs'!$B$24=2,'Assumptions'!$D$21,0))),IF('Schedule_Inputs'!$C$24="Launch",$C24*IF(32-'Schedule_Inputs'!$B$24=0,'Assumptions'!$B$22,IF(32-'Schedule_Inputs'!$B$24=1,'Assumptions'!$C$22,IF(32-'Schedule_Inputs'!$B$24=2,'Assumptions'!$D$22,IF(32-'Schedule_Inputs'!$B$24=3,'Assumptions'!$B$23,0)))),IF('Schedule_Inputs'!$C$24="Office Setup",$C24*IF(32-'Schedule_Inputs'!$B$24=0,'Assumptions'!$B$24,IF(32-'Schedule_Inputs'!$B$24=1,'Assumptions'!$C$24,IF(32-'Schedule_Inputs'!$B$24=2,'Assumptions'!$D$24,0))),IF(OR('Schedule_Inputs'!$C$24="Monthly",'Schedule_Inputs'!$C$24="Periodic"),IF(AND(32&gt;='Schedule_Inputs'!$B$24,MOD(32-'Schedule_Inputs'!$B$24,'Schedule_Inputs'!$E$24)=0,(32-'Schedule_Inputs'!$B$24)/'Schedule_Inputs'!$E$24&lt;'Schedule_Inputs'!$D$24),$C24/'Schedule_Inputs'!$D$24,0),0))))</f>
        <v/>
      </c>
      <c r="AK24" s="231">
        <f>IF('Schedule_Inputs'!$C$24="Blueprint",$C24*IF(33-'Schedule_Inputs'!$B$24=0,'Assumptions'!$B$21,IF(33-'Schedule_Inputs'!$B$24=1,'Assumptions'!$C$21,IF(33-'Schedule_Inputs'!$B$24=2,'Assumptions'!$D$21,0))),IF('Schedule_Inputs'!$C$24="Launch",$C24*IF(33-'Schedule_Inputs'!$B$24=0,'Assumptions'!$B$22,IF(33-'Schedule_Inputs'!$B$24=1,'Assumptions'!$C$22,IF(33-'Schedule_Inputs'!$B$24=2,'Assumptions'!$D$22,IF(33-'Schedule_Inputs'!$B$24=3,'Assumptions'!$B$23,0)))),IF('Schedule_Inputs'!$C$24="Office Setup",$C24*IF(33-'Schedule_Inputs'!$B$24=0,'Assumptions'!$B$24,IF(33-'Schedule_Inputs'!$B$24=1,'Assumptions'!$C$24,IF(33-'Schedule_Inputs'!$B$24=2,'Assumptions'!$D$24,0))),IF(OR('Schedule_Inputs'!$C$24="Monthly",'Schedule_Inputs'!$C$24="Periodic"),IF(AND(33&gt;='Schedule_Inputs'!$B$24,MOD(33-'Schedule_Inputs'!$B$24,'Schedule_Inputs'!$E$24)=0,(33-'Schedule_Inputs'!$B$24)/'Schedule_Inputs'!$E$24&lt;'Schedule_Inputs'!$D$24),$C24/'Schedule_Inputs'!$D$24,0),0))))</f>
        <v/>
      </c>
      <c r="AL24" s="231">
        <f>IF('Schedule_Inputs'!$C$24="Blueprint",$C24*IF(34-'Schedule_Inputs'!$B$24=0,'Assumptions'!$B$21,IF(34-'Schedule_Inputs'!$B$24=1,'Assumptions'!$C$21,IF(34-'Schedule_Inputs'!$B$24=2,'Assumptions'!$D$21,0))),IF('Schedule_Inputs'!$C$24="Launch",$C24*IF(34-'Schedule_Inputs'!$B$24=0,'Assumptions'!$B$22,IF(34-'Schedule_Inputs'!$B$24=1,'Assumptions'!$C$22,IF(34-'Schedule_Inputs'!$B$24=2,'Assumptions'!$D$22,IF(34-'Schedule_Inputs'!$B$24=3,'Assumptions'!$B$23,0)))),IF('Schedule_Inputs'!$C$24="Office Setup",$C24*IF(34-'Schedule_Inputs'!$B$24=0,'Assumptions'!$B$24,IF(34-'Schedule_Inputs'!$B$24=1,'Assumptions'!$C$24,IF(34-'Schedule_Inputs'!$B$24=2,'Assumptions'!$D$24,0))),IF(OR('Schedule_Inputs'!$C$24="Monthly",'Schedule_Inputs'!$C$24="Periodic"),IF(AND(34&gt;='Schedule_Inputs'!$B$24,MOD(34-'Schedule_Inputs'!$B$24,'Schedule_Inputs'!$E$24)=0,(34-'Schedule_Inputs'!$B$24)/'Schedule_Inputs'!$E$24&lt;'Schedule_Inputs'!$D$24),$C24/'Schedule_Inputs'!$D$24,0),0))))</f>
        <v/>
      </c>
      <c r="AM24" s="231">
        <f>IF('Schedule_Inputs'!$C$24="Blueprint",$C24*IF(35-'Schedule_Inputs'!$B$24=0,'Assumptions'!$B$21,IF(35-'Schedule_Inputs'!$B$24=1,'Assumptions'!$C$21,IF(35-'Schedule_Inputs'!$B$24=2,'Assumptions'!$D$21,0))),IF('Schedule_Inputs'!$C$24="Launch",$C24*IF(35-'Schedule_Inputs'!$B$24=0,'Assumptions'!$B$22,IF(35-'Schedule_Inputs'!$B$24=1,'Assumptions'!$C$22,IF(35-'Schedule_Inputs'!$B$24=2,'Assumptions'!$D$22,IF(35-'Schedule_Inputs'!$B$24=3,'Assumptions'!$B$23,0)))),IF('Schedule_Inputs'!$C$24="Office Setup",$C24*IF(35-'Schedule_Inputs'!$B$24=0,'Assumptions'!$B$24,IF(35-'Schedule_Inputs'!$B$24=1,'Assumptions'!$C$24,IF(35-'Schedule_Inputs'!$B$24=2,'Assumptions'!$D$24,0))),IF(OR('Schedule_Inputs'!$C$24="Monthly",'Schedule_Inputs'!$C$24="Periodic"),IF(AND(35&gt;='Schedule_Inputs'!$B$24,MOD(35-'Schedule_Inputs'!$B$24,'Schedule_Inputs'!$E$24)=0,(35-'Schedule_Inputs'!$B$24)/'Schedule_Inputs'!$E$24&lt;'Schedule_Inputs'!$D$24),$C24/'Schedule_Inputs'!$D$24,0),0))))</f>
        <v/>
      </c>
      <c r="AN24" s="231">
        <f>IF('Schedule_Inputs'!$C$24="Blueprint",$C24*IF(36-'Schedule_Inputs'!$B$24=0,'Assumptions'!$B$21,IF(36-'Schedule_Inputs'!$B$24=1,'Assumptions'!$C$21,IF(36-'Schedule_Inputs'!$B$24=2,'Assumptions'!$D$21,0))),IF('Schedule_Inputs'!$C$24="Launch",$C24*IF(36-'Schedule_Inputs'!$B$24=0,'Assumptions'!$B$22,IF(36-'Schedule_Inputs'!$B$24=1,'Assumptions'!$C$22,IF(36-'Schedule_Inputs'!$B$24=2,'Assumptions'!$D$22,IF(36-'Schedule_Inputs'!$B$24=3,'Assumptions'!$B$23,0)))),IF('Schedule_Inputs'!$C$24="Office Setup",$C24*IF(36-'Schedule_Inputs'!$B$24=0,'Assumptions'!$B$24,IF(36-'Schedule_Inputs'!$B$24=1,'Assumptions'!$C$24,IF(36-'Schedule_Inputs'!$B$24=2,'Assumptions'!$D$24,0))),IF(OR('Schedule_Inputs'!$C$24="Monthly",'Schedule_Inputs'!$C$24="Periodic"),IF(AND(36&gt;='Schedule_Inputs'!$B$24,MOD(36-'Schedule_Inputs'!$B$24,'Schedule_Inputs'!$E$24)=0,(36-'Schedule_Inputs'!$B$24)/'Schedule_Inputs'!$E$24&lt;'Schedule_Inputs'!$D$24),$C24/'Schedule_Inputs'!$D$24,0),0))))</f>
        <v/>
      </c>
    </row>
    <row r="25">
      <c r="A25" s="106" t="inlineStr">
        <is>
          <t>Office Setup 04</t>
        </is>
      </c>
      <c r="B25" s="106" t="n">
        <v>3</v>
      </c>
      <c r="C25" s="230" t="n">
        <v>28000</v>
      </c>
      <c r="D25" s="231" t="inlineStr">
        <is>
          <t>50 / 30 / 20</t>
        </is>
      </c>
      <c r="E25" s="231">
        <f>IF('Schedule_Inputs'!$C$25="Blueprint",$C25*IF(1-'Schedule_Inputs'!$B$25=0,'Assumptions'!$B$21,IF(1-'Schedule_Inputs'!$B$25=1,'Assumptions'!$C$21,IF(1-'Schedule_Inputs'!$B$25=2,'Assumptions'!$D$21,0))),IF('Schedule_Inputs'!$C$25="Launch",$C25*IF(1-'Schedule_Inputs'!$B$25=0,'Assumptions'!$B$22,IF(1-'Schedule_Inputs'!$B$25=1,'Assumptions'!$C$22,IF(1-'Schedule_Inputs'!$B$25=2,'Assumptions'!$D$22,IF(1-'Schedule_Inputs'!$B$25=3,'Assumptions'!$B$23,0)))),IF('Schedule_Inputs'!$C$25="Office Setup",$C25*IF(1-'Schedule_Inputs'!$B$25=0,'Assumptions'!$B$24,IF(1-'Schedule_Inputs'!$B$25=1,'Assumptions'!$C$24,IF(1-'Schedule_Inputs'!$B$25=2,'Assumptions'!$D$24,0))),IF(OR('Schedule_Inputs'!$C$25="Monthly",'Schedule_Inputs'!$C$25="Periodic"),IF(AND(1&gt;='Schedule_Inputs'!$B$25,MOD(1-'Schedule_Inputs'!$B$25,'Schedule_Inputs'!$E$25)=0,(1-'Schedule_Inputs'!$B$25)/'Schedule_Inputs'!$E$25&lt;'Schedule_Inputs'!$D$25),$C25/'Schedule_Inputs'!$D$25,0),0))))</f>
        <v/>
      </c>
      <c r="F25" s="231">
        <f>IF('Schedule_Inputs'!$C$25="Blueprint",$C25*IF(2-'Schedule_Inputs'!$B$25=0,'Assumptions'!$B$21,IF(2-'Schedule_Inputs'!$B$25=1,'Assumptions'!$C$21,IF(2-'Schedule_Inputs'!$B$25=2,'Assumptions'!$D$21,0))),IF('Schedule_Inputs'!$C$25="Launch",$C25*IF(2-'Schedule_Inputs'!$B$25=0,'Assumptions'!$B$22,IF(2-'Schedule_Inputs'!$B$25=1,'Assumptions'!$C$22,IF(2-'Schedule_Inputs'!$B$25=2,'Assumptions'!$D$22,IF(2-'Schedule_Inputs'!$B$25=3,'Assumptions'!$B$23,0)))),IF('Schedule_Inputs'!$C$25="Office Setup",$C25*IF(2-'Schedule_Inputs'!$B$25=0,'Assumptions'!$B$24,IF(2-'Schedule_Inputs'!$B$25=1,'Assumptions'!$C$24,IF(2-'Schedule_Inputs'!$B$25=2,'Assumptions'!$D$24,0))),IF(OR('Schedule_Inputs'!$C$25="Monthly",'Schedule_Inputs'!$C$25="Periodic"),IF(AND(2&gt;='Schedule_Inputs'!$B$25,MOD(2-'Schedule_Inputs'!$B$25,'Schedule_Inputs'!$E$25)=0,(2-'Schedule_Inputs'!$B$25)/'Schedule_Inputs'!$E$25&lt;'Schedule_Inputs'!$D$25),$C25/'Schedule_Inputs'!$D$25,0),0))))</f>
        <v/>
      </c>
      <c r="G25" s="231">
        <f>IF('Schedule_Inputs'!$C$25="Blueprint",$C25*IF(3-'Schedule_Inputs'!$B$25=0,'Assumptions'!$B$21,IF(3-'Schedule_Inputs'!$B$25=1,'Assumptions'!$C$21,IF(3-'Schedule_Inputs'!$B$25=2,'Assumptions'!$D$21,0))),IF('Schedule_Inputs'!$C$25="Launch",$C25*IF(3-'Schedule_Inputs'!$B$25=0,'Assumptions'!$B$22,IF(3-'Schedule_Inputs'!$B$25=1,'Assumptions'!$C$22,IF(3-'Schedule_Inputs'!$B$25=2,'Assumptions'!$D$22,IF(3-'Schedule_Inputs'!$B$25=3,'Assumptions'!$B$23,0)))),IF('Schedule_Inputs'!$C$25="Office Setup",$C25*IF(3-'Schedule_Inputs'!$B$25=0,'Assumptions'!$B$24,IF(3-'Schedule_Inputs'!$B$25=1,'Assumptions'!$C$24,IF(3-'Schedule_Inputs'!$B$25=2,'Assumptions'!$D$24,0))),IF(OR('Schedule_Inputs'!$C$25="Monthly",'Schedule_Inputs'!$C$25="Periodic"),IF(AND(3&gt;='Schedule_Inputs'!$B$25,MOD(3-'Schedule_Inputs'!$B$25,'Schedule_Inputs'!$E$25)=0,(3-'Schedule_Inputs'!$B$25)/'Schedule_Inputs'!$E$25&lt;'Schedule_Inputs'!$D$25),$C25/'Schedule_Inputs'!$D$25,0),0))))</f>
        <v/>
      </c>
      <c r="H25" s="231">
        <f>IF('Schedule_Inputs'!$C$25="Blueprint",$C25*IF(4-'Schedule_Inputs'!$B$25=0,'Assumptions'!$B$21,IF(4-'Schedule_Inputs'!$B$25=1,'Assumptions'!$C$21,IF(4-'Schedule_Inputs'!$B$25=2,'Assumptions'!$D$21,0))),IF('Schedule_Inputs'!$C$25="Launch",$C25*IF(4-'Schedule_Inputs'!$B$25=0,'Assumptions'!$B$22,IF(4-'Schedule_Inputs'!$B$25=1,'Assumptions'!$C$22,IF(4-'Schedule_Inputs'!$B$25=2,'Assumptions'!$D$22,IF(4-'Schedule_Inputs'!$B$25=3,'Assumptions'!$B$23,0)))),IF('Schedule_Inputs'!$C$25="Office Setup",$C25*IF(4-'Schedule_Inputs'!$B$25=0,'Assumptions'!$B$24,IF(4-'Schedule_Inputs'!$B$25=1,'Assumptions'!$C$24,IF(4-'Schedule_Inputs'!$B$25=2,'Assumptions'!$D$24,0))),IF(OR('Schedule_Inputs'!$C$25="Monthly",'Schedule_Inputs'!$C$25="Periodic"),IF(AND(4&gt;='Schedule_Inputs'!$B$25,MOD(4-'Schedule_Inputs'!$B$25,'Schedule_Inputs'!$E$25)=0,(4-'Schedule_Inputs'!$B$25)/'Schedule_Inputs'!$E$25&lt;'Schedule_Inputs'!$D$25),$C25/'Schedule_Inputs'!$D$25,0),0))))</f>
        <v/>
      </c>
      <c r="I25" s="231">
        <f>IF('Schedule_Inputs'!$C$25="Blueprint",$C25*IF(5-'Schedule_Inputs'!$B$25=0,'Assumptions'!$B$21,IF(5-'Schedule_Inputs'!$B$25=1,'Assumptions'!$C$21,IF(5-'Schedule_Inputs'!$B$25=2,'Assumptions'!$D$21,0))),IF('Schedule_Inputs'!$C$25="Launch",$C25*IF(5-'Schedule_Inputs'!$B$25=0,'Assumptions'!$B$22,IF(5-'Schedule_Inputs'!$B$25=1,'Assumptions'!$C$22,IF(5-'Schedule_Inputs'!$B$25=2,'Assumptions'!$D$22,IF(5-'Schedule_Inputs'!$B$25=3,'Assumptions'!$B$23,0)))),IF('Schedule_Inputs'!$C$25="Office Setup",$C25*IF(5-'Schedule_Inputs'!$B$25=0,'Assumptions'!$B$24,IF(5-'Schedule_Inputs'!$B$25=1,'Assumptions'!$C$24,IF(5-'Schedule_Inputs'!$B$25=2,'Assumptions'!$D$24,0))),IF(OR('Schedule_Inputs'!$C$25="Monthly",'Schedule_Inputs'!$C$25="Periodic"),IF(AND(5&gt;='Schedule_Inputs'!$B$25,MOD(5-'Schedule_Inputs'!$B$25,'Schedule_Inputs'!$E$25)=0,(5-'Schedule_Inputs'!$B$25)/'Schedule_Inputs'!$E$25&lt;'Schedule_Inputs'!$D$25),$C25/'Schedule_Inputs'!$D$25,0),0))))</f>
        <v/>
      </c>
      <c r="J25" s="231">
        <f>IF('Schedule_Inputs'!$C$25="Blueprint",$C25*IF(6-'Schedule_Inputs'!$B$25=0,'Assumptions'!$B$21,IF(6-'Schedule_Inputs'!$B$25=1,'Assumptions'!$C$21,IF(6-'Schedule_Inputs'!$B$25=2,'Assumptions'!$D$21,0))),IF('Schedule_Inputs'!$C$25="Launch",$C25*IF(6-'Schedule_Inputs'!$B$25=0,'Assumptions'!$B$22,IF(6-'Schedule_Inputs'!$B$25=1,'Assumptions'!$C$22,IF(6-'Schedule_Inputs'!$B$25=2,'Assumptions'!$D$22,IF(6-'Schedule_Inputs'!$B$25=3,'Assumptions'!$B$23,0)))),IF('Schedule_Inputs'!$C$25="Office Setup",$C25*IF(6-'Schedule_Inputs'!$B$25=0,'Assumptions'!$B$24,IF(6-'Schedule_Inputs'!$B$25=1,'Assumptions'!$C$24,IF(6-'Schedule_Inputs'!$B$25=2,'Assumptions'!$D$24,0))),IF(OR('Schedule_Inputs'!$C$25="Monthly",'Schedule_Inputs'!$C$25="Periodic"),IF(AND(6&gt;='Schedule_Inputs'!$B$25,MOD(6-'Schedule_Inputs'!$B$25,'Schedule_Inputs'!$E$25)=0,(6-'Schedule_Inputs'!$B$25)/'Schedule_Inputs'!$E$25&lt;'Schedule_Inputs'!$D$25),$C25/'Schedule_Inputs'!$D$25,0),0))))</f>
        <v/>
      </c>
      <c r="K25" s="231">
        <f>IF('Schedule_Inputs'!$C$25="Blueprint",$C25*IF(7-'Schedule_Inputs'!$B$25=0,'Assumptions'!$B$21,IF(7-'Schedule_Inputs'!$B$25=1,'Assumptions'!$C$21,IF(7-'Schedule_Inputs'!$B$25=2,'Assumptions'!$D$21,0))),IF('Schedule_Inputs'!$C$25="Launch",$C25*IF(7-'Schedule_Inputs'!$B$25=0,'Assumptions'!$B$22,IF(7-'Schedule_Inputs'!$B$25=1,'Assumptions'!$C$22,IF(7-'Schedule_Inputs'!$B$25=2,'Assumptions'!$D$22,IF(7-'Schedule_Inputs'!$B$25=3,'Assumptions'!$B$23,0)))),IF('Schedule_Inputs'!$C$25="Office Setup",$C25*IF(7-'Schedule_Inputs'!$B$25=0,'Assumptions'!$B$24,IF(7-'Schedule_Inputs'!$B$25=1,'Assumptions'!$C$24,IF(7-'Schedule_Inputs'!$B$25=2,'Assumptions'!$D$24,0))),IF(OR('Schedule_Inputs'!$C$25="Monthly",'Schedule_Inputs'!$C$25="Periodic"),IF(AND(7&gt;='Schedule_Inputs'!$B$25,MOD(7-'Schedule_Inputs'!$B$25,'Schedule_Inputs'!$E$25)=0,(7-'Schedule_Inputs'!$B$25)/'Schedule_Inputs'!$E$25&lt;'Schedule_Inputs'!$D$25),$C25/'Schedule_Inputs'!$D$25,0),0))))</f>
        <v/>
      </c>
      <c r="L25" s="231">
        <f>IF('Schedule_Inputs'!$C$25="Blueprint",$C25*IF(8-'Schedule_Inputs'!$B$25=0,'Assumptions'!$B$21,IF(8-'Schedule_Inputs'!$B$25=1,'Assumptions'!$C$21,IF(8-'Schedule_Inputs'!$B$25=2,'Assumptions'!$D$21,0))),IF('Schedule_Inputs'!$C$25="Launch",$C25*IF(8-'Schedule_Inputs'!$B$25=0,'Assumptions'!$B$22,IF(8-'Schedule_Inputs'!$B$25=1,'Assumptions'!$C$22,IF(8-'Schedule_Inputs'!$B$25=2,'Assumptions'!$D$22,IF(8-'Schedule_Inputs'!$B$25=3,'Assumptions'!$B$23,0)))),IF('Schedule_Inputs'!$C$25="Office Setup",$C25*IF(8-'Schedule_Inputs'!$B$25=0,'Assumptions'!$B$24,IF(8-'Schedule_Inputs'!$B$25=1,'Assumptions'!$C$24,IF(8-'Schedule_Inputs'!$B$25=2,'Assumptions'!$D$24,0))),IF(OR('Schedule_Inputs'!$C$25="Monthly",'Schedule_Inputs'!$C$25="Periodic"),IF(AND(8&gt;='Schedule_Inputs'!$B$25,MOD(8-'Schedule_Inputs'!$B$25,'Schedule_Inputs'!$E$25)=0,(8-'Schedule_Inputs'!$B$25)/'Schedule_Inputs'!$E$25&lt;'Schedule_Inputs'!$D$25),$C25/'Schedule_Inputs'!$D$25,0),0))))</f>
        <v/>
      </c>
      <c r="M25" s="231">
        <f>IF('Schedule_Inputs'!$C$25="Blueprint",$C25*IF(9-'Schedule_Inputs'!$B$25=0,'Assumptions'!$B$21,IF(9-'Schedule_Inputs'!$B$25=1,'Assumptions'!$C$21,IF(9-'Schedule_Inputs'!$B$25=2,'Assumptions'!$D$21,0))),IF('Schedule_Inputs'!$C$25="Launch",$C25*IF(9-'Schedule_Inputs'!$B$25=0,'Assumptions'!$B$22,IF(9-'Schedule_Inputs'!$B$25=1,'Assumptions'!$C$22,IF(9-'Schedule_Inputs'!$B$25=2,'Assumptions'!$D$22,IF(9-'Schedule_Inputs'!$B$25=3,'Assumptions'!$B$23,0)))),IF('Schedule_Inputs'!$C$25="Office Setup",$C25*IF(9-'Schedule_Inputs'!$B$25=0,'Assumptions'!$B$24,IF(9-'Schedule_Inputs'!$B$25=1,'Assumptions'!$C$24,IF(9-'Schedule_Inputs'!$B$25=2,'Assumptions'!$D$24,0))),IF(OR('Schedule_Inputs'!$C$25="Monthly",'Schedule_Inputs'!$C$25="Periodic"),IF(AND(9&gt;='Schedule_Inputs'!$B$25,MOD(9-'Schedule_Inputs'!$B$25,'Schedule_Inputs'!$E$25)=0,(9-'Schedule_Inputs'!$B$25)/'Schedule_Inputs'!$E$25&lt;'Schedule_Inputs'!$D$25),$C25/'Schedule_Inputs'!$D$25,0),0))))</f>
        <v/>
      </c>
      <c r="N25" s="231">
        <f>IF('Schedule_Inputs'!$C$25="Blueprint",$C25*IF(10-'Schedule_Inputs'!$B$25=0,'Assumptions'!$B$21,IF(10-'Schedule_Inputs'!$B$25=1,'Assumptions'!$C$21,IF(10-'Schedule_Inputs'!$B$25=2,'Assumptions'!$D$21,0))),IF('Schedule_Inputs'!$C$25="Launch",$C25*IF(10-'Schedule_Inputs'!$B$25=0,'Assumptions'!$B$22,IF(10-'Schedule_Inputs'!$B$25=1,'Assumptions'!$C$22,IF(10-'Schedule_Inputs'!$B$25=2,'Assumptions'!$D$22,IF(10-'Schedule_Inputs'!$B$25=3,'Assumptions'!$B$23,0)))),IF('Schedule_Inputs'!$C$25="Office Setup",$C25*IF(10-'Schedule_Inputs'!$B$25=0,'Assumptions'!$B$24,IF(10-'Schedule_Inputs'!$B$25=1,'Assumptions'!$C$24,IF(10-'Schedule_Inputs'!$B$25=2,'Assumptions'!$D$24,0))),IF(OR('Schedule_Inputs'!$C$25="Monthly",'Schedule_Inputs'!$C$25="Periodic"),IF(AND(10&gt;='Schedule_Inputs'!$B$25,MOD(10-'Schedule_Inputs'!$B$25,'Schedule_Inputs'!$E$25)=0,(10-'Schedule_Inputs'!$B$25)/'Schedule_Inputs'!$E$25&lt;'Schedule_Inputs'!$D$25),$C25/'Schedule_Inputs'!$D$25,0),0))))</f>
        <v/>
      </c>
      <c r="O25" s="231">
        <f>IF('Schedule_Inputs'!$C$25="Blueprint",$C25*IF(11-'Schedule_Inputs'!$B$25=0,'Assumptions'!$B$21,IF(11-'Schedule_Inputs'!$B$25=1,'Assumptions'!$C$21,IF(11-'Schedule_Inputs'!$B$25=2,'Assumptions'!$D$21,0))),IF('Schedule_Inputs'!$C$25="Launch",$C25*IF(11-'Schedule_Inputs'!$B$25=0,'Assumptions'!$B$22,IF(11-'Schedule_Inputs'!$B$25=1,'Assumptions'!$C$22,IF(11-'Schedule_Inputs'!$B$25=2,'Assumptions'!$D$22,IF(11-'Schedule_Inputs'!$B$25=3,'Assumptions'!$B$23,0)))),IF('Schedule_Inputs'!$C$25="Office Setup",$C25*IF(11-'Schedule_Inputs'!$B$25=0,'Assumptions'!$B$24,IF(11-'Schedule_Inputs'!$B$25=1,'Assumptions'!$C$24,IF(11-'Schedule_Inputs'!$B$25=2,'Assumptions'!$D$24,0))),IF(OR('Schedule_Inputs'!$C$25="Monthly",'Schedule_Inputs'!$C$25="Periodic"),IF(AND(11&gt;='Schedule_Inputs'!$B$25,MOD(11-'Schedule_Inputs'!$B$25,'Schedule_Inputs'!$E$25)=0,(11-'Schedule_Inputs'!$B$25)/'Schedule_Inputs'!$E$25&lt;'Schedule_Inputs'!$D$25),$C25/'Schedule_Inputs'!$D$25,0),0))))</f>
        <v/>
      </c>
      <c r="P25" s="231">
        <f>IF('Schedule_Inputs'!$C$25="Blueprint",$C25*IF(12-'Schedule_Inputs'!$B$25=0,'Assumptions'!$B$21,IF(12-'Schedule_Inputs'!$B$25=1,'Assumptions'!$C$21,IF(12-'Schedule_Inputs'!$B$25=2,'Assumptions'!$D$21,0))),IF('Schedule_Inputs'!$C$25="Launch",$C25*IF(12-'Schedule_Inputs'!$B$25=0,'Assumptions'!$B$22,IF(12-'Schedule_Inputs'!$B$25=1,'Assumptions'!$C$22,IF(12-'Schedule_Inputs'!$B$25=2,'Assumptions'!$D$22,IF(12-'Schedule_Inputs'!$B$25=3,'Assumptions'!$B$23,0)))),IF('Schedule_Inputs'!$C$25="Office Setup",$C25*IF(12-'Schedule_Inputs'!$B$25=0,'Assumptions'!$B$24,IF(12-'Schedule_Inputs'!$B$25=1,'Assumptions'!$C$24,IF(12-'Schedule_Inputs'!$B$25=2,'Assumptions'!$D$24,0))),IF(OR('Schedule_Inputs'!$C$25="Monthly",'Schedule_Inputs'!$C$25="Periodic"),IF(AND(12&gt;='Schedule_Inputs'!$B$25,MOD(12-'Schedule_Inputs'!$B$25,'Schedule_Inputs'!$E$25)=0,(12-'Schedule_Inputs'!$B$25)/'Schedule_Inputs'!$E$25&lt;'Schedule_Inputs'!$D$25),$C25/'Schedule_Inputs'!$D$25,0),0))))</f>
        <v/>
      </c>
      <c r="Q25" s="231">
        <f>IF('Schedule_Inputs'!$C$25="Blueprint",$C25*IF(13-'Schedule_Inputs'!$B$25=0,'Assumptions'!$B$21,IF(13-'Schedule_Inputs'!$B$25=1,'Assumptions'!$C$21,IF(13-'Schedule_Inputs'!$B$25=2,'Assumptions'!$D$21,0))),IF('Schedule_Inputs'!$C$25="Launch",$C25*IF(13-'Schedule_Inputs'!$B$25=0,'Assumptions'!$B$22,IF(13-'Schedule_Inputs'!$B$25=1,'Assumptions'!$C$22,IF(13-'Schedule_Inputs'!$B$25=2,'Assumptions'!$D$22,IF(13-'Schedule_Inputs'!$B$25=3,'Assumptions'!$B$23,0)))),IF('Schedule_Inputs'!$C$25="Office Setup",$C25*IF(13-'Schedule_Inputs'!$B$25=0,'Assumptions'!$B$24,IF(13-'Schedule_Inputs'!$B$25=1,'Assumptions'!$C$24,IF(13-'Schedule_Inputs'!$B$25=2,'Assumptions'!$D$24,0))),IF(OR('Schedule_Inputs'!$C$25="Monthly",'Schedule_Inputs'!$C$25="Periodic"),IF(AND(13&gt;='Schedule_Inputs'!$B$25,MOD(13-'Schedule_Inputs'!$B$25,'Schedule_Inputs'!$E$25)=0,(13-'Schedule_Inputs'!$B$25)/'Schedule_Inputs'!$E$25&lt;'Schedule_Inputs'!$D$25),$C25/'Schedule_Inputs'!$D$25,0),0))))</f>
        <v/>
      </c>
      <c r="R25" s="231">
        <f>IF('Schedule_Inputs'!$C$25="Blueprint",$C25*IF(14-'Schedule_Inputs'!$B$25=0,'Assumptions'!$B$21,IF(14-'Schedule_Inputs'!$B$25=1,'Assumptions'!$C$21,IF(14-'Schedule_Inputs'!$B$25=2,'Assumptions'!$D$21,0))),IF('Schedule_Inputs'!$C$25="Launch",$C25*IF(14-'Schedule_Inputs'!$B$25=0,'Assumptions'!$B$22,IF(14-'Schedule_Inputs'!$B$25=1,'Assumptions'!$C$22,IF(14-'Schedule_Inputs'!$B$25=2,'Assumptions'!$D$22,IF(14-'Schedule_Inputs'!$B$25=3,'Assumptions'!$B$23,0)))),IF('Schedule_Inputs'!$C$25="Office Setup",$C25*IF(14-'Schedule_Inputs'!$B$25=0,'Assumptions'!$B$24,IF(14-'Schedule_Inputs'!$B$25=1,'Assumptions'!$C$24,IF(14-'Schedule_Inputs'!$B$25=2,'Assumptions'!$D$24,0))),IF(OR('Schedule_Inputs'!$C$25="Monthly",'Schedule_Inputs'!$C$25="Periodic"),IF(AND(14&gt;='Schedule_Inputs'!$B$25,MOD(14-'Schedule_Inputs'!$B$25,'Schedule_Inputs'!$E$25)=0,(14-'Schedule_Inputs'!$B$25)/'Schedule_Inputs'!$E$25&lt;'Schedule_Inputs'!$D$25),$C25/'Schedule_Inputs'!$D$25,0),0))))</f>
        <v/>
      </c>
      <c r="S25" s="231">
        <f>IF('Schedule_Inputs'!$C$25="Blueprint",$C25*IF(15-'Schedule_Inputs'!$B$25=0,'Assumptions'!$B$21,IF(15-'Schedule_Inputs'!$B$25=1,'Assumptions'!$C$21,IF(15-'Schedule_Inputs'!$B$25=2,'Assumptions'!$D$21,0))),IF('Schedule_Inputs'!$C$25="Launch",$C25*IF(15-'Schedule_Inputs'!$B$25=0,'Assumptions'!$B$22,IF(15-'Schedule_Inputs'!$B$25=1,'Assumptions'!$C$22,IF(15-'Schedule_Inputs'!$B$25=2,'Assumptions'!$D$22,IF(15-'Schedule_Inputs'!$B$25=3,'Assumptions'!$B$23,0)))),IF('Schedule_Inputs'!$C$25="Office Setup",$C25*IF(15-'Schedule_Inputs'!$B$25=0,'Assumptions'!$B$24,IF(15-'Schedule_Inputs'!$B$25=1,'Assumptions'!$C$24,IF(15-'Schedule_Inputs'!$B$25=2,'Assumptions'!$D$24,0))),IF(OR('Schedule_Inputs'!$C$25="Monthly",'Schedule_Inputs'!$C$25="Periodic"),IF(AND(15&gt;='Schedule_Inputs'!$B$25,MOD(15-'Schedule_Inputs'!$B$25,'Schedule_Inputs'!$E$25)=0,(15-'Schedule_Inputs'!$B$25)/'Schedule_Inputs'!$E$25&lt;'Schedule_Inputs'!$D$25),$C25/'Schedule_Inputs'!$D$25,0),0))))</f>
        <v/>
      </c>
      <c r="T25" s="231">
        <f>IF('Schedule_Inputs'!$C$25="Blueprint",$C25*IF(16-'Schedule_Inputs'!$B$25=0,'Assumptions'!$B$21,IF(16-'Schedule_Inputs'!$B$25=1,'Assumptions'!$C$21,IF(16-'Schedule_Inputs'!$B$25=2,'Assumptions'!$D$21,0))),IF('Schedule_Inputs'!$C$25="Launch",$C25*IF(16-'Schedule_Inputs'!$B$25=0,'Assumptions'!$B$22,IF(16-'Schedule_Inputs'!$B$25=1,'Assumptions'!$C$22,IF(16-'Schedule_Inputs'!$B$25=2,'Assumptions'!$D$22,IF(16-'Schedule_Inputs'!$B$25=3,'Assumptions'!$B$23,0)))),IF('Schedule_Inputs'!$C$25="Office Setup",$C25*IF(16-'Schedule_Inputs'!$B$25=0,'Assumptions'!$B$24,IF(16-'Schedule_Inputs'!$B$25=1,'Assumptions'!$C$24,IF(16-'Schedule_Inputs'!$B$25=2,'Assumptions'!$D$24,0))),IF(OR('Schedule_Inputs'!$C$25="Monthly",'Schedule_Inputs'!$C$25="Periodic"),IF(AND(16&gt;='Schedule_Inputs'!$B$25,MOD(16-'Schedule_Inputs'!$B$25,'Schedule_Inputs'!$E$25)=0,(16-'Schedule_Inputs'!$B$25)/'Schedule_Inputs'!$E$25&lt;'Schedule_Inputs'!$D$25),$C25/'Schedule_Inputs'!$D$25,0),0))))</f>
        <v/>
      </c>
      <c r="U25" s="231">
        <f>IF('Schedule_Inputs'!$C$25="Blueprint",$C25*IF(17-'Schedule_Inputs'!$B$25=0,'Assumptions'!$B$21,IF(17-'Schedule_Inputs'!$B$25=1,'Assumptions'!$C$21,IF(17-'Schedule_Inputs'!$B$25=2,'Assumptions'!$D$21,0))),IF('Schedule_Inputs'!$C$25="Launch",$C25*IF(17-'Schedule_Inputs'!$B$25=0,'Assumptions'!$B$22,IF(17-'Schedule_Inputs'!$B$25=1,'Assumptions'!$C$22,IF(17-'Schedule_Inputs'!$B$25=2,'Assumptions'!$D$22,IF(17-'Schedule_Inputs'!$B$25=3,'Assumptions'!$B$23,0)))),IF('Schedule_Inputs'!$C$25="Office Setup",$C25*IF(17-'Schedule_Inputs'!$B$25=0,'Assumptions'!$B$24,IF(17-'Schedule_Inputs'!$B$25=1,'Assumptions'!$C$24,IF(17-'Schedule_Inputs'!$B$25=2,'Assumptions'!$D$24,0))),IF(OR('Schedule_Inputs'!$C$25="Monthly",'Schedule_Inputs'!$C$25="Periodic"),IF(AND(17&gt;='Schedule_Inputs'!$B$25,MOD(17-'Schedule_Inputs'!$B$25,'Schedule_Inputs'!$E$25)=0,(17-'Schedule_Inputs'!$B$25)/'Schedule_Inputs'!$E$25&lt;'Schedule_Inputs'!$D$25),$C25/'Schedule_Inputs'!$D$25,0),0))))</f>
        <v/>
      </c>
      <c r="V25" s="231">
        <f>IF('Schedule_Inputs'!$C$25="Blueprint",$C25*IF(18-'Schedule_Inputs'!$B$25=0,'Assumptions'!$B$21,IF(18-'Schedule_Inputs'!$B$25=1,'Assumptions'!$C$21,IF(18-'Schedule_Inputs'!$B$25=2,'Assumptions'!$D$21,0))),IF('Schedule_Inputs'!$C$25="Launch",$C25*IF(18-'Schedule_Inputs'!$B$25=0,'Assumptions'!$B$22,IF(18-'Schedule_Inputs'!$B$25=1,'Assumptions'!$C$22,IF(18-'Schedule_Inputs'!$B$25=2,'Assumptions'!$D$22,IF(18-'Schedule_Inputs'!$B$25=3,'Assumptions'!$B$23,0)))),IF('Schedule_Inputs'!$C$25="Office Setup",$C25*IF(18-'Schedule_Inputs'!$B$25=0,'Assumptions'!$B$24,IF(18-'Schedule_Inputs'!$B$25=1,'Assumptions'!$C$24,IF(18-'Schedule_Inputs'!$B$25=2,'Assumptions'!$D$24,0))),IF(OR('Schedule_Inputs'!$C$25="Monthly",'Schedule_Inputs'!$C$25="Periodic"),IF(AND(18&gt;='Schedule_Inputs'!$B$25,MOD(18-'Schedule_Inputs'!$B$25,'Schedule_Inputs'!$E$25)=0,(18-'Schedule_Inputs'!$B$25)/'Schedule_Inputs'!$E$25&lt;'Schedule_Inputs'!$D$25),$C25/'Schedule_Inputs'!$D$25,0),0))))</f>
        <v/>
      </c>
      <c r="W25" s="231">
        <f>IF('Schedule_Inputs'!$C$25="Blueprint",$C25*IF(19-'Schedule_Inputs'!$B$25=0,'Assumptions'!$B$21,IF(19-'Schedule_Inputs'!$B$25=1,'Assumptions'!$C$21,IF(19-'Schedule_Inputs'!$B$25=2,'Assumptions'!$D$21,0))),IF('Schedule_Inputs'!$C$25="Launch",$C25*IF(19-'Schedule_Inputs'!$B$25=0,'Assumptions'!$B$22,IF(19-'Schedule_Inputs'!$B$25=1,'Assumptions'!$C$22,IF(19-'Schedule_Inputs'!$B$25=2,'Assumptions'!$D$22,IF(19-'Schedule_Inputs'!$B$25=3,'Assumptions'!$B$23,0)))),IF('Schedule_Inputs'!$C$25="Office Setup",$C25*IF(19-'Schedule_Inputs'!$B$25=0,'Assumptions'!$B$24,IF(19-'Schedule_Inputs'!$B$25=1,'Assumptions'!$C$24,IF(19-'Schedule_Inputs'!$B$25=2,'Assumptions'!$D$24,0))),IF(OR('Schedule_Inputs'!$C$25="Monthly",'Schedule_Inputs'!$C$25="Periodic"),IF(AND(19&gt;='Schedule_Inputs'!$B$25,MOD(19-'Schedule_Inputs'!$B$25,'Schedule_Inputs'!$E$25)=0,(19-'Schedule_Inputs'!$B$25)/'Schedule_Inputs'!$E$25&lt;'Schedule_Inputs'!$D$25),$C25/'Schedule_Inputs'!$D$25,0),0))))</f>
        <v/>
      </c>
      <c r="X25" s="231">
        <f>IF('Schedule_Inputs'!$C$25="Blueprint",$C25*IF(20-'Schedule_Inputs'!$B$25=0,'Assumptions'!$B$21,IF(20-'Schedule_Inputs'!$B$25=1,'Assumptions'!$C$21,IF(20-'Schedule_Inputs'!$B$25=2,'Assumptions'!$D$21,0))),IF('Schedule_Inputs'!$C$25="Launch",$C25*IF(20-'Schedule_Inputs'!$B$25=0,'Assumptions'!$B$22,IF(20-'Schedule_Inputs'!$B$25=1,'Assumptions'!$C$22,IF(20-'Schedule_Inputs'!$B$25=2,'Assumptions'!$D$22,IF(20-'Schedule_Inputs'!$B$25=3,'Assumptions'!$B$23,0)))),IF('Schedule_Inputs'!$C$25="Office Setup",$C25*IF(20-'Schedule_Inputs'!$B$25=0,'Assumptions'!$B$24,IF(20-'Schedule_Inputs'!$B$25=1,'Assumptions'!$C$24,IF(20-'Schedule_Inputs'!$B$25=2,'Assumptions'!$D$24,0))),IF(OR('Schedule_Inputs'!$C$25="Monthly",'Schedule_Inputs'!$C$25="Periodic"),IF(AND(20&gt;='Schedule_Inputs'!$B$25,MOD(20-'Schedule_Inputs'!$B$25,'Schedule_Inputs'!$E$25)=0,(20-'Schedule_Inputs'!$B$25)/'Schedule_Inputs'!$E$25&lt;'Schedule_Inputs'!$D$25),$C25/'Schedule_Inputs'!$D$25,0),0))))</f>
        <v/>
      </c>
      <c r="Y25" s="231">
        <f>IF('Schedule_Inputs'!$C$25="Blueprint",$C25*IF(21-'Schedule_Inputs'!$B$25=0,'Assumptions'!$B$21,IF(21-'Schedule_Inputs'!$B$25=1,'Assumptions'!$C$21,IF(21-'Schedule_Inputs'!$B$25=2,'Assumptions'!$D$21,0))),IF('Schedule_Inputs'!$C$25="Launch",$C25*IF(21-'Schedule_Inputs'!$B$25=0,'Assumptions'!$B$22,IF(21-'Schedule_Inputs'!$B$25=1,'Assumptions'!$C$22,IF(21-'Schedule_Inputs'!$B$25=2,'Assumptions'!$D$22,IF(21-'Schedule_Inputs'!$B$25=3,'Assumptions'!$B$23,0)))),IF('Schedule_Inputs'!$C$25="Office Setup",$C25*IF(21-'Schedule_Inputs'!$B$25=0,'Assumptions'!$B$24,IF(21-'Schedule_Inputs'!$B$25=1,'Assumptions'!$C$24,IF(21-'Schedule_Inputs'!$B$25=2,'Assumptions'!$D$24,0))),IF(OR('Schedule_Inputs'!$C$25="Monthly",'Schedule_Inputs'!$C$25="Periodic"),IF(AND(21&gt;='Schedule_Inputs'!$B$25,MOD(21-'Schedule_Inputs'!$B$25,'Schedule_Inputs'!$E$25)=0,(21-'Schedule_Inputs'!$B$25)/'Schedule_Inputs'!$E$25&lt;'Schedule_Inputs'!$D$25),$C25/'Schedule_Inputs'!$D$25,0),0))))</f>
        <v/>
      </c>
      <c r="Z25" s="231">
        <f>IF('Schedule_Inputs'!$C$25="Blueprint",$C25*IF(22-'Schedule_Inputs'!$B$25=0,'Assumptions'!$B$21,IF(22-'Schedule_Inputs'!$B$25=1,'Assumptions'!$C$21,IF(22-'Schedule_Inputs'!$B$25=2,'Assumptions'!$D$21,0))),IF('Schedule_Inputs'!$C$25="Launch",$C25*IF(22-'Schedule_Inputs'!$B$25=0,'Assumptions'!$B$22,IF(22-'Schedule_Inputs'!$B$25=1,'Assumptions'!$C$22,IF(22-'Schedule_Inputs'!$B$25=2,'Assumptions'!$D$22,IF(22-'Schedule_Inputs'!$B$25=3,'Assumptions'!$B$23,0)))),IF('Schedule_Inputs'!$C$25="Office Setup",$C25*IF(22-'Schedule_Inputs'!$B$25=0,'Assumptions'!$B$24,IF(22-'Schedule_Inputs'!$B$25=1,'Assumptions'!$C$24,IF(22-'Schedule_Inputs'!$B$25=2,'Assumptions'!$D$24,0))),IF(OR('Schedule_Inputs'!$C$25="Monthly",'Schedule_Inputs'!$C$25="Periodic"),IF(AND(22&gt;='Schedule_Inputs'!$B$25,MOD(22-'Schedule_Inputs'!$B$25,'Schedule_Inputs'!$E$25)=0,(22-'Schedule_Inputs'!$B$25)/'Schedule_Inputs'!$E$25&lt;'Schedule_Inputs'!$D$25),$C25/'Schedule_Inputs'!$D$25,0),0))))</f>
        <v/>
      </c>
      <c r="AA25" s="231">
        <f>IF('Schedule_Inputs'!$C$25="Blueprint",$C25*IF(23-'Schedule_Inputs'!$B$25=0,'Assumptions'!$B$21,IF(23-'Schedule_Inputs'!$B$25=1,'Assumptions'!$C$21,IF(23-'Schedule_Inputs'!$B$25=2,'Assumptions'!$D$21,0))),IF('Schedule_Inputs'!$C$25="Launch",$C25*IF(23-'Schedule_Inputs'!$B$25=0,'Assumptions'!$B$22,IF(23-'Schedule_Inputs'!$B$25=1,'Assumptions'!$C$22,IF(23-'Schedule_Inputs'!$B$25=2,'Assumptions'!$D$22,IF(23-'Schedule_Inputs'!$B$25=3,'Assumptions'!$B$23,0)))),IF('Schedule_Inputs'!$C$25="Office Setup",$C25*IF(23-'Schedule_Inputs'!$B$25=0,'Assumptions'!$B$24,IF(23-'Schedule_Inputs'!$B$25=1,'Assumptions'!$C$24,IF(23-'Schedule_Inputs'!$B$25=2,'Assumptions'!$D$24,0))),IF(OR('Schedule_Inputs'!$C$25="Monthly",'Schedule_Inputs'!$C$25="Periodic"),IF(AND(23&gt;='Schedule_Inputs'!$B$25,MOD(23-'Schedule_Inputs'!$B$25,'Schedule_Inputs'!$E$25)=0,(23-'Schedule_Inputs'!$B$25)/'Schedule_Inputs'!$E$25&lt;'Schedule_Inputs'!$D$25),$C25/'Schedule_Inputs'!$D$25,0),0))))</f>
        <v/>
      </c>
      <c r="AB25" s="231">
        <f>IF('Schedule_Inputs'!$C$25="Blueprint",$C25*IF(24-'Schedule_Inputs'!$B$25=0,'Assumptions'!$B$21,IF(24-'Schedule_Inputs'!$B$25=1,'Assumptions'!$C$21,IF(24-'Schedule_Inputs'!$B$25=2,'Assumptions'!$D$21,0))),IF('Schedule_Inputs'!$C$25="Launch",$C25*IF(24-'Schedule_Inputs'!$B$25=0,'Assumptions'!$B$22,IF(24-'Schedule_Inputs'!$B$25=1,'Assumptions'!$C$22,IF(24-'Schedule_Inputs'!$B$25=2,'Assumptions'!$D$22,IF(24-'Schedule_Inputs'!$B$25=3,'Assumptions'!$B$23,0)))),IF('Schedule_Inputs'!$C$25="Office Setup",$C25*IF(24-'Schedule_Inputs'!$B$25=0,'Assumptions'!$B$24,IF(24-'Schedule_Inputs'!$B$25=1,'Assumptions'!$C$24,IF(24-'Schedule_Inputs'!$B$25=2,'Assumptions'!$D$24,0))),IF(OR('Schedule_Inputs'!$C$25="Monthly",'Schedule_Inputs'!$C$25="Periodic"),IF(AND(24&gt;='Schedule_Inputs'!$B$25,MOD(24-'Schedule_Inputs'!$B$25,'Schedule_Inputs'!$E$25)=0,(24-'Schedule_Inputs'!$B$25)/'Schedule_Inputs'!$E$25&lt;'Schedule_Inputs'!$D$25),$C25/'Schedule_Inputs'!$D$25,0),0))))</f>
        <v/>
      </c>
      <c r="AC25" s="231">
        <f>IF('Schedule_Inputs'!$C$25="Blueprint",$C25*IF(25-'Schedule_Inputs'!$B$25=0,'Assumptions'!$B$21,IF(25-'Schedule_Inputs'!$B$25=1,'Assumptions'!$C$21,IF(25-'Schedule_Inputs'!$B$25=2,'Assumptions'!$D$21,0))),IF('Schedule_Inputs'!$C$25="Launch",$C25*IF(25-'Schedule_Inputs'!$B$25=0,'Assumptions'!$B$22,IF(25-'Schedule_Inputs'!$B$25=1,'Assumptions'!$C$22,IF(25-'Schedule_Inputs'!$B$25=2,'Assumptions'!$D$22,IF(25-'Schedule_Inputs'!$B$25=3,'Assumptions'!$B$23,0)))),IF('Schedule_Inputs'!$C$25="Office Setup",$C25*IF(25-'Schedule_Inputs'!$B$25=0,'Assumptions'!$B$24,IF(25-'Schedule_Inputs'!$B$25=1,'Assumptions'!$C$24,IF(25-'Schedule_Inputs'!$B$25=2,'Assumptions'!$D$24,0))),IF(OR('Schedule_Inputs'!$C$25="Monthly",'Schedule_Inputs'!$C$25="Periodic"),IF(AND(25&gt;='Schedule_Inputs'!$B$25,MOD(25-'Schedule_Inputs'!$B$25,'Schedule_Inputs'!$E$25)=0,(25-'Schedule_Inputs'!$B$25)/'Schedule_Inputs'!$E$25&lt;'Schedule_Inputs'!$D$25),$C25/'Schedule_Inputs'!$D$25,0),0))))</f>
        <v/>
      </c>
      <c r="AD25" s="231">
        <f>IF('Schedule_Inputs'!$C$25="Blueprint",$C25*IF(26-'Schedule_Inputs'!$B$25=0,'Assumptions'!$B$21,IF(26-'Schedule_Inputs'!$B$25=1,'Assumptions'!$C$21,IF(26-'Schedule_Inputs'!$B$25=2,'Assumptions'!$D$21,0))),IF('Schedule_Inputs'!$C$25="Launch",$C25*IF(26-'Schedule_Inputs'!$B$25=0,'Assumptions'!$B$22,IF(26-'Schedule_Inputs'!$B$25=1,'Assumptions'!$C$22,IF(26-'Schedule_Inputs'!$B$25=2,'Assumptions'!$D$22,IF(26-'Schedule_Inputs'!$B$25=3,'Assumptions'!$B$23,0)))),IF('Schedule_Inputs'!$C$25="Office Setup",$C25*IF(26-'Schedule_Inputs'!$B$25=0,'Assumptions'!$B$24,IF(26-'Schedule_Inputs'!$B$25=1,'Assumptions'!$C$24,IF(26-'Schedule_Inputs'!$B$25=2,'Assumptions'!$D$24,0))),IF(OR('Schedule_Inputs'!$C$25="Monthly",'Schedule_Inputs'!$C$25="Periodic"),IF(AND(26&gt;='Schedule_Inputs'!$B$25,MOD(26-'Schedule_Inputs'!$B$25,'Schedule_Inputs'!$E$25)=0,(26-'Schedule_Inputs'!$B$25)/'Schedule_Inputs'!$E$25&lt;'Schedule_Inputs'!$D$25),$C25/'Schedule_Inputs'!$D$25,0),0))))</f>
        <v/>
      </c>
      <c r="AE25" s="231">
        <f>IF('Schedule_Inputs'!$C$25="Blueprint",$C25*IF(27-'Schedule_Inputs'!$B$25=0,'Assumptions'!$B$21,IF(27-'Schedule_Inputs'!$B$25=1,'Assumptions'!$C$21,IF(27-'Schedule_Inputs'!$B$25=2,'Assumptions'!$D$21,0))),IF('Schedule_Inputs'!$C$25="Launch",$C25*IF(27-'Schedule_Inputs'!$B$25=0,'Assumptions'!$B$22,IF(27-'Schedule_Inputs'!$B$25=1,'Assumptions'!$C$22,IF(27-'Schedule_Inputs'!$B$25=2,'Assumptions'!$D$22,IF(27-'Schedule_Inputs'!$B$25=3,'Assumptions'!$B$23,0)))),IF('Schedule_Inputs'!$C$25="Office Setup",$C25*IF(27-'Schedule_Inputs'!$B$25=0,'Assumptions'!$B$24,IF(27-'Schedule_Inputs'!$B$25=1,'Assumptions'!$C$24,IF(27-'Schedule_Inputs'!$B$25=2,'Assumptions'!$D$24,0))),IF(OR('Schedule_Inputs'!$C$25="Monthly",'Schedule_Inputs'!$C$25="Periodic"),IF(AND(27&gt;='Schedule_Inputs'!$B$25,MOD(27-'Schedule_Inputs'!$B$25,'Schedule_Inputs'!$E$25)=0,(27-'Schedule_Inputs'!$B$25)/'Schedule_Inputs'!$E$25&lt;'Schedule_Inputs'!$D$25),$C25/'Schedule_Inputs'!$D$25,0),0))))</f>
        <v/>
      </c>
      <c r="AF25" s="231">
        <f>IF('Schedule_Inputs'!$C$25="Blueprint",$C25*IF(28-'Schedule_Inputs'!$B$25=0,'Assumptions'!$B$21,IF(28-'Schedule_Inputs'!$B$25=1,'Assumptions'!$C$21,IF(28-'Schedule_Inputs'!$B$25=2,'Assumptions'!$D$21,0))),IF('Schedule_Inputs'!$C$25="Launch",$C25*IF(28-'Schedule_Inputs'!$B$25=0,'Assumptions'!$B$22,IF(28-'Schedule_Inputs'!$B$25=1,'Assumptions'!$C$22,IF(28-'Schedule_Inputs'!$B$25=2,'Assumptions'!$D$22,IF(28-'Schedule_Inputs'!$B$25=3,'Assumptions'!$B$23,0)))),IF('Schedule_Inputs'!$C$25="Office Setup",$C25*IF(28-'Schedule_Inputs'!$B$25=0,'Assumptions'!$B$24,IF(28-'Schedule_Inputs'!$B$25=1,'Assumptions'!$C$24,IF(28-'Schedule_Inputs'!$B$25=2,'Assumptions'!$D$24,0))),IF(OR('Schedule_Inputs'!$C$25="Monthly",'Schedule_Inputs'!$C$25="Periodic"),IF(AND(28&gt;='Schedule_Inputs'!$B$25,MOD(28-'Schedule_Inputs'!$B$25,'Schedule_Inputs'!$E$25)=0,(28-'Schedule_Inputs'!$B$25)/'Schedule_Inputs'!$E$25&lt;'Schedule_Inputs'!$D$25),$C25/'Schedule_Inputs'!$D$25,0),0))))</f>
        <v/>
      </c>
      <c r="AG25" s="231">
        <f>IF('Schedule_Inputs'!$C$25="Blueprint",$C25*IF(29-'Schedule_Inputs'!$B$25=0,'Assumptions'!$B$21,IF(29-'Schedule_Inputs'!$B$25=1,'Assumptions'!$C$21,IF(29-'Schedule_Inputs'!$B$25=2,'Assumptions'!$D$21,0))),IF('Schedule_Inputs'!$C$25="Launch",$C25*IF(29-'Schedule_Inputs'!$B$25=0,'Assumptions'!$B$22,IF(29-'Schedule_Inputs'!$B$25=1,'Assumptions'!$C$22,IF(29-'Schedule_Inputs'!$B$25=2,'Assumptions'!$D$22,IF(29-'Schedule_Inputs'!$B$25=3,'Assumptions'!$B$23,0)))),IF('Schedule_Inputs'!$C$25="Office Setup",$C25*IF(29-'Schedule_Inputs'!$B$25=0,'Assumptions'!$B$24,IF(29-'Schedule_Inputs'!$B$25=1,'Assumptions'!$C$24,IF(29-'Schedule_Inputs'!$B$25=2,'Assumptions'!$D$24,0))),IF(OR('Schedule_Inputs'!$C$25="Monthly",'Schedule_Inputs'!$C$25="Periodic"),IF(AND(29&gt;='Schedule_Inputs'!$B$25,MOD(29-'Schedule_Inputs'!$B$25,'Schedule_Inputs'!$E$25)=0,(29-'Schedule_Inputs'!$B$25)/'Schedule_Inputs'!$E$25&lt;'Schedule_Inputs'!$D$25),$C25/'Schedule_Inputs'!$D$25,0),0))))</f>
        <v/>
      </c>
      <c r="AH25" s="231">
        <f>IF('Schedule_Inputs'!$C$25="Blueprint",$C25*IF(30-'Schedule_Inputs'!$B$25=0,'Assumptions'!$B$21,IF(30-'Schedule_Inputs'!$B$25=1,'Assumptions'!$C$21,IF(30-'Schedule_Inputs'!$B$25=2,'Assumptions'!$D$21,0))),IF('Schedule_Inputs'!$C$25="Launch",$C25*IF(30-'Schedule_Inputs'!$B$25=0,'Assumptions'!$B$22,IF(30-'Schedule_Inputs'!$B$25=1,'Assumptions'!$C$22,IF(30-'Schedule_Inputs'!$B$25=2,'Assumptions'!$D$22,IF(30-'Schedule_Inputs'!$B$25=3,'Assumptions'!$B$23,0)))),IF('Schedule_Inputs'!$C$25="Office Setup",$C25*IF(30-'Schedule_Inputs'!$B$25=0,'Assumptions'!$B$24,IF(30-'Schedule_Inputs'!$B$25=1,'Assumptions'!$C$24,IF(30-'Schedule_Inputs'!$B$25=2,'Assumptions'!$D$24,0))),IF(OR('Schedule_Inputs'!$C$25="Monthly",'Schedule_Inputs'!$C$25="Periodic"),IF(AND(30&gt;='Schedule_Inputs'!$B$25,MOD(30-'Schedule_Inputs'!$B$25,'Schedule_Inputs'!$E$25)=0,(30-'Schedule_Inputs'!$B$25)/'Schedule_Inputs'!$E$25&lt;'Schedule_Inputs'!$D$25),$C25/'Schedule_Inputs'!$D$25,0),0))))</f>
        <v/>
      </c>
      <c r="AI25" s="231">
        <f>IF('Schedule_Inputs'!$C$25="Blueprint",$C25*IF(31-'Schedule_Inputs'!$B$25=0,'Assumptions'!$B$21,IF(31-'Schedule_Inputs'!$B$25=1,'Assumptions'!$C$21,IF(31-'Schedule_Inputs'!$B$25=2,'Assumptions'!$D$21,0))),IF('Schedule_Inputs'!$C$25="Launch",$C25*IF(31-'Schedule_Inputs'!$B$25=0,'Assumptions'!$B$22,IF(31-'Schedule_Inputs'!$B$25=1,'Assumptions'!$C$22,IF(31-'Schedule_Inputs'!$B$25=2,'Assumptions'!$D$22,IF(31-'Schedule_Inputs'!$B$25=3,'Assumptions'!$B$23,0)))),IF('Schedule_Inputs'!$C$25="Office Setup",$C25*IF(31-'Schedule_Inputs'!$B$25=0,'Assumptions'!$B$24,IF(31-'Schedule_Inputs'!$B$25=1,'Assumptions'!$C$24,IF(31-'Schedule_Inputs'!$B$25=2,'Assumptions'!$D$24,0))),IF(OR('Schedule_Inputs'!$C$25="Monthly",'Schedule_Inputs'!$C$25="Periodic"),IF(AND(31&gt;='Schedule_Inputs'!$B$25,MOD(31-'Schedule_Inputs'!$B$25,'Schedule_Inputs'!$E$25)=0,(31-'Schedule_Inputs'!$B$25)/'Schedule_Inputs'!$E$25&lt;'Schedule_Inputs'!$D$25),$C25/'Schedule_Inputs'!$D$25,0),0))))</f>
        <v/>
      </c>
      <c r="AJ25" s="231">
        <f>IF('Schedule_Inputs'!$C$25="Blueprint",$C25*IF(32-'Schedule_Inputs'!$B$25=0,'Assumptions'!$B$21,IF(32-'Schedule_Inputs'!$B$25=1,'Assumptions'!$C$21,IF(32-'Schedule_Inputs'!$B$25=2,'Assumptions'!$D$21,0))),IF('Schedule_Inputs'!$C$25="Launch",$C25*IF(32-'Schedule_Inputs'!$B$25=0,'Assumptions'!$B$22,IF(32-'Schedule_Inputs'!$B$25=1,'Assumptions'!$C$22,IF(32-'Schedule_Inputs'!$B$25=2,'Assumptions'!$D$22,IF(32-'Schedule_Inputs'!$B$25=3,'Assumptions'!$B$23,0)))),IF('Schedule_Inputs'!$C$25="Office Setup",$C25*IF(32-'Schedule_Inputs'!$B$25=0,'Assumptions'!$B$24,IF(32-'Schedule_Inputs'!$B$25=1,'Assumptions'!$C$24,IF(32-'Schedule_Inputs'!$B$25=2,'Assumptions'!$D$24,0))),IF(OR('Schedule_Inputs'!$C$25="Monthly",'Schedule_Inputs'!$C$25="Periodic"),IF(AND(32&gt;='Schedule_Inputs'!$B$25,MOD(32-'Schedule_Inputs'!$B$25,'Schedule_Inputs'!$E$25)=0,(32-'Schedule_Inputs'!$B$25)/'Schedule_Inputs'!$E$25&lt;'Schedule_Inputs'!$D$25),$C25/'Schedule_Inputs'!$D$25,0),0))))</f>
        <v/>
      </c>
      <c r="AK25" s="231">
        <f>IF('Schedule_Inputs'!$C$25="Blueprint",$C25*IF(33-'Schedule_Inputs'!$B$25=0,'Assumptions'!$B$21,IF(33-'Schedule_Inputs'!$B$25=1,'Assumptions'!$C$21,IF(33-'Schedule_Inputs'!$B$25=2,'Assumptions'!$D$21,0))),IF('Schedule_Inputs'!$C$25="Launch",$C25*IF(33-'Schedule_Inputs'!$B$25=0,'Assumptions'!$B$22,IF(33-'Schedule_Inputs'!$B$25=1,'Assumptions'!$C$22,IF(33-'Schedule_Inputs'!$B$25=2,'Assumptions'!$D$22,IF(33-'Schedule_Inputs'!$B$25=3,'Assumptions'!$B$23,0)))),IF('Schedule_Inputs'!$C$25="Office Setup",$C25*IF(33-'Schedule_Inputs'!$B$25=0,'Assumptions'!$B$24,IF(33-'Schedule_Inputs'!$B$25=1,'Assumptions'!$C$24,IF(33-'Schedule_Inputs'!$B$25=2,'Assumptions'!$D$24,0))),IF(OR('Schedule_Inputs'!$C$25="Monthly",'Schedule_Inputs'!$C$25="Periodic"),IF(AND(33&gt;='Schedule_Inputs'!$B$25,MOD(33-'Schedule_Inputs'!$B$25,'Schedule_Inputs'!$E$25)=0,(33-'Schedule_Inputs'!$B$25)/'Schedule_Inputs'!$E$25&lt;'Schedule_Inputs'!$D$25),$C25/'Schedule_Inputs'!$D$25,0),0))))</f>
        <v/>
      </c>
      <c r="AL25" s="231">
        <f>IF('Schedule_Inputs'!$C$25="Blueprint",$C25*IF(34-'Schedule_Inputs'!$B$25=0,'Assumptions'!$B$21,IF(34-'Schedule_Inputs'!$B$25=1,'Assumptions'!$C$21,IF(34-'Schedule_Inputs'!$B$25=2,'Assumptions'!$D$21,0))),IF('Schedule_Inputs'!$C$25="Launch",$C25*IF(34-'Schedule_Inputs'!$B$25=0,'Assumptions'!$B$22,IF(34-'Schedule_Inputs'!$B$25=1,'Assumptions'!$C$22,IF(34-'Schedule_Inputs'!$B$25=2,'Assumptions'!$D$22,IF(34-'Schedule_Inputs'!$B$25=3,'Assumptions'!$B$23,0)))),IF('Schedule_Inputs'!$C$25="Office Setup",$C25*IF(34-'Schedule_Inputs'!$B$25=0,'Assumptions'!$B$24,IF(34-'Schedule_Inputs'!$B$25=1,'Assumptions'!$C$24,IF(34-'Schedule_Inputs'!$B$25=2,'Assumptions'!$D$24,0))),IF(OR('Schedule_Inputs'!$C$25="Monthly",'Schedule_Inputs'!$C$25="Periodic"),IF(AND(34&gt;='Schedule_Inputs'!$B$25,MOD(34-'Schedule_Inputs'!$B$25,'Schedule_Inputs'!$E$25)=0,(34-'Schedule_Inputs'!$B$25)/'Schedule_Inputs'!$E$25&lt;'Schedule_Inputs'!$D$25),$C25/'Schedule_Inputs'!$D$25,0),0))))</f>
        <v/>
      </c>
      <c r="AM25" s="231">
        <f>IF('Schedule_Inputs'!$C$25="Blueprint",$C25*IF(35-'Schedule_Inputs'!$B$25=0,'Assumptions'!$B$21,IF(35-'Schedule_Inputs'!$B$25=1,'Assumptions'!$C$21,IF(35-'Schedule_Inputs'!$B$25=2,'Assumptions'!$D$21,0))),IF('Schedule_Inputs'!$C$25="Launch",$C25*IF(35-'Schedule_Inputs'!$B$25=0,'Assumptions'!$B$22,IF(35-'Schedule_Inputs'!$B$25=1,'Assumptions'!$C$22,IF(35-'Schedule_Inputs'!$B$25=2,'Assumptions'!$D$22,IF(35-'Schedule_Inputs'!$B$25=3,'Assumptions'!$B$23,0)))),IF('Schedule_Inputs'!$C$25="Office Setup",$C25*IF(35-'Schedule_Inputs'!$B$25=0,'Assumptions'!$B$24,IF(35-'Schedule_Inputs'!$B$25=1,'Assumptions'!$C$24,IF(35-'Schedule_Inputs'!$B$25=2,'Assumptions'!$D$24,0))),IF(OR('Schedule_Inputs'!$C$25="Monthly",'Schedule_Inputs'!$C$25="Periodic"),IF(AND(35&gt;='Schedule_Inputs'!$B$25,MOD(35-'Schedule_Inputs'!$B$25,'Schedule_Inputs'!$E$25)=0,(35-'Schedule_Inputs'!$B$25)/'Schedule_Inputs'!$E$25&lt;'Schedule_Inputs'!$D$25),$C25/'Schedule_Inputs'!$D$25,0),0))))</f>
        <v/>
      </c>
      <c r="AN25" s="231">
        <f>IF('Schedule_Inputs'!$C$25="Blueprint",$C25*IF(36-'Schedule_Inputs'!$B$25=0,'Assumptions'!$B$21,IF(36-'Schedule_Inputs'!$B$25=1,'Assumptions'!$C$21,IF(36-'Schedule_Inputs'!$B$25=2,'Assumptions'!$D$21,0))),IF('Schedule_Inputs'!$C$25="Launch",$C25*IF(36-'Schedule_Inputs'!$B$25=0,'Assumptions'!$B$22,IF(36-'Schedule_Inputs'!$B$25=1,'Assumptions'!$C$22,IF(36-'Schedule_Inputs'!$B$25=2,'Assumptions'!$D$22,IF(36-'Schedule_Inputs'!$B$25=3,'Assumptions'!$B$23,0)))),IF('Schedule_Inputs'!$C$25="Office Setup",$C25*IF(36-'Schedule_Inputs'!$B$25=0,'Assumptions'!$B$24,IF(36-'Schedule_Inputs'!$B$25=1,'Assumptions'!$C$24,IF(36-'Schedule_Inputs'!$B$25=2,'Assumptions'!$D$24,0))),IF(OR('Schedule_Inputs'!$C$25="Monthly",'Schedule_Inputs'!$C$25="Periodic"),IF(AND(36&gt;='Schedule_Inputs'!$B$25,MOD(36-'Schedule_Inputs'!$B$25,'Schedule_Inputs'!$E$25)=0,(36-'Schedule_Inputs'!$B$25)/'Schedule_Inputs'!$E$25&lt;'Schedule_Inputs'!$D$25),$C25/'Schedule_Inputs'!$D$25,0),0))))</f>
        <v/>
      </c>
    </row>
    <row r="26">
      <c r="A26" s="106" t="inlineStr">
        <is>
          <t>Retainer 03</t>
        </is>
      </c>
      <c r="B26" s="106" t="n">
        <v>3</v>
      </c>
      <c r="C26" s="230" t="n">
        <v>144000</v>
      </c>
      <c r="D26" s="231" t="inlineStr">
        <is>
          <t>monthly in advance</t>
        </is>
      </c>
      <c r="E26" s="231">
        <f>IF('Schedule_Inputs'!$C$26="Blueprint",$C26*IF(1-'Schedule_Inputs'!$B$26=0,'Assumptions'!$B$21,IF(1-'Schedule_Inputs'!$B$26=1,'Assumptions'!$C$21,IF(1-'Schedule_Inputs'!$B$26=2,'Assumptions'!$D$21,0))),IF('Schedule_Inputs'!$C$26="Launch",$C26*IF(1-'Schedule_Inputs'!$B$26=0,'Assumptions'!$B$22,IF(1-'Schedule_Inputs'!$B$26=1,'Assumptions'!$C$22,IF(1-'Schedule_Inputs'!$B$26=2,'Assumptions'!$D$22,IF(1-'Schedule_Inputs'!$B$26=3,'Assumptions'!$B$23,0)))),IF('Schedule_Inputs'!$C$26="Office Setup",$C26*IF(1-'Schedule_Inputs'!$B$26=0,'Assumptions'!$B$24,IF(1-'Schedule_Inputs'!$B$26=1,'Assumptions'!$C$24,IF(1-'Schedule_Inputs'!$B$26=2,'Assumptions'!$D$24,0))),IF(OR('Schedule_Inputs'!$C$26="Monthly",'Schedule_Inputs'!$C$26="Periodic"),IF(AND(1&gt;='Schedule_Inputs'!$B$26,MOD(1-'Schedule_Inputs'!$B$26,'Schedule_Inputs'!$E$26)=0,(1-'Schedule_Inputs'!$B$26)/'Schedule_Inputs'!$E$26&lt;'Schedule_Inputs'!$D$26),$C26/'Schedule_Inputs'!$D$26,0),0))))</f>
        <v/>
      </c>
      <c r="F26" s="231">
        <f>IF('Schedule_Inputs'!$C$26="Blueprint",$C26*IF(2-'Schedule_Inputs'!$B$26=0,'Assumptions'!$B$21,IF(2-'Schedule_Inputs'!$B$26=1,'Assumptions'!$C$21,IF(2-'Schedule_Inputs'!$B$26=2,'Assumptions'!$D$21,0))),IF('Schedule_Inputs'!$C$26="Launch",$C26*IF(2-'Schedule_Inputs'!$B$26=0,'Assumptions'!$B$22,IF(2-'Schedule_Inputs'!$B$26=1,'Assumptions'!$C$22,IF(2-'Schedule_Inputs'!$B$26=2,'Assumptions'!$D$22,IF(2-'Schedule_Inputs'!$B$26=3,'Assumptions'!$B$23,0)))),IF('Schedule_Inputs'!$C$26="Office Setup",$C26*IF(2-'Schedule_Inputs'!$B$26=0,'Assumptions'!$B$24,IF(2-'Schedule_Inputs'!$B$26=1,'Assumptions'!$C$24,IF(2-'Schedule_Inputs'!$B$26=2,'Assumptions'!$D$24,0))),IF(OR('Schedule_Inputs'!$C$26="Monthly",'Schedule_Inputs'!$C$26="Periodic"),IF(AND(2&gt;='Schedule_Inputs'!$B$26,MOD(2-'Schedule_Inputs'!$B$26,'Schedule_Inputs'!$E$26)=0,(2-'Schedule_Inputs'!$B$26)/'Schedule_Inputs'!$E$26&lt;'Schedule_Inputs'!$D$26),$C26/'Schedule_Inputs'!$D$26,0),0))))</f>
        <v/>
      </c>
      <c r="G26" s="231">
        <f>IF('Schedule_Inputs'!$C$26="Blueprint",$C26*IF(3-'Schedule_Inputs'!$B$26=0,'Assumptions'!$B$21,IF(3-'Schedule_Inputs'!$B$26=1,'Assumptions'!$C$21,IF(3-'Schedule_Inputs'!$B$26=2,'Assumptions'!$D$21,0))),IF('Schedule_Inputs'!$C$26="Launch",$C26*IF(3-'Schedule_Inputs'!$B$26=0,'Assumptions'!$B$22,IF(3-'Schedule_Inputs'!$B$26=1,'Assumptions'!$C$22,IF(3-'Schedule_Inputs'!$B$26=2,'Assumptions'!$D$22,IF(3-'Schedule_Inputs'!$B$26=3,'Assumptions'!$B$23,0)))),IF('Schedule_Inputs'!$C$26="Office Setup",$C26*IF(3-'Schedule_Inputs'!$B$26=0,'Assumptions'!$B$24,IF(3-'Schedule_Inputs'!$B$26=1,'Assumptions'!$C$24,IF(3-'Schedule_Inputs'!$B$26=2,'Assumptions'!$D$24,0))),IF(OR('Schedule_Inputs'!$C$26="Monthly",'Schedule_Inputs'!$C$26="Periodic"),IF(AND(3&gt;='Schedule_Inputs'!$B$26,MOD(3-'Schedule_Inputs'!$B$26,'Schedule_Inputs'!$E$26)=0,(3-'Schedule_Inputs'!$B$26)/'Schedule_Inputs'!$E$26&lt;'Schedule_Inputs'!$D$26),$C26/'Schedule_Inputs'!$D$26,0),0))))</f>
        <v/>
      </c>
      <c r="H26" s="231">
        <f>IF('Schedule_Inputs'!$C$26="Blueprint",$C26*IF(4-'Schedule_Inputs'!$B$26=0,'Assumptions'!$B$21,IF(4-'Schedule_Inputs'!$B$26=1,'Assumptions'!$C$21,IF(4-'Schedule_Inputs'!$B$26=2,'Assumptions'!$D$21,0))),IF('Schedule_Inputs'!$C$26="Launch",$C26*IF(4-'Schedule_Inputs'!$B$26=0,'Assumptions'!$B$22,IF(4-'Schedule_Inputs'!$B$26=1,'Assumptions'!$C$22,IF(4-'Schedule_Inputs'!$B$26=2,'Assumptions'!$D$22,IF(4-'Schedule_Inputs'!$B$26=3,'Assumptions'!$B$23,0)))),IF('Schedule_Inputs'!$C$26="Office Setup",$C26*IF(4-'Schedule_Inputs'!$B$26=0,'Assumptions'!$B$24,IF(4-'Schedule_Inputs'!$B$26=1,'Assumptions'!$C$24,IF(4-'Schedule_Inputs'!$B$26=2,'Assumptions'!$D$24,0))),IF(OR('Schedule_Inputs'!$C$26="Monthly",'Schedule_Inputs'!$C$26="Periodic"),IF(AND(4&gt;='Schedule_Inputs'!$B$26,MOD(4-'Schedule_Inputs'!$B$26,'Schedule_Inputs'!$E$26)=0,(4-'Schedule_Inputs'!$B$26)/'Schedule_Inputs'!$E$26&lt;'Schedule_Inputs'!$D$26),$C26/'Schedule_Inputs'!$D$26,0),0))))</f>
        <v/>
      </c>
      <c r="I26" s="231">
        <f>IF('Schedule_Inputs'!$C$26="Blueprint",$C26*IF(5-'Schedule_Inputs'!$B$26=0,'Assumptions'!$B$21,IF(5-'Schedule_Inputs'!$B$26=1,'Assumptions'!$C$21,IF(5-'Schedule_Inputs'!$B$26=2,'Assumptions'!$D$21,0))),IF('Schedule_Inputs'!$C$26="Launch",$C26*IF(5-'Schedule_Inputs'!$B$26=0,'Assumptions'!$B$22,IF(5-'Schedule_Inputs'!$B$26=1,'Assumptions'!$C$22,IF(5-'Schedule_Inputs'!$B$26=2,'Assumptions'!$D$22,IF(5-'Schedule_Inputs'!$B$26=3,'Assumptions'!$B$23,0)))),IF('Schedule_Inputs'!$C$26="Office Setup",$C26*IF(5-'Schedule_Inputs'!$B$26=0,'Assumptions'!$B$24,IF(5-'Schedule_Inputs'!$B$26=1,'Assumptions'!$C$24,IF(5-'Schedule_Inputs'!$B$26=2,'Assumptions'!$D$24,0))),IF(OR('Schedule_Inputs'!$C$26="Monthly",'Schedule_Inputs'!$C$26="Periodic"),IF(AND(5&gt;='Schedule_Inputs'!$B$26,MOD(5-'Schedule_Inputs'!$B$26,'Schedule_Inputs'!$E$26)=0,(5-'Schedule_Inputs'!$B$26)/'Schedule_Inputs'!$E$26&lt;'Schedule_Inputs'!$D$26),$C26/'Schedule_Inputs'!$D$26,0),0))))</f>
        <v/>
      </c>
      <c r="J26" s="231">
        <f>IF('Schedule_Inputs'!$C$26="Blueprint",$C26*IF(6-'Schedule_Inputs'!$B$26=0,'Assumptions'!$B$21,IF(6-'Schedule_Inputs'!$B$26=1,'Assumptions'!$C$21,IF(6-'Schedule_Inputs'!$B$26=2,'Assumptions'!$D$21,0))),IF('Schedule_Inputs'!$C$26="Launch",$C26*IF(6-'Schedule_Inputs'!$B$26=0,'Assumptions'!$B$22,IF(6-'Schedule_Inputs'!$B$26=1,'Assumptions'!$C$22,IF(6-'Schedule_Inputs'!$B$26=2,'Assumptions'!$D$22,IF(6-'Schedule_Inputs'!$B$26=3,'Assumptions'!$B$23,0)))),IF('Schedule_Inputs'!$C$26="Office Setup",$C26*IF(6-'Schedule_Inputs'!$B$26=0,'Assumptions'!$B$24,IF(6-'Schedule_Inputs'!$B$26=1,'Assumptions'!$C$24,IF(6-'Schedule_Inputs'!$B$26=2,'Assumptions'!$D$24,0))),IF(OR('Schedule_Inputs'!$C$26="Monthly",'Schedule_Inputs'!$C$26="Periodic"),IF(AND(6&gt;='Schedule_Inputs'!$B$26,MOD(6-'Schedule_Inputs'!$B$26,'Schedule_Inputs'!$E$26)=0,(6-'Schedule_Inputs'!$B$26)/'Schedule_Inputs'!$E$26&lt;'Schedule_Inputs'!$D$26),$C26/'Schedule_Inputs'!$D$26,0),0))))</f>
        <v/>
      </c>
      <c r="K26" s="231">
        <f>IF('Schedule_Inputs'!$C$26="Blueprint",$C26*IF(7-'Schedule_Inputs'!$B$26=0,'Assumptions'!$B$21,IF(7-'Schedule_Inputs'!$B$26=1,'Assumptions'!$C$21,IF(7-'Schedule_Inputs'!$B$26=2,'Assumptions'!$D$21,0))),IF('Schedule_Inputs'!$C$26="Launch",$C26*IF(7-'Schedule_Inputs'!$B$26=0,'Assumptions'!$B$22,IF(7-'Schedule_Inputs'!$B$26=1,'Assumptions'!$C$22,IF(7-'Schedule_Inputs'!$B$26=2,'Assumptions'!$D$22,IF(7-'Schedule_Inputs'!$B$26=3,'Assumptions'!$B$23,0)))),IF('Schedule_Inputs'!$C$26="Office Setup",$C26*IF(7-'Schedule_Inputs'!$B$26=0,'Assumptions'!$B$24,IF(7-'Schedule_Inputs'!$B$26=1,'Assumptions'!$C$24,IF(7-'Schedule_Inputs'!$B$26=2,'Assumptions'!$D$24,0))),IF(OR('Schedule_Inputs'!$C$26="Monthly",'Schedule_Inputs'!$C$26="Periodic"),IF(AND(7&gt;='Schedule_Inputs'!$B$26,MOD(7-'Schedule_Inputs'!$B$26,'Schedule_Inputs'!$E$26)=0,(7-'Schedule_Inputs'!$B$26)/'Schedule_Inputs'!$E$26&lt;'Schedule_Inputs'!$D$26),$C26/'Schedule_Inputs'!$D$26,0),0))))</f>
        <v/>
      </c>
      <c r="L26" s="231">
        <f>IF('Schedule_Inputs'!$C$26="Blueprint",$C26*IF(8-'Schedule_Inputs'!$B$26=0,'Assumptions'!$B$21,IF(8-'Schedule_Inputs'!$B$26=1,'Assumptions'!$C$21,IF(8-'Schedule_Inputs'!$B$26=2,'Assumptions'!$D$21,0))),IF('Schedule_Inputs'!$C$26="Launch",$C26*IF(8-'Schedule_Inputs'!$B$26=0,'Assumptions'!$B$22,IF(8-'Schedule_Inputs'!$B$26=1,'Assumptions'!$C$22,IF(8-'Schedule_Inputs'!$B$26=2,'Assumptions'!$D$22,IF(8-'Schedule_Inputs'!$B$26=3,'Assumptions'!$B$23,0)))),IF('Schedule_Inputs'!$C$26="Office Setup",$C26*IF(8-'Schedule_Inputs'!$B$26=0,'Assumptions'!$B$24,IF(8-'Schedule_Inputs'!$B$26=1,'Assumptions'!$C$24,IF(8-'Schedule_Inputs'!$B$26=2,'Assumptions'!$D$24,0))),IF(OR('Schedule_Inputs'!$C$26="Monthly",'Schedule_Inputs'!$C$26="Periodic"),IF(AND(8&gt;='Schedule_Inputs'!$B$26,MOD(8-'Schedule_Inputs'!$B$26,'Schedule_Inputs'!$E$26)=0,(8-'Schedule_Inputs'!$B$26)/'Schedule_Inputs'!$E$26&lt;'Schedule_Inputs'!$D$26),$C26/'Schedule_Inputs'!$D$26,0),0))))</f>
        <v/>
      </c>
      <c r="M26" s="231">
        <f>IF('Schedule_Inputs'!$C$26="Blueprint",$C26*IF(9-'Schedule_Inputs'!$B$26=0,'Assumptions'!$B$21,IF(9-'Schedule_Inputs'!$B$26=1,'Assumptions'!$C$21,IF(9-'Schedule_Inputs'!$B$26=2,'Assumptions'!$D$21,0))),IF('Schedule_Inputs'!$C$26="Launch",$C26*IF(9-'Schedule_Inputs'!$B$26=0,'Assumptions'!$B$22,IF(9-'Schedule_Inputs'!$B$26=1,'Assumptions'!$C$22,IF(9-'Schedule_Inputs'!$B$26=2,'Assumptions'!$D$22,IF(9-'Schedule_Inputs'!$B$26=3,'Assumptions'!$B$23,0)))),IF('Schedule_Inputs'!$C$26="Office Setup",$C26*IF(9-'Schedule_Inputs'!$B$26=0,'Assumptions'!$B$24,IF(9-'Schedule_Inputs'!$B$26=1,'Assumptions'!$C$24,IF(9-'Schedule_Inputs'!$B$26=2,'Assumptions'!$D$24,0))),IF(OR('Schedule_Inputs'!$C$26="Monthly",'Schedule_Inputs'!$C$26="Periodic"),IF(AND(9&gt;='Schedule_Inputs'!$B$26,MOD(9-'Schedule_Inputs'!$B$26,'Schedule_Inputs'!$E$26)=0,(9-'Schedule_Inputs'!$B$26)/'Schedule_Inputs'!$E$26&lt;'Schedule_Inputs'!$D$26),$C26/'Schedule_Inputs'!$D$26,0),0))))</f>
        <v/>
      </c>
      <c r="N26" s="231">
        <f>IF('Schedule_Inputs'!$C$26="Blueprint",$C26*IF(10-'Schedule_Inputs'!$B$26=0,'Assumptions'!$B$21,IF(10-'Schedule_Inputs'!$B$26=1,'Assumptions'!$C$21,IF(10-'Schedule_Inputs'!$B$26=2,'Assumptions'!$D$21,0))),IF('Schedule_Inputs'!$C$26="Launch",$C26*IF(10-'Schedule_Inputs'!$B$26=0,'Assumptions'!$B$22,IF(10-'Schedule_Inputs'!$B$26=1,'Assumptions'!$C$22,IF(10-'Schedule_Inputs'!$B$26=2,'Assumptions'!$D$22,IF(10-'Schedule_Inputs'!$B$26=3,'Assumptions'!$B$23,0)))),IF('Schedule_Inputs'!$C$26="Office Setup",$C26*IF(10-'Schedule_Inputs'!$B$26=0,'Assumptions'!$B$24,IF(10-'Schedule_Inputs'!$B$26=1,'Assumptions'!$C$24,IF(10-'Schedule_Inputs'!$B$26=2,'Assumptions'!$D$24,0))),IF(OR('Schedule_Inputs'!$C$26="Monthly",'Schedule_Inputs'!$C$26="Periodic"),IF(AND(10&gt;='Schedule_Inputs'!$B$26,MOD(10-'Schedule_Inputs'!$B$26,'Schedule_Inputs'!$E$26)=0,(10-'Schedule_Inputs'!$B$26)/'Schedule_Inputs'!$E$26&lt;'Schedule_Inputs'!$D$26),$C26/'Schedule_Inputs'!$D$26,0),0))))</f>
        <v/>
      </c>
      <c r="O26" s="231">
        <f>IF('Schedule_Inputs'!$C$26="Blueprint",$C26*IF(11-'Schedule_Inputs'!$B$26=0,'Assumptions'!$B$21,IF(11-'Schedule_Inputs'!$B$26=1,'Assumptions'!$C$21,IF(11-'Schedule_Inputs'!$B$26=2,'Assumptions'!$D$21,0))),IF('Schedule_Inputs'!$C$26="Launch",$C26*IF(11-'Schedule_Inputs'!$B$26=0,'Assumptions'!$B$22,IF(11-'Schedule_Inputs'!$B$26=1,'Assumptions'!$C$22,IF(11-'Schedule_Inputs'!$B$26=2,'Assumptions'!$D$22,IF(11-'Schedule_Inputs'!$B$26=3,'Assumptions'!$B$23,0)))),IF('Schedule_Inputs'!$C$26="Office Setup",$C26*IF(11-'Schedule_Inputs'!$B$26=0,'Assumptions'!$B$24,IF(11-'Schedule_Inputs'!$B$26=1,'Assumptions'!$C$24,IF(11-'Schedule_Inputs'!$B$26=2,'Assumptions'!$D$24,0))),IF(OR('Schedule_Inputs'!$C$26="Monthly",'Schedule_Inputs'!$C$26="Periodic"),IF(AND(11&gt;='Schedule_Inputs'!$B$26,MOD(11-'Schedule_Inputs'!$B$26,'Schedule_Inputs'!$E$26)=0,(11-'Schedule_Inputs'!$B$26)/'Schedule_Inputs'!$E$26&lt;'Schedule_Inputs'!$D$26),$C26/'Schedule_Inputs'!$D$26,0),0))))</f>
        <v/>
      </c>
      <c r="P26" s="231">
        <f>IF('Schedule_Inputs'!$C$26="Blueprint",$C26*IF(12-'Schedule_Inputs'!$B$26=0,'Assumptions'!$B$21,IF(12-'Schedule_Inputs'!$B$26=1,'Assumptions'!$C$21,IF(12-'Schedule_Inputs'!$B$26=2,'Assumptions'!$D$21,0))),IF('Schedule_Inputs'!$C$26="Launch",$C26*IF(12-'Schedule_Inputs'!$B$26=0,'Assumptions'!$B$22,IF(12-'Schedule_Inputs'!$B$26=1,'Assumptions'!$C$22,IF(12-'Schedule_Inputs'!$B$26=2,'Assumptions'!$D$22,IF(12-'Schedule_Inputs'!$B$26=3,'Assumptions'!$B$23,0)))),IF('Schedule_Inputs'!$C$26="Office Setup",$C26*IF(12-'Schedule_Inputs'!$B$26=0,'Assumptions'!$B$24,IF(12-'Schedule_Inputs'!$B$26=1,'Assumptions'!$C$24,IF(12-'Schedule_Inputs'!$B$26=2,'Assumptions'!$D$24,0))),IF(OR('Schedule_Inputs'!$C$26="Monthly",'Schedule_Inputs'!$C$26="Periodic"),IF(AND(12&gt;='Schedule_Inputs'!$B$26,MOD(12-'Schedule_Inputs'!$B$26,'Schedule_Inputs'!$E$26)=0,(12-'Schedule_Inputs'!$B$26)/'Schedule_Inputs'!$E$26&lt;'Schedule_Inputs'!$D$26),$C26/'Schedule_Inputs'!$D$26,0),0))))</f>
        <v/>
      </c>
      <c r="Q26" s="231">
        <f>IF('Schedule_Inputs'!$C$26="Blueprint",$C26*IF(13-'Schedule_Inputs'!$B$26=0,'Assumptions'!$B$21,IF(13-'Schedule_Inputs'!$B$26=1,'Assumptions'!$C$21,IF(13-'Schedule_Inputs'!$B$26=2,'Assumptions'!$D$21,0))),IF('Schedule_Inputs'!$C$26="Launch",$C26*IF(13-'Schedule_Inputs'!$B$26=0,'Assumptions'!$B$22,IF(13-'Schedule_Inputs'!$B$26=1,'Assumptions'!$C$22,IF(13-'Schedule_Inputs'!$B$26=2,'Assumptions'!$D$22,IF(13-'Schedule_Inputs'!$B$26=3,'Assumptions'!$B$23,0)))),IF('Schedule_Inputs'!$C$26="Office Setup",$C26*IF(13-'Schedule_Inputs'!$B$26=0,'Assumptions'!$B$24,IF(13-'Schedule_Inputs'!$B$26=1,'Assumptions'!$C$24,IF(13-'Schedule_Inputs'!$B$26=2,'Assumptions'!$D$24,0))),IF(OR('Schedule_Inputs'!$C$26="Monthly",'Schedule_Inputs'!$C$26="Periodic"),IF(AND(13&gt;='Schedule_Inputs'!$B$26,MOD(13-'Schedule_Inputs'!$B$26,'Schedule_Inputs'!$E$26)=0,(13-'Schedule_Inputs'!$B$26)/'Schedule_Inputs'!$E$26&lt;'Schedule_Inputs'!$D$26),$C26/'Schedule_Inputs'!$D$26,0),0))))</f>
        <v/>
      </c>
      <c r="R26" s="231">
        <f>IF('Schedule_Inputs'!$C$26="Blueprint",$C26*IF(14-'Schedule_Inputs'!$B$26=0,'Assumptions'!$B$21,IF(14-'Schedule_Inputs'!$B$26=1,'Assumptions'!$C$21,IF(14-'Schedule_Inputs'!$B$26=2,'Assumptions'!$D$21,0))),IF('Schedule_Inputs'!$C$26="Launch",$C26*IF(14-'Schedule_Inputs'!$B$26=0,'Assumptions'!$B$22,IF(14-'Schedule_Inputs'!$B$26=1,'Assumptions'!$C$22,IF(14-'Schedule_Inputs'!$B$26=2,'Assumptions'!$D$22,IF(14-'Schedule_Inputs'!$B$26=3,'Assumptions'!$B$23,0)))),IF('Schedule_Inputs'!$C$26="Office Setup",$C26*IF(14-'Schedule_Inputs'!$B$26=0,'Assumptions'!$B$24,IF(14-'Schedule_Inputs'!$B$26=1,'Assumptions'!$C$24,IF(14-'Schedule_Inputs'!$B$26=2,'Assumptions'!$D$24,0))),IF(OR('Schedule_Inputs'!$C$26="Monthly",'Schedule_Inputs'!$C$26="Periodic"),IF(AND(14&gt;='Schedule_Inputs'!$B$26,MOD(14-'Schedule_Inputs'!$B$26,'Schedule_Inputs'!$E$26)=0,(14-'Schedule_Inputs'!$B$26)/'Schedule_Inputs'!$E$26&lt;'Schedule_Inputs'!$D$26),$C26/'Schedule_Inputs'!$D$26,0),0))))</f>
        <v/>
      </c>
      <c r="S26" s="231">
        <f>IF('Schedule_Inputs'!$C$26="Blueprint",$C26*IF(15-'Schedule_Inputs'!$B$26=0,'Assumptions'!$B$21,IF(15-'Schedule_Inputs'!$B$26=1,'Assumptions'!$C$21,IF(15-'Schedule_Inputs'!$B$26=2,'Assumptions'!$D$21,0))),IF('Schedule_Inputs'!$C$26="Launch",$C26*IF(15-'Schedule_Inputs'!$B$26=0,'Assumptions'!$B$22,IF(15-'Schedule_Inputs'!$B$26=1,'Assumptions'!$C$22,IF(15-'Schedule_Inputs'!$B$26=2,'Assumptions'!$D$22,IF(15-'Schedule_Inputs'!$B$26=3,'Assumptions'!$B$23,0)))),IF('Schedule_Inputs'!$C$26="Office Setup",$C26*IF(15-'Schedule_Inputs'!$B$26=0,'Assumptions'!$B$24,IF(15-'Schedule_Inputs'!$B$26=1,'Assumptions'!$C$24,IF(15-'Schedule_Inputs'!$B$26=2,'Assumptions'!$D$24,0))),IF(OR('Schedule_Inputs'!$C$26="Monthly",'Schedule_Inputs'!$C$26="Periodic"),IF(AND(15&gt;='Schedule_Inputs'!$B$26,MOD(15-'Schedule_Inputs'!$B$26,'Schedule_Inputs'!$E$26)=0,(15-'Schedule_Inputs'!$B$26)/'Schedule_Inputs'!$E$26&lt;'Schedule_Inputs'!$D$26),$C26/'Schedule_Inputs'!$D$26,0),0))))</f>
        <v/>
      </c>
      <c r="T26" s="231">
        <f>IF('Schedule_Inputs'!$C$26="Blueprint",$C26*IF(16-'Schedule_Inputs'!$B$26=0,'Assumptions'!$B$21,IF(16-'Schedule_Inputs'!$B$26=1,'Assumptions'!$C$21,IF(16-'Schedule_Inputs'!$B$26=2,'Assumptions'!$D$21,0))),IF('Schedule_Inputs'!$C$26="Launch",$C26*IF(16-'Schedule_Inputs'!$B$26=0,'Assumptions'!$B$22,IF(16-'Schedule_Inputs'!$B$26=1,'Assumptions'!$C$22,IF(16-'Schedule_Inputs'!$B$26=2,'Assumptions'!$D$22,IF(16-'Schedule_Inputs'!$B$26=3,'Assumptions'!$B$23,0)))),IF('Schedule_Inputs'!$C$26="Office Setup",$C26*IF(16-'Schedule_Inputs'!$B$26=0,'Assumptions'!$B$24,IF(16-'Schedule_Inputs'!$B$26=1,'Assumptions'!$C$24,IF(16-'Schedule_Inputs'!$B$26=2,'Assumptions'!$D$24,0))),IF(OR('Schedule_Inputs'!$C$26="Monthly",'Schedule_Inputs'!$C$26="Periodic"),IF(AND(16&gt;='Schedule_Inputs'!$B$26,MOD(16-'Schedule_Inputs'!$B$26,'Schedule_Inputs'!$E$26)=0,(16-'Schedule_Inputs'!$B$26)/'Schedule_Inputs'!$E$26&lt;'Schedule_Inputs'!$D$26),$C26/'Schedule_Inputs'!$D$26,0),0))))</f>
        <v/>
      </c>
      <c r="U26" s="231">
        <f>IF('Schedule_Inputs'!$C$26="Blueprint",$C26*IF(17-'Schedule_Inputs'!$B$26=0,'Assumptions'!$B$21,IF(17-'Schedule_Inputs'!$B$26=1,'Assumptions'!$C$21,IF(17-'Schedule_Inputs'!$B$26=2,'Assumptions'!$D$21,0))),IF('Schedule_Inputs'!$C$26="Launch",$C26*IF(17-'Schedule_Inputs'!$B$26=0,'Assumptions'!$B$22,IF(17-'Schedule_Inputs'!$B$26=1,'Assumptions'!$C$22,IF(17-'Schedule_Inputs'!$B$26=2,'Assumptions'!$D$22,IF(17-'Schedule_Inputs'!$B$26=3,'Assumptions'!$B$23,0)))),IF('Schedule_Inputs'!$C$26="Office Setup",$C26*IF(17-'Schedule_Inputs'!$B$26=0,'Assumptions'!$B$24,IF(17-'Schedule_Inputs'!$B$26=1,'Assumptions'!$C$24,IF(17-'Schedule_Inputs'!$B$26=2,'Assumptions'!$D$24,0))),IF(OR('Schedule_Inputs'!$C$26="Monthly",'Schedule_Inputs'!$C$26="Periodic"),IF(AND(17&gt;='Schedule_Inputs'!$B$26,MOD(17-'Schedule_Inputs'!$B$26,'Schedule_Inputs'!$E$26)=0,(17-'Schedule_Inputs'!$B$26)/'Schedule_Inputs'!$E$26&lt;'Schedule_Inputs'!$D$26),$C26/'Schedule_Inputs'!$D$26,0),0))))</f>
        <v/>
      </c>
      <c r="V26" s="231">
        <f>IF('Schedule_Inputs'!$C$26="Blueprint",$C26*IF(18-'Schedule_Inputs'!$B$26=0,'Assumptions'!$B$21,IF(18-'Schedule_Inputs'!$B$26=1,'Assumptions'!$C$21,IF(18-'Schedule_Inputs'!$B$26=2,'Assumptions'!$D$21,0))),IF('Schedule_Inputs'!$C$26="Launch",$C26*IF(18-'Schedule_Inputs'!$B$26=0,'Assumptions'!$B$22,IF(18-'Schedule_Inputs'!$B$26=1,'Assumptions'!$C$22,IF(18-'Schedule_Inputs'!$B$26=2,'Assumptions'!$D$22,IF(18-'Schedule_Inputs'!$B$26=3,'Assumptions'!$B$23,0)))),IF('Schedule_Inputs'!$C$26="Office Setup",$C26*IF(18-'Schedule_Inputs'!$B$26=0,'Assumptions'!$B$24,IF(18-'Schedule_Inputs'!$B$26=1,'Assumptions'!$C$24,IF(18-'Schedule_Inputs'!$B$26=2,'Assumptions'!$D$24,0))),IF(OR('Schedule_Inputs'!$C$26="Monthly",'Schedule_Inputs'!$C$26="Periodic"),IF(AND(18&gt;='Schedule_Inputs'!$B$26,MOD(18-'Schedule_Inputs'!$B$26,'Schedule_Inputs'!$E$26)=0,(18-'Schedule_Inputs'!$B$26)/'Schedule_Inputs'!$E$26&lt;'Schedule_Inputs'!$D$26),$C26/'Schedule_Inputs'!$D$26,0),0))))</f>
        <v/>
      </c>
      <c r="W26" s="231">
        <f>IF('Schedule_Inputs'!$C$26="Blueprint",$C26*IF(19-'Schedule_Inputs'!$B$26=0,'Assumptions'!$B$21,IF(19-'Schedule_Inputs'!$B$26=1,'Assumptions'!$C$21,IF(19-'Schedule_Inputs'!$B$26=2,'Assumptions'!$D$21,0))),IF('Schedule_Inputs'!$C$26="Launch",$C26*IF(19-'Schedule_Inputs'!$B$26=0,'Assumptions'!$B$22,IF(19-'Schedule_Inputs'!$B$26=1,'Assumptions'!$C$22,IF(19-'Schedule_Inputs'!$B$26=2,'Assumptions'!$D$22,IF(19-'Schedule_Inputs'!$B$26=3,'Assumptions'!$B$23,0)))),IF('Schedule_Inputs'!$C$26="Office Setup",$C26*IF(19-'Schedule_Inputs'!$B$26=0,'Assumptions'!$B$24,IF(19-'Schedule_Inputs'!$B$26=1,'Assumptions'!$C$24,IF(19-'Schedule_Inputs'!$B$26=2,'Assumptions'!$D$24,0))),IF(OR('Schedule_Inputs'!$C$26="Monthly",'Schedule_Inputs'!$C$26="Periodic"),IF(AND(19&gt;='Schedule_Inputs'!$B$26,MOD(19-'Schedule_Inputs'!$B$26,'Schedule_Inputs'!$E$26)=0,(19-'Schedule_Inputs'!$B$26)/'Schedule_Inputs'!$E$26&lt;'Schedule_Inputs'!$D$26),$C26/'Schedule_Inputs'!$D$26,0),0))))</f>
        <v/>
      </c>
      <c r="X26" s="231">
        <f>IF('Schedule_Inputs'!$C$26="Blueprint",$C26*IF(20-'Schedule_Inputs'!$B$26=0,'Assumptions'!$B$21,IF(20-'Schedule_Inputs'!$B$26=1,'Assumptions'!$C$21,IF(20-'Schedule_Inputs'!$B$26=2,'Assumptions'!$D$21,0))),IF('Schedule_Inputs'!$C$26="Launch",$C26*IF(20-'Schedule_Inputs'!$B$26=0,'Assumptions'!$B$22,IF(20-'Schedule_Inputs'!$B$26=1,'Assumptions'!$C$22,IF(20-'Schedule_Inputs'!$B$26=2,'Assumptions'!$D$22,IF(20-'Schedule_Inputs'!$B$26=3,'Assumptions'!$B$23,0)))),IF('Schedule_Inputs'!$C$26="Office Setup",$C26*IF(20-'Schedule_Inputs'!$B$26=0,'Assumptions'!$B$24,IF(20-'Schedule_Inputs'!$B$26=1,'Assumptions'!$C$24,IF(20-'Schedule_Inputs'!$B$26=2,'Assumptions'!$D$24,0))),IF(OR('Schedule_Inputs'!$C$26="Monthly",'Schedule_Inputs'!$C$26="Periodic"),IF(AND(20&gt;='Schedule_Inputs'!$B$26,MOD(20-'Schedule_Inputs'!$B$26,'Schedule_Inputs'!$E$26)=0,(20-'Schedule_Inputs'!$B$26)/'Schedule_Inputs'!$E$26&lt;'Schedule_Inputs'!$D$26),$C26/'Schedule_Inputs'!$D$26,0),0))))</f>
        <v/>
      </c>
      <c r="Y26" s="231">
        <f>IF('Schedule_Inputs'!$C$26="Blueprint",$C26*IF(21-'Schedule_Inputs'!$B$26=0,'Assumptions'!$B$21,IF(21-'Schedule_Inputs'!$B$26=1,'Assumptions'!$C$21,IF(21-'Schedule_Inputs'!$B$26=2,'Assumptions'!$D$21,0))),IF('Schedule_Inputs'!$C$26="Launch",$C26*IF(21-'Schedule_Inputs'!$B$26=0,'Assumptions'!$B$22,IF(21-'Schedule_Inputs'!$B$26=1,'Assumptions'!$C$22,IF(21-'Schedule_Inputs'!$B$26=2,'Assumptions'!$D$22,IF(21-'Schedule_Inputs'!$B$26=3,'Assumptions'!$B$23,0)))),IF('Schedule_Inputs'!$C$26="Office Setup",$C26*IF(21-'Schedule_Inputs'!$B$26=0,'Assumptions'!$B$24,IF(21-'Schedule_Inputs'!$B$26=1,'Assumptions'!$C$24,IF(21-'Schedule_Inputs'!$B$26=2,'Assumptions'!$D$24,0))),IF(OR('Schedule_Inputs'!$C$26="Monthly",'Schedule_Inputs'!$C$26="Periodic"),IF(AND(21&gt;='Schedule_Inputs'!$B$26,MOD(21-'Schedule_Inputs'!$B$26,'Schedule_Inputs'!$E$26)=0,(21-'Schedule_Inputs'!$B$26)/'Schedule_Inputs'!$E$26&lt;'Schedule_Inputs'!$D$26),$C26/'Schedule_Inputs'!$D$26,0),0))))</f>
        <v/>
      </c>
      <c r="Z26" s="231">
        <f>IF('Schedule_Inputs'!$C$26="Blueprint",$C26*IF(22-'Schedule_Inputs'!$B$26=0,'Assumptions'!$B$21,IF(22-'Schedule_Inputs'!$B$26=1,'Assumptions'!$C$21,IF(22-'Schedule_Inputs'!$B$26=2,'Assumptions'!$D$21,0))),IF('Schedule_Inputs'!$C$26="Launch",$C26*IF(22-'Schedule_Inputs'!$B$26=0,'Assumptions'!$B$22,IF(22-'Schedule_Inputs'!$B$26=1,'Assumptions'!$C$22,IF(22-'Schedule_Inputs'!$B$26=2,'Assumptions'!$D$22,IF(22-'Schedule_Inputs'!$B$26=3,'Assumptions'!$B$23,0)))),IF('Schedule_Inputs'!$C$26="Office Setup",$C26*IF(22-'Schedule_Inputs'!$B$26=0,'Assumptions'!$B$24,IF(22-'Schedule_Inputs'!$B$26=1,'Assumptions'!$C$24,IF(22-'Schedule_Inputs'!$B$26=2,'Assumptions'!$D$24,0))),IF(OR('Schedule_Inputs'!$C$26="Monthly",'Schedule_Inputs'!$C$26="Periodic"),IF(AND(22&gt;='Schedule_Inputs'!$B$26,MOD(22-'Schedule_Inputs'!$B$26,'Schedule_Inputs'!$E$26)=0,(22-'Schedule_Inputs'!$B$26)/'Schedule_Inputs'!$E$26&lt;'Schedule_Inputs'!$D$26),$C26/'Schedule_Inputs'!$D$26,0),0))))</f>
        <v/>
      </c>
      <c r="AA26" s="231">
        <f>IF('Schedule_Inputs'!$C$26="Blueprint",$C26*IF(23-'Schedule_Inputs'!$B$26=0,'Assumptions'!$B$21,IF(23-'Schedule_Inputs'!$B$26=1,'Assumptions'!$C$21,IF(23-'Schedule_Inputs'!$B$26=2,'Assumptions'!$D$21,0))),IF('Schedule_Inputs'!$C$26="Launch",$C26*IF(23-'Schedule_Inputs'!$B$26=0,'Assumptions'!$B$22,IF(23-'Schedule_Inputs'!$B$26=1,'Assumptions'!$C$22,IF(23-'Schedule_Inputs'!$B$26=2,'Assumptions'!$D$22,IF(23-'Schedule_Inputs'!$B$26=3,'Assumptions'!$B$23,0)))),IF('Schedule_Inputs'!$C$26="Office Setup",$C26*IF(23-'Schedule_Inputs'!$B$26=0,'Assumptions'!$B$24,IF(23-'Schedule_Inputs'!$B$26=1,'Assumptions'!$C$24,IF(23-'Schedule_Inputs'!$B$26=2,'Assumptions'!$D$24,0))),IF(OR('Schedule_Inputs'!$C$26="Monthly",'Schedule_Inputs'!$C$26="Periodic"),IF(AND(23&gt;='Schedule_Inputs'!$B$26,MOD(23-'Schedule_Inputs'!$B$26,'Schedule_Inputs'!$E$26)=0,(23-'Schedule_Inputs'!$B$26)/'Schedule_Inputs'!$E$26&lt;'Schedule_Inputs'!$D$26),$C26/'Schedule_Inputs'!$D$26,0),0))))</f>
        <v/>
      </c>
      <c r="AB26" s="231">
        <f>IF('Schedule_Inputs'!$C$26="Blueprint",$C26*IF(24-'Schedule_Inputs'!$B$26=0,'Assumptions'!$B$21,IF(24-'Schedule_Inputs'!$B$26=1,'Assumptions'!$C$21,IF(24-'Schedule_Inputs'!$B$26=2,'Assumptions'!$D$21,0))),IF('Schedule_Inputs'!$C$26="Launch",$C26*IF(24-'Schedule_Inputs'!$B$26=0,'Assumptions'!$B$22,IF(24-'Schedule_Inputs'!$B$26=1,'Assumptions'!$C$22,IF(24-'Schedule_Inputs'!$B$26=2,'Assumptions'!$D$22,IF(24-'Schedule_Inputs'!$B$26=3,'Assumptions'!$B$23,0)))),IF('Schedule_Inputs'!$C$26="Office Setup",$C26*IF(24-'Schedule_Inputs'!$B$26=0,'Assumptions'!$B$24,IF(24-'Schedule_Inputs'!$B$26=1,'Assumptions'!$C$24,IF(24-'Schedule_Inputs'!$B$26=2,'Assumptions'!$D$24,0))),IF(OR('Schedule_Inputs'!$C$26="Monthly",'Schedule_Inputs'!$C$26="Periodic"),IF(AND(24&gt;='Schedule_Inputs'!$B$26,MOD(24-'Schedule_Inputs'!$B$26,'Schedule_Inputs'!$E$26)=0,(24-'Schedule_Inputs'!$B$26)/'Schedule_Inputs'!$E$26&lt;'Schedule_Inputs'!$D$26),$C26/'Schedule_Inputs'!$D$26,0),0))))</f>
        <v/>
      </c>
      <c r="AC26" s="231">
        <f>IF('Schedule_Inputs'!$C$26="Blueprint",$C26*IF(25-'Schedule_Inputs'!$B$26=0,'Assumptions'!$B$21,IF(25-'Schedule_Inputs'!$B$26=1,'Assumptions'!$C$21,IF(25-'Schedule_Inputs'!$B$26=2,'Assumptions'!$D$21,0))),IF('Schedule_Inputs'!$C$26="Launch",$C26*IF(25-'Schedule_Inputs'!$B$26=0,'Assumptions'!$B$22,IF(25-'Schedule_Inputs'!$B$26=1,'Assumptions'!$C$22,IF(25-'Schedule_Inputs'!$B$26=2,'Assumptions'!$D$22,IF(25-'Schedule_Inputs'!$B$26=3,'Assumptions'!$B$23,0)))),IF('Schedule_Inputs'!$C$26="Office Setup",$C26*IF(25-'Schedule_Inputs'!$B$26=0,'Assumptions'!$B$24,IF(25-'Schedule_Inputs'!$B$26=1,'Assumptions'!$C$24,IF(25-'Schedule_Inputs'!$B$26=2,'Assumptions'!$D$24,0))),IF(OR('Schedule_Inputs'!$C$26="Monthly",'Schedule_Inputs'!$C$26="Periodic"),IF(AND(25&gt;='Schedule_Inputs'!$B$26,MOD(25-'Schedule_Inputs'!$B$26,'Schedule_Inputs'!$E$26)=0,(25-'Schedule_Inputs'!$B$26)/'Schedule_Inputs'!$E$26&lt;'Schedule_Inputs'!$D$26),$C26/'Schedule_Inputs'!$D$26,0),0))))</f>
        <v/>
      </c>
      <c r="AD26" s="231">
        <f>IF('Schedule_Inputs'!$C$26="Blueprint",$C26*IF(26-'Schedule_Inputs'!$B$26=0,'Assumptions'!$B$21,IF(26-'Schedule_Inputs'!$B$26=1,'Assumptions'!$C$21,IF(26-'Schedule_Inputs'!$B$26=2,'Assumptions'!$D$21,0))),IF('Schedule_Inputs'!$C$26="Launch",$C26*IF(26-'Schedule_Inputs'!$B$26=0,'Assumptions'!$B$22,IF(26-'Schedule_Inputs'!$B$26=1,'Assumptions'!$C$22,IF(26-'Schedule_Inputs'!$B$26=2,'Assumptions'!$D$22,IF(26-'Schedule_Inputs'!$B$26=3,'Assumptions'!$B$23,0)))),IF('Schedule_Inputs'!$C$26="Office Setup",$C26*IF(26-'Schedule_Inputs'!$B$26=0,'Assumptions'!$B$24,IF(26-'Schedule_Inputs'!$B$26=1,'Assumptions'!$C$24,IF(26-'Schedule_Inputs'!$B$26=2,'Assumptions'!$D$24,0))),IF(OR('Schedule_Inputs'!$C$26="Monthly",'Schedule_Inputs'!$C$26="Periodic"),IF(AND(26&gt;='Schedule_Inputs'!$B$26,MOD(26-'Schedule_Inputs'!$B$26,'Schedule_Inputs'!$E$26)=0,(26-'Schedule_Inputs'!$B$26)/'Schedule_Inputs'!$E$26&lt;'Schedule_Inputs'!$D$26),$C26/'Schedule_Inputs'!$D$26,0),0))))</f>
        <v/>
      </c>
      <c r="AE26" s="231">
        <f>IF('Schedule_Inputs'!$C$26="Blueprint",$C26*IF(27-'Schedule_Inputs'!$B$26=0,'Assumptions'!$B$21,IF(27-'Schedule_Inputs'!$B$26=1,'Assumptions'!$C$21,IF(27-'Schedule_Inputs'!$B$26=2,'Assumptions'!$D$21,0))),IF('Schedule_Inputs'!$C$26="Launch",$C26*IF(27-'Schedule_Inputs'!$B$26=0,'Assumptions'!$B$22,IF(27-'Schedule_Inputs'!$B$26=1,'Assumptions'!$C$22,IF(27-'Schedule_Inputs'!$B$26=2,'Assumptions'!$D$22,IF(27-'Schedule_Inputs'!$B$26=3,'Assumptions'!$B$23,0)))),IF('Schedule_Inputs'!$C$26="Office Setup",$C26*IF(27-'Schedule_Inputs'!$B$26=0,'Assumptions'!$B$24,IF(27-'Schedule_Inputs'!$B$26=1,'Assumptions'!$C$24,IF(27-'Schedule_Inputs'!$B$26=2,'Assumptions'!$D$24,0))),IF(OR('Schedule_Inputs'!$C$26="Monthly",'Schedule_Inputs'!$C$26="Periodic"),IF(AND(27&gt;='Schedule_Inputs'!$B$26,MOD(27-'Schedule_Inputs'!$B$26,'Schedule_Inputs'!$E$26)=0,(27-'Schedule_Inputs'!$B$26)/'Schedule_Inputs'!$E$26&lt;'Schedule_Inputs'!$D$26),$C26/'Schedule_Inputs'!$D$26,0),0))))</f>
        <v/>
      </c>
      <c r="AF26" s="231">
        <f>IF('Schedule_Inputs'!$C$26="Blueprint",$C26*IF(28-'Schedule_Inputs'!$B$26=0,'Assumptions'!$B$21,IF(28-'Schedule_Inputs'!$B$26=1,'Assumptions'!$C$21,IF(28-'Schedule_Inputs'!$B$26=2,'Assumptions'!$D$21,0))),IF('Schedule_Inputs'!$C$26="Launch",$C26*IF(28-'Schedule_Inputs'!$B$26=0,'Assumptions'!$B$22,IF(28-'Schedule_Inputs'!$B$26=1,'Assumptions'!$C$22,IF(28-'Schedule_Inputs'!$B$26=2,'Assumptions'!$D$22,IF(28-'Schedule_Inputs'!$B$26=3,'Assumptions'!$B$23,0)))),IF('Schedule_Inputs'!$C$26="Office Setup",$C26*IF(28-'Schedule_Inputs'!$B$26=0,'Assumptions'!$B$24,IF(28-'Schedule_Inputs'!$B$26=1,'Assumptions'!$C$24,IF(28-'Schedule_Inputs'!$B$26=2,'Assumptions'!$D$24,0))),IF(OR('Schedule_Inputs'!$C$26="Monthly",'Schedule_Inputs'!$C$26="Periodic"),IF(AND(28&gt;='Schedule_Inputs'!$B$26,MOD(28-'Schedule_Inputs'!$B$26,'Schedule_Inputs'!$E$26)=0,(28-'Schedule_Inputs'!$B$26)/'Schedule_Inputs'!$E$26&lt;'Schedule_Inputs'!$D$26),$C26/'Schedule_Inputs'!$D$26,0),0))))</f>
        <v/>
      </c>
      <c r="AG26" s="231">
        <f>IF('Schedule_Inputs'!$C$26="Blueprint",$C26*IF(29-'Schedule_Inputs'!$B$26=0,'Assumptions'!$B$21,IF(29-'Schedule_Inputs'!$B$26=1,'Assumptions'!$C$21,IF(29-'Schedule_Inputs'!$B$26=2,'Assumptions'!$D$21,0))),IF('Schedule_Inputs'!$C$26="Launch",$C26*IF(29-'Schedule_Inputs'!$B$26=0,'Assumptions'!$B$22,IF(29-'Schedule_Inputs'!$B$26=1,'Assumptions'!$C$22,IF(29-'Schedule_Inputs'!$B$26=2,'Assumptions'!$D$22,IF(29-'Schedule_Inputs'!$B$26=3,'Assumptions'!$B$23,0)))),IF('Schedule_Inputs'!$C$26="Office Setup",$C26*IF(29-'Schedule_Inputs'!$B$26=0,'Assumptions'!$B$24,IF(29-'Schedule_Inputs'!$B$26=1,'Assumptions'!$C$24,IF(29-'Schedule_Inputs'!$B$26=2,'Assumptions'!$D$24,0))),IF(OR('Schedule_Inputs'!$C$26="Monthly",'Schedule_Inputs'!$C$26="Periodic"),IF(AND(29&gt;='Schedule_Inputs'!$B$26,MOD(29-'Schedule_Inputs'!$B$26,'Schedule_Inputs'!$E$26)=0,(29-'Schedule_Inputs'!$B$26)/'Schedule_Inputs'!$E$26&lt;'Schedule_Inputs'!$D$26),$C26/'Schedule_Inputs'!$D$26,0),0))))</f>
        <v/>
      </c>
      <c r="AH26" s="231">
        <f>IF('Schedule_Inputs'!$C$26="Blueprint",$C26*IF(30-'Schedule_Inputs'!$B$26=0,'Assumptions'!$B$21,IF(30-'Schedule_Inputs'!$B$26=1,'Assumptions'!$C$21,IF(30-'Schedule_Inputs'!$B$26=2,'Assumptions'!$D$21,0))),IF('Schedule_Inputs'!$C$26="Launch",$C26*IF(30-'Schedule_Inputs'!$B$26=0,'Assumptions'!$B$22,IF(30-'Schedule_Inputs'!$B$26=1,'Assumptions'!$C$22,IF(30-'Schedule_Inputs'!$B$26=2,'Assumptions'!$D$22,IF(30-'Schedule_Inputs'!$B$26=3,'Assumptions'!$B$23,0)))),IF('Schedule_Inputs'!$C$26="Office Setup",$C26*IF(30-'Schedule_Inputs'!$B$26=0,'Assumptions'!$B$24,IF(30-'Schedule_Inputs'!$B$26=1,'Assumptions'!$C$24,IF(30-'Schedule_Inputs'!$B$26=2,'Assumptions'!$D$24,0))),IF(OR('Schedule_Inputs'!$C$26="Monthly",'Schedule_Inputs'!$C$26="Periodic"),IF(AND(30&gt;='Schedule_Inputs'!$B$26,MOD(30-'Schedule_Inputs'!$B$26,'Schedule_Inputs'!$E$26)=0,(30-'Schedule_Inputs'!$B$26)/'Schedule_Inputs'!$E$26&lt;'Schedule_Inputs'!$D$26),$C26/'Schedule_Inputs'!$D$26,0),0))))</f>
        <v/>
      </c>
      <c r="AI26" s="231">
        <f>IF('Schedule_Inputs'!$C$26="Blueprint",$C26*IF(31-'Schedule_Inputs'!$B$26=0,'Assumptions'!$B$21,IF(31-'Schedule_Inputs'!$B$26=1,'Assumptions'!$C$21,IF(31-'Schedule_Inputs'!$B$26=2,'Assumptions'!$D$21,0))),IF('Schedule_Inputs'!$C$26="Launch",$C26*IF(31-'Schedule_Inputs'!$B$26=0,'Assumptions'!$B$22,IF(31-'Schedule_Inputs'!$B$26=1,'Assumptions'!$C$22,IF(31-'Schedule_Inputs'!$B$26=2,'Assumptions'!$D$22,IF(31-'Schedule_Inputs'!$B$26=3,'Assumptions'!$B$23,0)))),IF('Schedule_Inputs'!$C$26="Office Setup",$C26*IF(31-'Schedule_Inputs'!$B$26=0,'Assumptions'!$B$24,IF(31-'Schedule_Inputs'!$B$26=1,'Assumptions'!$C$24,IF(31-'Schedule_Inputs'!$B$26=2,'Assumptions'!$D$24,0))),IF(OR('Schedule_Inputs'!$C$26="Monthly",'Schedule_Inputs'!$C$26="Periodic"),IF(AND(31&gt;='Schedule_Inputs'!$B$26,MOD(31-'Schedule_Inputs'!$B$26,'Schedule_Inputs'!$E$26)=0,(31-'Schedule_Inputs'!$B$26)/'Schedule_Inputs'!$E$26&lt;'Schedule_Inputs'!$D$26),$C26/'Schedule_Inputs'!$D$26,0),0))))</f>
        <v/>
      </c>
      <c r="AJ26" s="231">
        <f>IF('Schedule_Inputs'!$C$26="Blueprint",$C26*IF(32-'Schedule_Inputs'!$B$26=0,'Assumptions'!$B$21,IF(32-'Schedule_Inputs'!$B$26=1,'Assumptions'!$C$21,IF(32-'Schedule_Inputs'!$B$26=2,'Assumptions'!$D$21,0))),IF('Schedule_Inputs'!$C$26="Launch",$C26*IF(32-'Schedule_Inputs'!$B$26=0,'Assumptions'!$B$22,IF(32-'Schedule_Inputs'!$B$26=1,'Assumptions'!$C$22,IF(32-'Schedule_Inputs'!$B$26=2,'Assumptions'!$D$22,IF(32-'Schedule_Inputs'!$B$26=3,'Assumptions'!$B$23,0)))),IF('Schedule_Inputs'!$C$26="Office Setup",$C26*IF(32-'Schedule_Inputs'!$B$26=0,'Assumptions'!$B$24,IF(32-'Schedule_Inputs'!$B$26=1,'Assumptions'!$C$24,IF(32-'Schedule_Inputs'!$B$26=2,'Assumptions'!$D$24,0))),IF(OR('Schedule_Inputs'!$C$26="Monthly",'Schedule_Inputs'!$C$26="Periodic"),IF(AND(32&gt;='Schedule_Inputs'!$B$26,MOD(32-'Schedule_Inputs'!$B$26,'Schedule_Inputs'!$E$26)=0,(32-'Schedule_Inputs'!$B$26)/'Schedule_Inputs'!$E$26&lt;'Schedule_Inputs'!$D$26),$C26/'Schedule_Inputs'!$D$26,0),0))))</f>
        <v/>
      </c>
      <c r="AK26" s="231">
        <f>IF('Schedule_Inputs'!$C$26="Blueprint",$C26*IF(33-'Schedule_Inputs'!$B$26=0,'Assumptions'!$B$21,IF(33-'Schedule_Inputs'!$B$26=1,'Assumptions'!$C$21,IF(33-'Schedule_Inputs'!$B$26=2,'Assumptions'!$D$21,0))),IF('Schedule_Inputs'!$C$26="Launch",$C26*IF(33-'Schedule_Inputs'!$B$26=0,'Assumptions'!$B$22,IF(33-'Schedule_Inputs'!$B$26=1,'Assumptions'!$C$22,IF(33-'Schedule_Inputs'!$B$26=2,'Assumptions'!$D$22,IF(33-'Schedule_Inputs'!$B$26=3,'Assumptions'!$B$23,0)))),IF('Schedule_Inputs'!$C$26="Office Setup",$C26*IF(33-'Schedule_Inputs'!$B$26=0,'Assumptions'!$B$24,IF(33-'Schedule_Inputs'!$B$26=1,'Assumptions'!$C$24,IF(33-'Schedule_Inputs'!$B$26=2,'Assumptions'!$D$24,0))),IF(OR('Schedule_Inputs'!$C$26="Monthly",'Schedule_Inputs'!$C$26="Periodic"),IF(AND(33&gt;='Schedule_Inputs'!$B$26,MOD(33-'Schedule_Inputs'!$B$26,'Schedule_Inputs'!$E$26)=0,(33-'Schedule_Inputs'!$B$26)/'Schedule_Inputs'!$E$26&lt;'Schedule_Inputs'!$D$26),$C26/'Schedule_Inputs'!$D$26,0),0))))</f>
        <v/>
      </c>
      <c r="AL26" s="231">
        <f>IF('Schedule_Inputs'!$C$26="Blueprint",$C26*IF(34-'Schedule_Inputs'!$B$26=0,'Assumptions'!$B$21,IF(34-'Schedule_Inputs'!$B$26=1,'Assumptions'!$C$21,IF(34-'Schedule_Inputs'!$B$26=2,'Assumptions'!$D$21,0))),IF('Schedule_Inputs'!$C$26="Launch",$C26*IF(34-'Schedule_Inputs'!$B$26=0,'Assumptions'!$B$22,IF(34-'Schedule_Inputs'!$B$26=1,'Assumptions'!$C$22,IF(34-'Schedule_Inputs'!$B$26=2,'Assumptions'!$D$22,IF(34-'Schedule_Inputs'!$B$26=3,'Assumptions'!$B$23,0)))),IF('Schedule_Inputs'!$C$26="Office Setup",$C26*IF(34-'Schedule_Inputs'!$B$26=0,'Assumptions'!$B$24,IF(34-'Schedule_Inputs'!$B$26=1,'Assumptions'!$C$24,IF(34-'Schedule_Inputs'!$B$26=2,'Assumptions'!$D$24,0))),IF(OR('Schedule_Inputs'!$C$26="Monthly",'Schedule_Inputs'!$C$26="Periodic"),IF(AND(34&gt;='Schedule_Inputs'!$B$26,MOD(34-'Schedule_Inputs'!$B$26,'Schedule_Inputs'!$E$26)=0,(34-'Schedule_Inputs'!$B$26)/'Schedule_Inputs'!$E$26&lt;'Schedule_Inputs'!$D$26),$C26/'Schedule_Inputs'!$D$26,0),0))))</f>
        <v/>
      </c>
      <c r="AM26" s="231">
        <f>IF('Schedule_Inputs'!$C$26="Blueprint",$C26*IF(35-'Schedule_Inputs'!$B$26=0,'Assumptions'!$B$21,IF(35-'Schedule_Inputs'!$B$26=1,'Assumptions'!$C$21,IF(35-'Schedule_Inputs'!$B$26=2,'Assumptions'!$D$21,0))),IF('Schedule_Inputs'!$C$26="Launch",$C26*IF(35-'Schedule_Inputs'!$B$26=0,'Assumptions'!$B$22,IF(35-'Schedule_Inputs'!$B$26=1,'Assumptions'!$C$22,IF(35-'Schedule_Inputs'!$B$26=2,'Assumptions'!$D$22,IF(35-'Schedule_Inputs'!$B$26=3,'Assumptions'!$B$23,0)))),IF('Schedule_Inputs'!$C$26="Office Setup",$C26*IF(35-'Schedule_Inputs'!$B$26=0,'Assumptions'!$B$24,IF(35-'Schedule_Inputs'!$B$26=1,'Assumptions'!$C$24,IF(35-'Schedule_Inputs'!$B$26=2,'Assumptions'!$D$24,0))),IF(OR('Schedule_Inputs'!$C$26="Monthly",'Schedule_Inputs'!$C$26="Periodic"),IF(AND(35&gt;='Schedule_Inputs'!$B$26,MOD(35-'Schedule_Inputs'!$B$26,'Schedule_Inputs'!$E$26)=0,(35-'Schedule_Inputs'!$B$26)/'Schedule_Inputs'!$E$26&lt;'Schedule_Inputs'!$D$26),$C26/'Schedule_Inputs'!$D$26,0),0))))</f>
        <v/>
      </c>
      <c r="AN26" s="231">
        <f>IF('Schedule_Inputs'!$C$26="Blueprint",$C26*IF(36-'Schedule_Inputs'!$B$26=0,'Assumptions'!$B$21,IF(36-'Schedule_Inputs'!$B$26=1,'Assumptions'!$C$21,IF(36-'Schedule_Inputs'!$B$26=2,'Assumptions'!$D$21,0))),IF('Schedule_Inputs'!$C$26="Launch",$C26*IF(36-'Schedule_Inputs'!$B$26=0,'Assumptions'!$B$22,IF(36-'Schedule_Inputs'!$B$26=1,'Assumptions'!$C$22,IF(36-'Schedule_Inputs'!$B$26=2,'Assumptions'!$D$22,IF(36-'Schedule_Inputs'!$B$26=3,'Assumptions'!$B$23,0)))),IF('Schedule_Inputs'!$C$26="Office Setup",$C26*IF(36-'Schedule_Inputs'!$B$26=0,'Assumptions'!$B$24,IF(36-'Schedule_Inputs'!$B$26=1,'Assumptions'!$C$24,IF(36-'Schedule_Inputs'!$B$26=2,'Assumptions'!$D$24,0))),IF(OR('Schedule_Inputs'!$C$26="Monthly",'Schedule_Inputs'!$C$26="Periodic"),IF(AND(36&gt;='Schedule_Inputs'!$B$26,MOD(36-'Schedule_Inputs'!$B$26,'Schedule_Inputs'!$E$26)=0,(36-'Schedule_Inputs'!$B$26)/'Schedule_Inputs'!$E$26&lt;'Schedule_Inputs'!$D$26),$C26/'Schedule_Inputs'!$D$26,0),0))))</f>
        <v/>
      </c>
    </row>
    <row r="27">
      <c r="A27" s="106" t="inlineStr">
        <is>
          <t>Add-ons 03</t>
        </is>
      </c>
      <c r="B27" s="106" t="n">
        <v>3</v>
      </c>
      <c r="C27" s="230" t="n">
        <v>48000</v>
      </c>
      <c r="D27" s="231" t="inlineStr">
        <is>
          <t>approved scope</t>
        </is>
      </c>
      <c r="E27" s="231">
        <f>IF('Schedule_Inputs'!$C$27="Blueprint",$C27*IF(1-'Schedule_Inputs'!$B$27=0,'Assumptions'!$B$21,IF(1-'Schedule_Inputs'!$B$27=1,'Assumptions'!$C$21,IF(1-'Schedule_Inputs'!$B$27=2,'Assumptions'!$D$21,0))),IF('Schedule_Inputs'!$C$27="Launch",$C27*IF(1-'Schedule_Inputs'!$B$27=0,'Assumptions'!$B$22,IF(1-'Schedule_Inputs'!$B$27=1,'Assumptions'!$C$22,IF(1-'Schedule_Inputs'!$B$27=2,'Assumptions'!$D$22,IF(1-'Schedule_Inputs'!$B$27=3,'Assumptions'!$B$23,0)))),IF('Schedule_Inputs'!$C$27="Office Setup",$C27*IF(1-'Schedule_Inputs'!$B$27=0,'Assumptions'!$B$24,IF(1-'Schedule_Inputs'!$B$27=1,'Assumptions'!$C$24,IF(1-'Schedule_Inputs'!$B$27=2,'Assumptions'!$D$24,0))),IF(OR('Schedule_Inputs'!$C$27="Monthly",'Schedule_Inputs'!$C$27="Periodic"),IF(AND(1&gt;='Schedule_Inputs'!$B$27,MOD(1-'Schedule_Inputs'!$B$27,'Schedule_Inputs'!$E$27)=0,(1-'Schedule_Inputs'!$B$27)/'Schedule_Inputs'!$E$27&lt;'Schedule_Inputs'!$D$27),$C27/'Schedule_Inputs'!$D$27,0),0))))</f>
        <v/>
      </c>
      <c r="F27" s="231">
        <f>IF('Schedule_Inputs'!$C$27="Blueprint",$C27*IF(2-'Schedule_Inputs'!$B$27=0,'Assumptions'!$B$21,IF(2-'Schedule_Inputs'!$B$27=1,'Assumptions'!$C$21,IF(2-'Schedule_Inputs'!$B$27=2,'Assumptions'!$D$21,0))),IF('Schedule_Inputs'!$C$27="Launch",$C27*IF(2-'Schedule_Inputs'!$B$27=0,'Assumptions'!$B$22,IF(2-'Schedule_Inputs'!$B$27=1,'Assumptions'!$C$22,IF(2-'Schedule_Inputs'!$B$27=2,'Assumptions'!$D$22,IF(2-'Schedule_Inputs'!$B$27=3,'Assumptions'!$B$23,0)))),IF('Schedule_Inputs'!$C$27="Office Setup",$C27*IF(2-'Schedule_Inputs'!$B$27=0,'Assumptions'!$B$24,IF(2-'Schedule_Inputs'!$B$27=1,'Assumptions'!$C$24,IF(2-'Schedule_Inputs'!$B$27=2,'Assumptions'!$D$24,0))),IF(OR('Schedule_Inputs'!$C$27="Monthly",'Schedule_Inputs'!$C$27="Periodic"),IF(AND(2&gt;='Schedule_Inputs'!$B$27,MOD(2-'Schedule_Inputs'!$B$27,'Schedule_Inputs'!$E$27)=0,(2-'Schedule_Inputs'!$B$27)/'Schedule_Inputs'!$E$27&lt;'Schedule_Inputs'!$D$27),$C27/'Schedule_Inputs'!$D$27,0),0))))</f>
        <v/>
      </c>
      <c r="G27" s="231">
        <f>IF('Schedule_Inputs'!$C$27="Blueprint",$C27*IF(3-'Schedule_Inputs'!$B$27=0,'Assumptions'!$B$21,IF(3-'Schedule_Inputs'!$B$27=1,'Assumptions'!$C$21,IF(3-'Schedule_Inputs'!$B$27=2,'Assumptions'!$D$21,0))),IF('Schedule_Inputs'!$C$27="Launch",$C27*IF(3-'Schedule_Inputs'!$B$27=0,'Assumptions'!$B$22,IF(3-'Schedule_Inputs'!$B$27=1,'Assumptions'!$C$22,IF(3-'Schedule_Inputs'!$B$27=2,'Assumptions'!$D$22,IF(3-'Schedule_Inputs'!$B$27=3,'Assumptions'!$B$23,0)))),IF('Schedule_Inputs'!$C$27="Office Setup",$C27*IF(3-'Schedule_Inputs'!$B$27=0,'Assumptions'!$B$24,IF(3-'Schedule_Inputs'!$B$27=1,'Assumptions'!$C$24,IF(3-'Schedule_Inputs'!$B$27=2,'Assumptions'!$D$24,0))),IF(OR('Schedule_Inputs'!$C$27="Monthly",'Schedule_Inputs'!$C$27="Periodic"),IF(AND(3&gt;='Schedule_Inputs'!$B$27,MOD(3-'Schedule_Inputs'!$B$27,'Schedule_Inputs'!$E$27)=0,(3-'Schedule_Inputs'!$B$27)/'Schedule_Inputs'!$E$27&lt;'Schedule_Inputs'!$D$27),$C27/'Schedule_Inputs'!$D$27,0),0))))</f>
        <v/>
      </c>
      <c r="H27" s="231">
        <f>IF('Schedule_Inputs'!$C$27="Blueprint",$C27*IF(4-'Schedule_Inputs'!$B$27=0,'Assumptions'!$B$21,IF(4-'Schedule_Inputs'!$B$27=1,'Assumptions'!$C$21,IF(4-'Schedule_Inputs'!$B$27=2,'Assumptions'!$D$21,0))),IF('Schedule_Inputs'!$C$27="Launch",$C27*IF(4-'Schedule_Inputs'!$B$27=0,'Assumptions'!$B$22,IF(4-'Schedule_Inputs'!$B$27=1,'Assumptions'!$C$22,IF(4-'Schedule_Inputs'!$B$27=2,'Assumptions'!$D$22,IF(4-'Schedule_Inputs'!$B$27=3,'Assumptions'!$B$23,0)))),IF('Schedule_Inputs'!$C$27="Office Setup",$C27*IF(4-'Schedule_Inputs'!$B$27=0,'Assumptions'!$B$24,IF(4-'Schedule_Inputs'!$B$27=1,'Assumptions'!$C$24,IF(4-'Schedule_Inputs'!$B$27=2,'Assumptions'!$D$24,0))),IF(OR('Schedule_Inputs'!$C$27="Monthly",'Schedule_Inputs'!$C$27="Periodic"),IF(AND(4&gt;='Schedule_Inputs'!$B$27,MOD(4-'Schedule_Inputs'!$B$27,'Schedule_Inputs'!$E$27)=0,(4-'Schedule_Inputs'!$B$27)/'Schedule_Inputs'!$E$27&lt;'Schedule_Inputs'!$D$27),$C27/'Schedule_Inputs'!$D$27,0),0))))</f>
        <v/>
      </c>
      <c r="I27" s="231">
        <f>IF('Schedule_Inputs'!$C$27="Blueprint",$C27*IF(5-'Schedule_Inputs'!$B$27=0,'Assumptions'!$B$21,IF(5-'Schedule_Inputs'!$B$27=1,'Assumptions'!$C$21,IF(5-'Schedule_Inputs'!$B$27=2,'Assumptions'!$D$21,0))),IF('Schedule_Inputs'!$C$27="Launch",$C27*IF(5-'Schedule_Inputs'!$B$27=0,'Assumptions'!$B$22,IF(5-'Schedule_Inputs'!$B$27=1,'Assumptions'!$C$22,IF(5-'Schedule_Inputs'!$B$27=2,'Assumptions'!$D$22,IF(5-'Schedule_Inputs'!$B$27=3,'Assumptions'!$B$23,0)))),IF('Schedule_Inputs'!$C$27="Office Setup",$C27*IF(5-'Schedule_Inputs'!$B$27=0,'Assumptions'!$B$24,IF(5-'Schedule_Inputs'!$B$27=1,'Assumptions'!$C$24,IF(5-'Schedule_Inputs'!$B$27=2,'Assumptions'!$D$24,0))),IF(OR('Schedule_Inputs'!$C$27="Monthly",'Schedule_Inputs'!$C$27="Periodic"),IF(AND(5&gt;='Schedule_Inputs'!$B$27,MOD(5-'Schedule_Inputs'!$B$27,'Schedule_Inputs'!$E$27)=0,(5-'Schedule_Inputs'!$B$27)/'Schedule_Inputs'!$E$27&lt;'Schedule_Inputs'!$D$27),$C27/'Schedule_Inputs'!$D$27,0),0))))</f>
        <v/>
      </c>
      <c r="J27" s="231">
        <f>IF('Schedule_Inputs'!$C$27="Blueprint",$C27*IF(6-'Schedule_Inputs'!$B$27=0,'Assumptions'!$B$21,IF(6-'Schedule_Inputs'!$B$27=1,'Assumptions'!$C$21,IF(6-'Schedule_Inputs'!$B$27=2,'Assumptions'!$D$21,0))),IF('Schedule_Inputs'!$C$27="Launch",$C27*IF(6-'Schedule_Inputs'!$B$27=0,'Assumptions'!$B$22,IF(6-'Schedule_Inputs'!$B$27=1,'Assumptions'!$C$22,IF(6-'Schedule_Inputs'!$B$27=2,'Assumptions'!$D$22,IF(6-'Schedule_Inputs'!$B$27=3,'Assumptions'!$B$23,0)))),IF('Schedule_Inputs'!$C$27="Office Setup",$C27*IF(6-'Schedule_Inputs'!$B$27=0,'Assumptions'!$B$24,IF(6-'Schedule_Inputs'!$B$27=1,'Assumptions'!$C$24,IF(6-'Schedule_Inputs'!$B$27=2,'Assumptions'!$D$24,0))),IF(OR('Schedule_Inputs'!$C$27="Monthly",'Schedule_Inputs'!$C$27="Periodic"),IF(AND(6&gt;='Schedule_Inputs'!$B$27,MOD(6-'Schedule_Inputs'!$B$27,'Schedule_Inputs'!$E$27)=0,(6-'Schedule_Inputs'!$B$27)/'Schedule_Inputs'!$E$27&lt;'Schedule_Inputs'!$D$27),$C27/'Schedule_Inputs'!$D$27,0),0))))</f>
        <v/>
      </c>
      <c r="K27" s="231">
        <f>IF('Schedule_Inputs'!$C$27="Blueprint",$C27*IF(7-'Schedule_Inputs'!$B$27=0,'Assumptions'!$B$21,IF(7-'Schedule_Inputs'!$B$27=1,'Assumptions'!$C$21,IF(7-'Schedule_Inputs'!$B$27=2,'Assumptions'!$D$21,0))),IF('Schedule_Inputs'!$C$27="Launch",$C27*IF(7-'Schedule_Inputs'!$B$27=0,'Assumptions'!$B$22,IF(7-'Schedule_Inputs'!$B$27=1,'Assumptions'!$C$22,IF(7-'Schedule_Inputs'!$B$27=2,'Assumptions'!$D$22,IF(7-'Schedule_Inputs'!$B$27=3,'Assumptions'!$B$23,0)))),IF('Schedule_Inputs'!$C$27="Office Setup",$C27*IF(7-'Schedule_Inputs'!$B$27=0,'Assumptions'!$B$24,IF(7-'Schedule_Inputs'!$B$27=1,'Assumptions'!$C$24,IF(7-'Schedule_Inputs'!$B$27=2,'Assumptions'!$D$24,0))),IF(OR('Schedule_Inputs'!$C$27="Monthly",'Schedule_Inputs'!$C$27="Periodic"),IF(AND(7&gt;='Schedule_Inputs'!$B$27,MOD(7-'Schedule_Inputs'!$B$27,'Schedule_Inputs'!$E$27)=0,(7-'Schedule_Inputs'!$B$27)/'Schedule_Inputs'!$E$27&lt;'Schedule_Inputs'!$D$27),$C27/'Schedule_Inputs'!$D$27,0),0))))</f>
        <v/>
      </c>
      <c r="L27" s="231">
        <f>IF('Schedule_Inputs'!$C$27="Blueprint",$C27*IF(8-'Schedule_Inputs'!$B$27=0,'Assumptions'!$B$21,IF(8-'Schedule_Inputs'!$B$27=1,'Assumptions'!$C$21,IF(8-'Schedule_Inputs'!$B$27=2,'Assumptions'!$D$21,0))),IF('Schedule_Inputs'!$C$27="Launch",$C27*IF(8-'Schedule_Inputs'!$B$27=0,'Assumptions'!$B$22,IF(8-'Schedule_Inputs'!$B$27=1,'Assumptions'!$C$22,IF(8-'Schedule_Inputs'!$B$27=2,'Assumptions'!$D$22,IF(8-'Schedule_Inputs'!$B$27=3,'Assumptions'!$B$23,0)))),IF('Schedule_Inputs'!$C$27="Office Setup",$C27*IF(8-'Schedule_Inputs'!$B$27=0,'Assumptions'!$B$24,IF(8-'Schedule_Inputs'!$B$27=1,'Assumptions'!$C$24,IF(8-'Schedule_Inputs'!$B$27=2,'Assumptions'!$D$24,0))),IF(OR('Schedule_Inputs'!$C$27="Monthly",'Schedule_Inputs'!$C$27="Periodic"),IF(AND(8&gt;='Schedule_Inputs'!$B$27,MOD(8-'Schedule_Inputs'!$B$27,'Schedule_Inputs'!$E$27)=0,(8-'Schedule_Inputs'!$B$27)/'Schedule_Inputs'!$E$27&lt;'Schedule_Inputs'!$D$27),$C27/'Schedule_Inputs'!$D$27,0),0))))</f>
        <v/>
      </c>
      <c r="M27" s="231">
        <f>IF('Schedule_Inputs'!$C$27="Blueprint",$C27*IF(9-'Schedule_Inputs'!$B$27=0,'Assumptions'!$B$21,IF(9-'Schedule_Inputs'!$B$27=1,'Assumptions'!$C$21,IF(9-'Schedule_Inputs'!$B$27=2,'Assumptions'!$D$21,0))),IF('Schedule_Inputs'!$C$27="Launch",$C27*IF(9-'Schedule_Inputs'!$B$27=0,'Assumptions'!$B$22,IF(9-'Schedule_Inputs'!$B$27=1,'Assumptions'!$C$22,IF(9-'Schedule_Inputs'!$B$27=2,'Assumptions'!$D$22,IF(9-'Schedule_Inputs'!$B$27=3,'Assumptions'!$B$23,0)))),IF('Schedule_Inputs'!$C$27="Office Setup",$C27*IF(9-'Schedule_Inputs'!$B$27=0,'Assumptions'!$B$24,IF(9-'Schedule_Inputs'!$B$27=1,'Assumptions'!$C$24,IF(9-'Schedule_Inputs'!$B$27=2,'Assumptions'!$D$24,0))),IF(OR('Schedule_Inputs'!$C$27="Monthly",'Schedule_Inputs'!$C$27="Periodic"),IF(AND(9&gt;='Schedule_Inputs'!$B$27,MOD(9-'Schedule_Inputs'!$B$27,'Schedule_Inputs'!$E$27)=0,(9-'Schedule_Inputs'!$B$27)/'Schedule_Inputs'!$E$27&lt;'Schedule_Inputs'!$D$27),$C27/'Schedule_Inputs'!$D$27,0),0))))</f>
        <v/>
      </c>
      <c r="N27" s="231">
        <f>IF('Schedule_Inputs'!$C$27="Blueprint",$C27*IF(10-'Schedule_Inputs'!$B$27=0,'Assumptions'!$B$21,IF(10-'Schedule_Inputs'!$B$27=1,'Assumptions'!$C$21,IF(10-'Schedule_Inputs'!$B$27=2,'Assumptions'!$D$21,0))),IF('Schedule_Inputs'!$C$27="Launch",$C27*IF(10-'Schedule_Inputs'!$B$27=0,'Assumptions'!$B$22,IF(10-'Schedule_Inputs'!$B$27=1,'Assumptions'!$C$22,IF(10-'Schedule_Inputs'!$B$27=2,'Assumptions'!$D$22,IF(10-'Schedule_Inputs'!$B$27=3,'Assumptions'!$B$23,0)))),IF('Schedule_Inputs'!$C$27="Office Setup",$C27*IF(10-'Schedule_Inputs'!$B$27=0,'Assumptions'!$B$24,IF(10-'Schedule_Inputs'!$B$27=1,'Assumptions'!$C$24,IF(10-'Schedule_Inputs'!$B$27=2,'Assumptions'!$D$24,0))),IF(OR('Schedule_Inputs'!$C$27="Monthly",'Schedule_Inputs'!$C$27="Periodic"),IF(AND(10&gt;='Schedule_Inputs'!$B$27,MOD(10-'Schedule_Inputs'!$B$27,'Schedule_Inputs'!$E$27)=0,(10-'Schedule_Inputs'!$B$27)/'Schedule_Inputs'!$E$27&lt;'Schedule_Inputs'!$D$27),$C27/'Schedule_Inputs'!$D$27,0),0))))</f>
        <v/>
      </c>
      <c r="O27" s="231">
        <f>IF('Schedule_Inputs'!$C$27="Blueprint",$C27*IF(11-'Schedule_Inputs'!$B$27=0,'Assumptions'!$B$21,IF(11-'Schedule_Inputs'!$B$27=1,'Assumptions'!$C$21,IF(11-'Schedule_Inputs'!$B$27=2,'Assumptions'!$D$21,0))),IF('Schedule_Inputs'!$C$27="Launch",$C27*IF(11-'Schedule_Inputs'!$B$27=0,'Assumptions'!$B$22,IF(11-'Schedule_Inputs'!$B$27=1,'Assumptions'!$C$22,IF(11-'Schedule_Inputs'!$B$27=2,'Assumptions'!$D$22,IF(11-'Schedule_Inputs'!$B$27=3,'Assumptions'!$B$23,0)))),IF('Schedule_Inputs'!$C$27="Office Setup",$C27*IF(11-'Schedule_Inputs'!$B$27=0,'Assumptions'!$B$24,IF(11-'Schedule_Inputs'!$B$27=1,'Assumptions'!$C$24,IF(11-'Schedule_Inputs'!$B$27=2,'Assumptions'!$D$24,0))),IF(OR('Schedule_Inputs'!$C$27="Monthly",'Schedule_Inputs'!$C$27="Periodic"),IF(AND(11&gt;='Schedule_Inputs'!$B$27,MOD(11-'Schedule_Inputs'!$B$27,'Schedule_Inputs'!$E$27)=0,(11-'Schedule_Inputs'!$B$27)/'Schedule_Inputs'!$E$27&lt;'Schedule_Inputs'!$D$27),$C27/'Schedule_Inputs'!$D$27,0),0))))</f>
        <v/>
      </c>
      <c r="P27" s="231">
        <f>IF('Schedule_Inputs'!$C$27="Blueprint",$C27*IF(12-'Schedule_Inputs'!$B$27=0,'Assumptions'!$B$21,IF(12-'Schedule_Inputs'!$B$27=1,'Assumptions'!$C$21,IF(12-'Schedule_Inputs'!$B$27=2,'Assumptions'!$D$21,0))),IF('Schedule_Inputs'!$C$27="Launch",$C27*IF(12-'Schedule_Inputs'!$B$27=0,'Assumptions'!$B$22,IF(12-'Schedule_Inputs'!$B$27=1,'Assumptions'!$C$22,IF(12-'Schedule_Inputs'!$B$27=2,'Assumptions'!$D$22,IF(12-'Schedule_Inputs'!$B$27=3,'Assumptions'!$B$23,0)))),IF('Schedule_Inputs'!$C$27="Office Setup",$C27*IF(12-'Schedule_Inputs'!$B$27=0,'Assumptions'!$B$24,IF(12-'Schedule_Inputs'!$B$27=1,'Assumptions'!$C$24,IF(12-'Schedule_Inputs'!$B$27=2,'Assumptions'!$D$24,0))),IF(OR('Schedule_Inputs'!$C$27="Monthly",'Schedule_Inputs'!$C$27="Periodic"),IF(AND(12&gt;='Schedule_Inputs'!$B$27,MOD(12-'Schedule_Inputs'!$B$27,'Schedule_Inputs'!$E$27)=0,(12-'Schedule_Inputs'!$B$27)/'Schedule_Inputs'!$E$27&lt;'Schedule_Inputs'!$D$27),$C27/'Schedule_Inputs'!$D$27,0),0))))</f>
        <v/>
      </c>
      <c r="Q27" s="231">
        <f>IF('Schedule_Inputs'!$C$27="Blueprint",$C27*IF(13-'Schedule_Inputs'!$B$27=0,'Assumptions'!$B$21,IF(13-'Schedule_Inputs'!$B$27=1,'Assumptions'!$C$21,IF(13-'Schedule_Inputs'!$B$27=2,'Assumptions'!$D$21,0))),IF('Schedule_Inputs'!$C$27="Launch",$C27*IF(13-'Schedule_Inputs'!$B$27=0,'Assumptions'!$B$22,IF(13-'Schedule_Inputs'!$B$27=1,'Assumptions'!$C$22,IF(13-'Schedule_Inputs'!$B$27=2,'Assumptions'!$D$22,IF(13-'Schedule_Inputs'!$B$27=3,'Assumptions'!$B$23,0)))),IF('Schedule_Inputs'!$C$27="Office Setup",$C27*IF(13-'Schedule_Inputs'!$B$27=0,'Assumptions'!$B$24,IF(13-'Schedule_Inputs'!$B$27=1,'Assumptions'!$C$24,IF(13-'Schedule_Inputs'!$B$27=2,'Assumptions'!$D$24,0))),IF(OR('Schedule_Inputs'!$C$27="Monthly",'Schedule_Inputs'!$C$27="Periodic"),IF(AND(13&gt;='Schedule_Inputs'!$B$27,MOD(13-'Schedule_Inputs'!$B$27,'Schedule_Inputs'!$E$27)=0,(13-'Schedule_Inputs'!$B$27)/'Schedule_Inputs'!$E$27&lt;'Schedule_Inputs'!$D$27),$C27/'Schedule_Inputs'!$D$27,0),0))))</f>
        <v/>
      </c>
      <c r="R27" s="231">
        <f>IF('Schedule_Inputs'!$C$27="Blueprint",$C27*IF(14-'Schedule_Inputs'!$B$27=0,'Assumptions'!$B$21,IF(14-'Schedule_Inputs'!$B$27=1,'Assumptions'!$C$21,IF(14-'Schedule_Inputs'!$B$27=2,'Assumptions'!$D$21,0))),IF('Schedule_Inputs'!$C$27="Launch",$C27*IF(14-'Schedule_Inputs'!$B$27=0,'Assumptions'!$B$22,IF(14-'Schedule_Inputs'!$B$27=1,'Assumptions'!$C$22,IF(14-'Schedule_Inputs'!$B$27=2,'Assumptions'!$D$22,IF(14-'Schedule_Inputs'!$B$27=3,'Assumptions'!$B$23,0)))),IF('Schedule_Inputs'!$C$27="Office Setup",$C27*IF(14-'Schedule_Inputs'!$B$27=0,'Assumptions'!$B$24,IF(14-'Schedule_Inputs'!$B$27=1,'Assumptions'!$C$24,IF(14-'Schedule_Inputs'!$B$27=2,'Assumptions'!$D$24,0))),IF(OR('Schedule_Inputs'!$C$27="Monthly",'Schedule_Inputs'!$C$27="Periodic"),IF(AND(14&gt;='Schedule_Inputs'!$B$27,MOD(14-'Schedule_Inputs'!$B$27,'Schedule_Inputs'!$E$27)=0,(14-'Schedule_Inputs'!$B$27)/'Schedule_Inputs'!$E$27&lt;'Schedule_Inputs'!$D$27),$C27/'Schedule_Inputs'!$D$27,0),0))))</f>
        <v/>
      </c>
      <c r="S27" s="231">
        <f>IF('Schedule_Inputs'!$C$27="Blueprint",$C27*IF(15-'Schedule_Inputs'!$B$27=0,'Assumptions'!$B$21,IF(15-'Schedule_Inputs'!$B$27=1,'Assumptions'!$C$21,IF(15-'Schedule_Inputs'!$B$27=2,'Assumptions'!$D$21,0))),IF('Schedule_Inputs'!$C$27="Launch",$C27*IF(15-'Schedule_Inputs'!$B$27=0,'Assumptions'!$B$22,IF(15-'Schedule_Inputs'!$B$27=1,'Assumptions'!$C$22,IF(15-'Schedule_Inputs'!$B$27=2,'Assumptions'!$D$22,IF(15-'Schedule_Inputs'!$B$27=3,'Assumptions'!$B$23,0)))),IF('Schedule_Inputs'!$C$27="Office Setup",$C27*IF(15-'Schedule_Inputs'!$B$27=0,'Assumptions'!$B$24,IF(15-'Schedule_Inputs'!$B$27=1,'Assumptions'!$C$24,IF(15-'Schedule_Inputs'!$B$27=2,'Assumptions'!$D$24,0))),IF(OR('Schedule_Inputs'!$C$27="Monthly",'Schedule_Inputs'!$C$27="Periodic"),IF(AND(15&gt;='Schedule_Inputs'!$B$27,MOD(15-'Schedule_Inputs'!$B$27,'Schedule_Inputs'!$E$27)=0,(15-'Schedule_Inputs'!$B$27)/'Schedule_Inputs'!$E$27&lt;'Schedule_Inputs'!$D$27),$C27/'Schedule_Inputs'!$D$27,0),0))))</f>
        <v/>
      </c>
      <c r="T27" s="231">
        <f>IF('Schedule_Inputs'!$C$27="Blueprint",$C27*IF(16-'Schedule_Inputs'!$B$27=0,'Assumptions'!$B$21,IF(16-'Schedule_Inputs'!$B$27=1,'Assumptions'!$C$21,IF(16-'Schedule_Inputs'!$B$27=2,'Assumptions'!$D$21,0))),IF('Schedule_Inputs'!$C$27="Launch",$C27*IF(16-'Schedule_Inputs'!$B$27=0,'Assumptions'!$B$22,IF(16-'Schedule_Inputs'!$B$27=1,'Assumptions'!$C$22,IF(16-'Schedule_Inputs'!$B$27=2,'Assumptions'!$D$22,IF(16-'Schedule_Inputs'!$B$27=3,'Assumptions'!$B$23,0)))),IF('Schedule_Inputs'!$C$27="Office Setup",$C27*IF(16-'Schedule_Inputs'!$B$27=0,'Assumptions'!$B$24,IF(16-'Schedule_Inputs'!$B$27=1,'Assumptions'!$C$24,IF(16-'Schedule_Inputs'!$B$27=2,'Assumptions'!$D$24,0))),IF(OR('Schedule_Inputs'!$C$27="Monthly",'Schedule_Inputs'!$C$27="Periodic"),IF(AND(16&gt;='Schedule_Inputs'!$B$27,MOD(16-'Schedule_Inputs'!$B$27,'Schedule_Inputs'!$E$27)=0,(16-'Schedule_Inputs'!$B$27)/'Schedule_Inputs'!$E$27&lt;'Schedule_Inputs'!$D$27),$C27/'Schedule_Inputs'!$D$27,0),0))))</f>
        <v/>
      </c>
      <c r="U27" s="231">
        <f>IF('Schedule_Inputs'!$C$27="Blueprint",$C27*IF(17-'Schedule_Inputs'!$B$27=0,'Assumptions'!$B$21,IF(17-'Schedule_Inputs'!$B$27=1,'Assumptions'!$C$21,IF(17-'Schedule_Inputs'!$B$27=2,'Assumptions'!$D$21,0))),IF('Schedule_Inputs'!$C$27="Launch",$C27*IF(17-'Schedule_Inputs'!$B$27=0,'Assumptions'!$B$22,IF(17-'Schedule_Inputs'!$B$27=1,'Assumptions'!$C$22,IF(17-'Schedule_Inputs'!$B$27=2,'Assumptions'!$D$22,IF(17-'Schedule_Inputs'!$B$27=3,'Assumptions'!$B$23,0)))),IF('Schedule_Inputs'!$C$27="Office Setup",$C27*IF(17-'Schedule_Inputs'!$B$27=0,'Assumptions'!$B$24,IF(17-'Schedule_Inputs'!$B$27=1,'Assumptions'!$C$24,IF(17-'Schedule_Inputs'!$B$27=2,'Assumptions'!$D$24,0))),IF(OR('Schedule_Inputs'!$C$27="Monthly",'Schedule_Inputs'!$C$27="Periodic"),IF(AND(17&gt;='Schedule_Inputs'!$B$27,MOD(17-'Schedule_Inputs'!$B$27,'Schedule_Inputs'!$E$27)=0,(17-'Schedule_Inputs'!$B$27)/'Schedule_Inputs'!$E$27&lt;'Schedule_Inputs'!$D$27),$C27/'Schedule_Inputs'!$D$27,0),0))))</f>
        <v/>
      </c>
      <c r="V27" s="231">
        <f>IF('Schedule_Inputs'!$C$27="Blueprint",$C27*IF(18-'Schedule_Inputs'!$B$27=0,'Assumptions'!$B$21,IF(18-'Schedule_Inputs'!$B$27=1,'Assumptions'!$C$21,IF(18-'Schedule_Inputs'!$B$27=2,'Assumptions'!$D$21,0))),IF('Schedule_Inputs'!$C$27="Launch",$C27*IF(18-'Schedule_Inputs'!$B$27=0,'Assumptions'!$B$22,IF(18-'Schedule_Inputs'!$B$27=1,'Assumptions'!$C$22,IF(18-'Schedule_Inputs'!$B$27=2,'Assumptions'!$D$22,IF(18-'Schedule_Inputs'!$B$27=3,'Assumptions'!$B$23,0)))),IF('Schedule_Inputs'!$C$27="Office Setup",$C27*IF(18-'Schedule_Inputs'!$B$27=0,'Assumptions'!$B$24,IF(18-'Schedule_Inputs'!$B$27=1,'Assumptions'!$C$24,IF(18-'Schedule_Inputs'!$B$27=2,'Assumptions'!$D$24,0))),IF(OR('Schedule_Inputs'!$C$27="Monthly",'Schedule_Inputs'!$C$27="Periodic"),IF(AND(18&gt;='Schedule_Inputs'!$B$27,MOD(18-'Schedule_Inputs'!$B$27,'Schedule_Inputs'!$E$27)=0,(18-'Schedule_Inputs'!$B$27)/'Schedule_Inputs'!$E$27&lt;'Schedule_Inputs'!$D$27),$C27/'Schedule_Inputs'!$D$27,0),0))))</f>
        <v/>
      </c>
      <c r="W27" s="231">
        <f>IF('Schedule_Inputs'!$C$27="Blueprint",$C27*IF(19-'Schedule_Inputs'!$B$27=0,'Assumptions'!$B$21,IF(19-'Schedule_Inputs'!$B$27=1,'Assumptions'!$C$21,IF(19-'Schedule_Inputs'!$B$27=2,'Assumptions'!$D$21,0))),IF('Schedule_Inputs'!$C$27="Launch",$C27*IF(19-'Schedule_Inputs'!$B$27=0,'Assumptions'!$B$22,IF(19-'Schedule_Inputs'!$B$27=1,'Assumptions'!$C$22,IF(19-'Schedule_Inputs'!$B$27=2,'Assumptions'!$D$22,IF(19-'Schedule_Inputs'!$B$27=3,'Assumptions'!$B$23,0)))),IF('Schedule_Inputs'!$C$27="Office Setup",$C27*IF(19-'Schedule_Inputs'!$B$27=0,'Assumptions'!$B$24,IF(19-'Schedule_Inputs'!$B$27=1,'Assumptions'!$C$24,IF(19-'Schedule_Inputs'!$B$27=2,'Assumptions'!$D$24,0))),IF(OR('Schedule_Inputs'!$C$27="Monthly",'Schedule_Inputs'!$C$27="Periodic"),IF(AND(19&gt;='Schedule_Inputs'!$B$27,MOD(19-'Schedule_Inputs'!$B$27,'Schedule_Inputs'!$E$27)=0,(19-'Schedule_Inputs'!$B$27)/'Schedule_Inputs'!$E$27&lt;'Schedule_Inputs'!$D$27),$C27/'Schedule_Inputs'!$D$27,0),0))))</f>
        <v/>
      </c>
      <c r="X27" s="231">
        <f>IF('Schedule_Inputs'!$C$27="Blueprint",$C27*IF(20-'Schedule_Inputs'!$B$27=0,'Assumptions'!$B$21,IF(20-'Schedule_Inputs'!$B$27=1,'Assumptions'!$C$21,IF(20-'Schedule_Inputs'!$B$27=2,'Assumptions'!$D$21,0))),IF('Schedule_Inputs'!$C$27="Launch",$C27*IF(20-'Schedule_Inputs'!$B$27=0,'Assumptions'!$B$22,IF(20-'Schedule_Inputs'!$B$27=1,'Assumptions'!$C$22,IF(20-'Schedule_Inputs'!$B$27=2,'Assumptions'!$D$22,IF(20-'Schedule_Inputs'!$B$27=3,'Assumptions'!$B$23,0)))),IF('Schedule_Inputs'!$C$27="Office Setup",$C27*IF(20-'Schedule_Inputs'!$B$27=0,'Assumptions'!$B$24,IF(20-'Schedule_Inputs'!$B$27=1,'Assumptions'!$C$24,IF(20-'Schedule_Inputs'!$B$27=2,'Assumptions'!$D$24,0))),IF(OR('Schedule_Inputs'!$C$27="Monthly",'Schedule_Inputs'!$C$27="Periodic"),IF(AND(20&gt;='Schedule_Inputs'!$B$27,MOD(20-'Schedule_Inputs'!$B$27,'Schedule_Inputs'!$E$27)=0,(20-'Schedule_Inputs'!$B$27)/'Schedule_Inputs'!$E$27&lt;'Schedule_Inputs'!$D$27),$C27/'Schedule_Inputs'!$D$27,0),0))))</f>
        <v/>
      </c>
      <c r="Y27" s="231">
        <f>IF('Schedule_Inputs'!$C$27="Blueprint",$C27*IF(21-'Schedule_Inputs'!$B$27=0,'Assumptions'!$B$21,IF(21-'Schedule_Inputs'!$B$27=1,'Assumptions'!$C$21,IF(21-'Schedule_Inputs'!$B$27=2,'Assumptions'!$D$21,0))),IF('Schedule_Inputs'!$C$27="Launch",$C27*IF(21-'Schedule_Inputs'!$B$27=0,'Assumptions'!$B$22,IF(21-'Schedule_Inputs'!$B$27=1,'Assumptions'!$C$22,IF(21-'Schedule_Inputs'!$B$27=2,'Assumptions'!$D$22,IF(21-'Schedule_Inputs'!$B$27=3,'Assumptions'!$B$23,0)))),IF('Schedule_Inputs'!$C$27="Office Setup",$C27*IF(21-'Schedule_Inputs'!$B$27=0,'Assumptions'!$B$24,IF(21-'Schedule_Inputs'!$B$27=1,'Assumptions'!$C$24,IF(21-'Schedule_Inputs'!$B$27=2,'Assumptions'!$D$24,0))),IF(OR('Schedule_Inputs'!$C$27="Monthly",'Schedule_Inputs'!$C$27="Periodic"),IF(AND(21&gt;='Schedule_Inputs'!$B$27,MOD(21-'Schedule_Inputs'!$B$27,'Schedule_Inputs'!$E$27)=0,(21-'Schedule_Inputs'!$B$27)/'Schedule_Inputs'!$E$27&lt;'Schedule_Inputs'!$D$27),$C27/'Schedule_Inputs'!$D$27,0),0))))</f>
        <v/>
      </c>
      <c r="Z27" s="231">
        <f>IF('Schedule_Inputs'!$C$27="Blueprint",$C27*IF(22-'Schedule_Inputs'!$B$27=0,'Assumptions'!$B$21,IF(22-'Schedule_Inputs'!$B$27=1,'Assumptions'!$C$21,IF(22-'Schedule_Inputs'!$B$27=2,'Assumptions'!$D$21,0))),IF('Schedule_Inputs'!$C$27="Launch",$C27*IF(22-'Schedule_Inputs'!$B$27=0,'Assumptions'!$B$22,IF(22-'Schedule_Inputs'!$B$27=1,'Assumptions'!$C$22,IF(22-'Schedule_Inputs'!$B$27=2,'Assumptions'!$D$22,IF(22-'Schedule_Inputs'!$B$27=3,'Assumptions'!$B$23,0)))),IF('Schedule_Inputs'!$C$27="Office Setup",$C27*IF(22-'Schedule_Inputs'!$B$27=0,'Assumptions'!$B$24,IF(22-'Schedule_Inputs'!$B$27=1,'Assumptions'!$C$24,IF(22-'Schedule_Inputs'!$B$27=2,'Assumptions'!$D$24,0))),IF(OR('Schedule_Inputs'!$C$27="Monthly",'Schedule_Inputs'!$C$27="Periodic"),IF(AND(22&gt;='Schedule_Inputs'!$B$27,MOD(22-'Schedule_Inputs'!$B$27,'Schedule_Inputs'!$E$27)=0,(22-'Schedule_Inputs'!$B$27)/'Schedule_Inputs'!$E$27&lt;'Schedule_Inputs'!$D$27),$C27/'Schedule_Inputs'!$D$27,0),0))))</f>
        <v/>
      </c>
      <c r="AA27" s="231">
        <f>IF('Schedule_Inputs'!$C$27="Blueprint",$C27*IF(23-'Schedule_Inputs'!$B$27=0,'Assumptions'!$B$21,IF(23-'Schedule_Inputs'!$B$27=1,'Assumptions'!$C$21,IF(23-'Schedule_Inputs'!$B$27=2,'Assumptions'!$D$21,0))),IF('Schedule_Inputs'!$C$27="Launch",$C27*IF(23-'Schedule_Inputs'!$B$27=0,'Assumptions'!$B$22,IF(23-'Schedule_Inputs'!$B$27=1,'Assumptions'!$C$22,IF(23-'Schedule_Inputs'!$B$27=2,'Assumptions'!$D$22,IF(23-'Schedule_Inputs'!$B$27=3,'Assumptions'!$B$23,0)))),IF('Schedule_Inputs'!$C$27="Office Setup",$C27*IF(23-'Schedule_Inputs'!$B$27=0,'Assumptions'!$B$24,IF(23-'Schedule_Inputs'!$B$27=1,'Assumptions'!$C$24,IF(23-'Schedule_Inputs'!$B$27=2,'Assumptions'!$D$24,0))),IF(OR('Schedule_Inputs'!$C$27="Monthly",'Schedule_Inputs'!$C$27="Periodic"),IF(AND(23&gt;='Schedule_Inputs'!$B$27,MOD(23-'Schedule_Inputs'!$B$27,'Schedule_Inputs'!$E$27)=0,(23-'Schedule_Inputs'!$B$27)/'Schedule_Inputs'!$E$27&lt;'Schedule_Inputs'!$D$27),$C27/'Schedule_Inputs'!$D$27,0),0))))</f>
        <v/>
      </c>
      <c r="AB27" s="231">
        <f>IF('Schedule_Inputs'!$C$27="Blueprint",$C27*IF(24-'Schedule_Inputs'!$B$27=0,'Assumptions'!$B$21,IF(24-'Schedule_Inputs'!$B$27=1,'Assumptions'!$C$21,IF(24-'Schedule_Inputs'!$B$27=2,'Assumptions'!$D$21,0))),IF('Schedule_Inputs'!$C$27="Launch",$C27*IF(24-'Schedule_Inputs'!$B$27=0,'Assumptions'!$B$22,IF(24-'Schedule_Inputs'!$B$27=1,'Assumptions'!$C$22,IF(24-'Schedule_Inputs'!$B$27=2,'Assumptions'!$D$22,IF(24-'Schedule_Inputs'!$B$27=3,'Assumptions'!$B$23,0)))),IF('Schedule_Inputs'!$C$27="Office Setup",$C27*IF(24-'Schedule_Inputs'!$B$27=0,'Assumptions'!$B$24,IF(24-'Schedule_Inputs'!$B$27=1,'Assumptions'!$C$24,IF(24-'Schedule_Inputs'!$B$27=2,'Assumptions'!$D$24,0))),IF(OR('Schedule_Inputs'!$C$27="Monthly",'Schedule_Inputs'!$C$27="Periodic"),IF(AND(24&gt;='Schedule_Inputs'!$B$27,MOD(24-'Schedule_Inputs'!$B$27,'Schedule_Inputs'!$E$27)=0,(24-'Schedule_Inputs'!$B$27)/'Schedule_Inputs'!$E$27&lt;'Schedule_Inputs'!$D$27),$C27/'Schedule_Inputs'!$D$27,0),0))))</f>
        <v/>
      </c>
      <c r="AC27" s="231">
        <f>IF('Schedule_Inputs'!$C$27="Blueprint",$C27*IF(25-'Schedule_Inputs'!$B$27=0,'Assumptions'!$B$21,IF(25-'Schedule_Inputs'!$B$27=1,'Assumptions'!$C$21,IF(25-'Schedule_Inputs'!$B$27=2,'Assumptions'!$D$21,0))),IF('Schedule_Inputs'!$C$27="Launch",$C27*IF(25-'Schedule_Inputs'!$B$27=0,'Assumptions'!$B$22,IF(25-'Schedule_Inputs'!$B$27=1,'Assumptions'!$C$22,IF(25-'Schedule_Inputs'!$B$27=2,'Assumptions'!$D$22,IF(25-'Schedule_Inputs'!$B$27=3,'Assumptions'!$B$23,0)))),IF('Schedule_Inputs'!$C$27="Office Setup",$C27*IF(25-'Schedule_Inputs'!$B$27=0,'Assumptions'!$B$24,IF(25-'Schedule_Inputs'!$B$27=1,'Assumptions'!$C$24,IF(25-'Schedule_Inputs'!$B$27=2,'Assumptions'!$D$24,0))),IF(OR('Schedule_Inputs'!$C$27="Monthly",'Schedule_Inputs'!$C$27="Periodic"),IF(AND(25&gt;='Schedule_Inputs'!$B$27,MOD(25-'Schedule_Inputs'!$B$27,'Schedule_Inputs'!$E$27)=0,(25-'Schedule_Inputs'!$B$27)/'Schedule_Inputs'!$E$27&lt;'Schedule_Inputs'!$D$27),$C27/'Schedule_Inputs'!$D$27,0),0))))</f>
        <v/>
      </c>
      <c r="AD27" s="231">
        <f>IF('Schedule_Inputs'!$C$27="Blueprint",$C27*IF(26-'Schedule_Inputs'!$B$27=0,'Assumptions'!$B$21,IF(26-'Schedule_Inputs'!$B$27=1,'Assumptions'!$C$21,IF(26-'Schedule_Inputs'!$B$27=2,'Assumptions'!$D$21,0))),IF('Schedule_Inputs'!$C$27="Launch",$C27*IF(26-'Schedule_Inputs'!$B$27=0,'Assumptions'!$B$22,IF(26-'Schedule_Inputs'!$B$27=1,'Assumptions'!$C$22,IF(26-'Schedule_Inputs'!$B$27=2,'Assumptions'!$D$22,IF(26-'Schedule_Inputs'!$B$27=3,'Assumptions'!$B$23,0)))),IF('Schedule_Inputs'!$C$27="Office Setup",$C27*IF(26-'Schedule_Inputs'!$B$27=0,'Assumptions'!$B$24,IF(26-'Schedule_Inputs'!$B$27=1,'Assumptions'!$C$24,IF(26-'Schedule_Inputs'!$B$27=2,'Assumptions'!$D$24,0))),IF(OR('Schedule_Inputs'!$C$27="Monthly",'Schedule_Inputs'!$C$27="Periodic"),IF(AND(26&gt;='Schedule_Inputs'!$B$27,MOD(26-'Schedule_Inputs'!$B$27,'Schedule_Inputs'!$E$27)=0,(26-'Schedule_Inputs'!$B$27)/'Schedule_Inputs'!$E$27&lt;'Schedule_Inputs'!$D$27),$C27/'Schedule_Inputs'!$D$27,0),0))))</f>
        <v/>
      </c>
      <c r="AE27" s="231">
        <f>IF('Schedule_Inputs'!$C$27="Blueprint",$C27*IF(27-'Schedule_Inputs'!$B$27=0,'Assumptions'!$B$21,IF(27-'Schedule_Inputs'!$B$27=1,'Assumptions'!$C$21,IF(27-'Schedule_Inputs'!$B$27=2,'Assumptions'!$D$21,0))),IF('Schedule_Inputs'!$C$27="Launch",$C27*IF(27-'Schedule_Inputs'!$B$27=0,'Assumptions'!$B$22,IF(27-'Schedule_Inputs'!$B$27=1,'Assumptions'!$C$22,IF(27-'Schedule_Inputs'!$B$27=2,'Assumptions'!$D$22,IF(27-'Schedule_Inputs'!$B$27=3,'Assumptions'!$B$23,0)))),IF('Schedule_Inputs'!$C$27="Office Setup",$C27*IF(27-'Schedule_Inputs'!$B$27=0,'Assumptions'!$B$24,IF(27-'Schedule_Inputs'!$B$27=1,'Assumptions'!$C$24,IF(27-'Schedule_Inputs'!$B$27=2,'Assumptions'!$D$24,0))),IF(OR('Schedule_Inputs'!$C$27="Monthly",'Schedule_Inputs'!$C$27="Periodic"),IF(AND(27&gt;='Schedule_Inputs'!$B$27,MOD(27-'Schedule_Inputs'!$B$27,'Schedule_Inputs'!$E$27)=0,(27-'Schedule_Inputs'!$B$27)/'Schedule_Inputs'!$E$27&lt;'Schedule_Inputs'!$D$27),$C27/'Schedule_Inputs'!$D$27,0),0))))</f>
        <v/>
      </c>
      <c r="AF27" s="231">
        <f>IF('Schedule_Inputs'!$C$27="Blueprint",$C27*IF(28-'Schedule_Inputs'!$B$27=0,'Assumptions'!$B$21,IF(28-'Schedule_Inputs'!$B$27=1,'Assumptions'!$C$21,IF(28-'Schedule_Inputs'!$B$27=2,'Assumptions'!$D$21,0))),IF('Schedule_Inputs'!$C$27="Launch",$C27*IF(28-'Schedule_Inputs'!$B$27=0,'Assumptions'!$B$22,IF(28-'Schedule_Inputs'!$B$27=1,'Assumptions'!$C$22,IF(28-'Schedule_Inputs'!$B$27=2,'Assumptions'!$D$22,IF(28-'Schedule_Inputs'!$B$27=3,'Assumptions'!$B$23,0)))),IF('Schedule_Inputs'!$C$27="Office Setup",$C27*IF(28-'Schedule_Inputs'!$B$27=0,'Assumptions'!$B$24,IF(28-'Schedule_Inputs'!$B$27=1,'Assumptions'!$C$24,IF(28-'Schedule_Inputs'!$B$27=2,'Assumptions'!$D$24,0))),IF(OR('Schedule_Inputs'!$C$27="Monthly",'Schedule_Inputs'!$C$27="Periodic"),IF(AND(28&gt;='Schedule_Inputs'!$B$27,MOD(28-'Schedule_Inputs'!$B$27,'Schedule_Inputs'!$E$27)=0,(28-'Schedule_Inputs'!$B$27)/'Schedule_Inputs'!$E$27&lt;'Schedule_Inputs'!$D$27),$C27/'Schedule_Inputs'!$D$27,0),0))))</f>
        <v/>
      </c>
      <c r="AG27" s="231">
        <f>IF('Schedule_Inputs'!$C$27="Blueprint",$C27*IF(29-'Schedule_Inputs'!$B$27=0,'Assumptions'!$B$21,IF(29-'Schedule_Inputs'!$B$27=1,'Assumptions'!$C$21,IF(29-'Schedule_Inputs'!$B$27=2,'Assumptions'!$D$21,0))),IF('Schedule_Inputs'!$C$27="Launch",$C27*IF(29-'Schedule_Inputs'!$B$27=0,'Assumptions'!$B$22,IF(29-'Schedule_Inputs'!$B$27=1,'Assumptions'!$C$22,IF(29-'Schedule_Inputs'!$B$27=2,'Assumptions'!$D$22,IF(29-'Schedule_Inputs'!$B$27=3,'Assumptions'!$B$23,0)))),IF('Schedule_Inputs'!$C$27="Office Setup",$C27*IF(29-'Schedule_Inputs'!$B$27=0,'Assumptions'!$B$24,IF(29-'Schedule_Inputs'!$B$27=1,'Assumptions'!$C$24,IF(29-'Schedule_Inputs'!$B$27=2,'Assumptions'!$D$24,0))),IF(OR('Schedule_Inputs'!$C$27="Monthly",'Schedule_Inputs'!$C$27="Periodic"),IF(AND(29&gt;='Schedule_Inputs'!$B$27,MOD(29-'Schedule_Inputs'!$B$27,'Schedule_Inputs'!$E$27)=0,(29-'Schedule_Inputs'!$B$27)/'Schedule_Inputs'!$E$27&lt;'Schedule_Inputs'!$D$27),$C27/'Schedule_Inputs'!$D$27,0),0))))</f>
        <v/>
      </c>
      <c r="AH27" s="231">
        <f>IF('Schedule_Inputs'!$C$27="Blueprint",$C27*IF(30-'Schedule_Inputs'!$B$27=0,'Assumptions'!$B$21,IF(30-'Schedule_Inputs'!$B$27=1,'Assumptions'!$C$21,IF(30-'Schedule_Inputs'!$B$27=2,'Assumptions'!$D$21,0))),IF('Schedule_Inputs'!$C$27="Launch",$C27*IF(30-'Schedule_Inputs'!$B$27=0,'Assumptions'!$B$22,IF(30-'Schedule_Inputs'!$B$27=1,'Assumptions'!$C$22,IF(30-'Schedule_Inputs'!$B$27=2,'Assumptions'!$D$22,IF(30-'Schedule_Inputs'!$B$27=3,'Assumptions'!$B$23,0)))),IF('Schedule_Inputs'!$C$27="Office Setup",$C27*IF(30-'Schedule_Inputs'!$B$27=0,'Assumptions'!$B$24,IF(30-'Schedule_Inputs'!$B$27=1,'Assumptions'!$C$24,IF(30-'Schedule_Inputs'!$B$27=2,'Assumptions'!$D$24,0))),IF(OR('Schedule_Inputs'!$C$27="Monthly",'Schedule_Inputs'!$C$27="Periodic"),IF(AND(30&gt;='Schedule_Inputs'!$B$27,MOD(30-'Schedule_Inputs'!$B$27,'Schedule_Inputs'!$E$27)=0,(30-'Schedule_Inputs'!$B$27)/'Schedule_Inputs'!$E$27&lt;'Schedule_Inputs'!$D$27),$C27/'Schedule_Inputs'!$D$27,0),0))))</f>
        <v/>
      </c>
      <c r="AI27" s="231">
        <f>IF('Schedule_Inputs'!$C$27="Blueprint",$C27*IF(31-'Schedule_Inputs'!$B$27=0,'Assumptions'!$B$21,IF(31-'Schedule_Inputs'!$B$27=1,'Assumptions'!$C$21,IF(31-'Schedule_Inputs'!$B$27=2,'Assumptions'!$D$21,0))),IF('Schedule_Inputs'!$C$27="Launch",$C27*IF(31-'Schedule_Inputs'!$B$27=0,'Assumptions'!$B$22,IF(31-'Schedule_Inputs'!$B$27=1,'Assumptions'!$C$22,IF(31-'Schedule_Inputs'!$B$27=2,'Assumptions'!$D$22,IF(31-'Schedule_Inputs'!$B$27=3,'Assumptions'!$B$23,0)))),IF('Schedule_Inputs'!$C$27="Office Setup",$C27*IF(31-'Schedule_Inputs'!$B$27=0,'Assumptions'!$B$24,IF(31-'Schedule_Inputs'!$B$27=1,'Assumptions'!$C$24,IF(31-'Schedule_Inputs'!$B$27=2,'Assumptions'!$D$24,0))),IF(OR('Schedule_Inputs'!$C$27="Monthly",'Schedule_Inputs'!$C$27="Periodic"),IF(AND(31&gt;='Schedule_Inputs'!$B$27,MOD(31-'Schedule_Inputs'!$B$27,'Schedule_Inputs'!$E$27)=0,(31-'Schedule_Inputs'!$B$27)/'Schedule_Inputs'!$E$27&lt;'Schedule_Inputs'!$D$27),$C27/'Schedule_Inputs'!$D$27,0),0))))</f>
        <v/>
      </c>
      <c r="AJ27" s="231">
        <f>IF('Schedule_Inputs'!$C$27="Blueprint",$C27*IF(32-'Schedule_Inputs'!$B$27=0,'Assumptions'!$B$21,IF(32-'Schedule_Inputs'!$B$27=1,'Assumptions'!$C$21,IF(32-'Schedule_Inputs'!$B$27=2,'Assumptions'!$D$21,0))),IF('Schedule_Inputs'!$C$27="Launch",$C27*IF(32-'Schedule_Inputs'!$B$27=0,'Assumptions'!$B$22,IF(32-'Schedule_Inputs'!$B$27=1,'Assumptions'!$C$22,IF(32-'Schedule_Inputs'!$B$27=2,'Assumptions'!$D$22,IF(32-'Schedule_Inputs'!$B$27=3,'Assumptions'!$B$23,0)))),IF('Schedule_Inputs'!$C$27="Office Setup",$C27*IF(32-'Schedule_Inputs'!$B$27=0,'Assumptions'!$B$24,IF(32-'Schedule_Inputs'!$B$27=1,'Assumptions'!$C$24,IF(32-'Schedule_Inputs'!$B$27=2,'Assumptions'!$D$24,0))),IF(OR('Schedule_Inputs'!$C$27="Monthly",'Schedule_Inputs'!$C$27="Periodic"),IF(AND(32&gt;='Schedule_Inputs'!$B$27,MOD(32-'Schedule_Inputs'!$B$27,'Schedule_Inputs'!$E$27)=0,(32-'Schedule_Inputs'!$B$27)/'Schedule_Inputs'!$E$27&lt;'Schedule_Inputs'!$D$27),$C27/'Schedule_Inputs'!$D$27,0),0))))</f>
        <v/>
      </c>
      <c r="AK27" s="231">
        <f>IF('Schedule_Inputs'!$C$27="Blueprint",$C27*IF(33-'Schedule_Inputs'!$B$27=0,'Assumptions'!$B$21,IF(33-'Schedule_Inputs'!$B$27=1,'Assumptions'!$C$21,IF(33-'Schedule_Inputs'!$B$27=2,'Assumptions'!$D$21,0))),IF('Schedule_Inputs'!$C$27="Launch",$C27*IF(33-'Schedule_Inputs'!$B$27=0,'Assumptions'!$B$22,IF(33-'Schedule_Inputs'!$B$27=1,'Assumptions'!$C$22,IF(33-'Schedule_Inputs'!$B$27=2,'Assumptions'!$D$22,IF(33-'Schedule_Inputs'!$B$27=3,'Assumptions'!$B$23,0)))),IF('Schedule_Inputs'!$C$27="Office Setup",$C27*IF(33-'Schedule_Inputs'!$B$27=0,'Assumptions'!$B$24,IF(33-'Schedule_Inputs'!$B$27=1,'Assumptions'!$C$24,IF(33-'Schedule_Inputs'!$B$27=2,'Assumptions'!$D$24,0))),IF(OR('Schedule_Inputs'!$C$27="Monthly",'Schedule_Inputs'!$C$27="Periodic"),IF(AND(33&gt;='Schedule_Inputs'!$B$27,MOD(33-'Schedule_Inputs'!$B$27,'Schedule_Inputs'!$E$27)=0,(33-'Schedule_Inputs'!$B$27)/'Schedule_Inputs'!$E$27&lt;'Schedule_Inputs'!$D$27),$C27/'Schedule_Inputs'!$D$27,0),0))))</f>
        <v/>
      </c>
      <c r="AL27" s="231">
        <f>IF('Schedule_Inputs'!$C$27="Blueprint",$C27*IF(34-'Schedule_Inputs'!$B$27=0,'Assumptions'!$B$21,IF(34-'Schedule_Inputs'!$B$27=1,'Assumptions'!$C$21,IF(34-'Schedule_Inputs'!$B$27=2,'Assumptions'!$D$21,0))),IF('Schedule_Inputs'!$C$27="Launch",$C27*IF(34-'Schedule_Inputs'!$B$27=0,'Assumptions'!$B$22,IF(34-'Schedule_Inputs'!$B$27=1,'Assumptions'!$C$22,IF(34-'Schedule_Inputs'!$B$27=2,'Assumptions'!$D$22,IF(34-'Schedule_Inputs'!$B$27=3,'Assumptions'!$B$23,0)))),IF('Schedule_Inputs'!$C$27="Office Setup",$C27*IF(34-'Schedule_Inputs'!$B$27=0,'Assumptions'!$B$24,IF(34-'Schedule_Inputs'!$B$27=1,'Assumptions'!$C$24,IF(34-'Schedule_Inputs'!$B$27=2,'Assumptions'!$D$24,0))),IF(OR('Schedule_Inputs'!$C$27="Monthly",'Schedule_Inputs'!$C$27="Periodic"),IF(AND(34&gt;='Schedule_Inputs'!$B$27,MOD(34-'Schedule_Inputs'!$B$27,'Schedule_Inputs'!$E$27)=0,(34-'Schedule_Inputs'!$B$27)/'Schedule_Inputs'!$E$27&lt;'Schedule_Inputs'!$D$27),$C27/'Schedule_Inputs'!$D$27,0),0))))</f>
        <v/>
      </c>
      <c r="AM27" s="231">
        <f>IF('Schedule_Inputs'!$C$27="Blueprint",$C27*IF(35-'Schedule_Inputs'!$B$27=0,'Assumptions'!$B$21,IF(35-'Schedule_Inputs'!$B$27=1,'Assumptions'!$C$21,IF(35-'Schedule_Inputs'!$B$27=2,'Assumptions'!$D$21,0))),IF('Schedule_Inputs'!$C$27="Launch",$C27*IF(35-'Schedule_Inputs'!$B$27=0,'Assumptions'!$B$22,IF(35-'Schedule_Inputs'!$B$27=1,'Assumptions'!$C$22,IF(35-'Schedule_Inputs'!$B$27=2,'Assumptions'!$D$22,IF(35-'Schedule_Inputs'!$B$27=3,'Assumptions'!$B$23,0)))),IF('Schedule_Inputs'!$C$27="Office Setup",$C27*IF(35-'Schedule_Inputs'!$B$27=0,'Assumptions'!$B$24,IF(35-'Schedule_Inputs'!$B$27=1,'Assumptions'!$C$24,IF(35-'Schedule_Inputs'!$B$27=2,'Assumptions'!$D$24,0))),IF(OR('Schedule_Inputs'!$C$27="Monthly",'Schedule_Inputs'!$C$27="Periodic"),IF(AND(35&gt;='Schedule_Inputs'!$B$27,MOD(35-'Schedule_Inputs'!$B$27,'Schedule_Inputs'!$E$27)=0,(35-'Schedule_Inputs'!$B$27)/'Schedule_Inputs'!$E$27&lt;'Schedule_Inputs'!$D$27),$C27/'Schedule_Inputs'!$D$27,0),0))))</f>
        <v/>
      </c>
      <c r="AN27" s="231">
        <f>IF('Schedule_Inputs'!$C$27="Blueprint",$C27*IF(36-'Schedule_Inputs'!$B$27=0,'Assumptions'!$B$21,IF(36-'Schedule_Inputs'!$B$27=1,'Assumptions'!$C$21,IF(36-'Schedule_Inputs'!$B$27=2,'Assumptions'!$D$21,0))),IF('Schedule_Inputs'!$C$27="Launch",$C27*IF(36-'Schedule_Inputs'!$B$27=0,'Assumptions'!$B$22,IF(36-'Schedule_Inputs'!$B$27=1,'Assumptions'!$C$22,IF(36-'Schedule_Inputs'!$B$27=2,'Assumptions'!$D$22,IF(36-'Schedule_Inputs'!$B$27=3,'Assumptions'!$B$23,0)))),IF('Schedule_Inputs'!$C$27="Office Setup",$C27*IF(36-'Schedule_Inputs'!$B$27=0,'Assumptions'!$B$24,IF(36-'Schedule_Inputs'!$B$27=1,'Assumptions'!$C$24,IF(36-'Schedule_Inputs'!$B$27=2,'Assumptions'!$D$24,0))),IF(OR('Schedule_Inputs'!$C$27="Monthly",'Schedule_Inputs'!$C$27="Periodic"),IF(AND(36&gt;='Schedule_Inputs'!$B$27,MOD(36-'Schedule_Inputs'!$B$27,'Schedule_Inputs'!$E$27)=0,(36-'Schedule_Inputs'!$B$27)/'Schedule_Inputs'!$E$27&lt;'Schedule_Inputs'!$D$27),$C27/'Schedule_Inputs'!$D$27,0),0))))</f>
        <v/>
      </c>
    </row>
    <row r="28">
      <c r="A28" s="109" t="inlineStr">
        <is>
          <t>TOTAL NET CASH COLLECTION</t>
        </is>
      </c>
      <c r="B28" s="109" t="n"/>
      <c r="C28" s="232">
        <f>SUM(C4:C27)</f>
        <v/>
      </c>
      <c r="D28" s="232" t="n"/>
      <c r="E28" s="232">
        <f>SUM(E4:E27)</f>
        <v/>
      </c>
      <c r="F28" s="232">
        <f>SUM(F4:F27)</f>
        <v/>
      </c>
      <c r="G28" s="232">
        <f>SUM(G4:G27)</f>
        <v/>
      </c>
      <c r="H28" s="232">
        <f>SUM(H4:H27)</f>
        <v/>
      </c>
      <c r="I28" s="232">
        <f>SUM(I4:I27)</f>
        <v/>
      </c>
      <c r="J28" s="232">
        <f>SUM(J4:J27)</f>
        <v/>
      </c>
      <c r="K28" s="232">
        <f>SUM(K4:K27)</f>
        <v/>
      </c>
      <c r="L28" s="232">
        <f>SUM(L4:L27)</f>
        <v/>
      </c>
      <c r="M28" s="232">
        <f>SUM(M4:M27)</f>
        <v/>
      </c>
      <c r="N28" s="232">
        <f>SUM(N4:N27)</f>
        <v/>
      </c>
      <c r="O28" s="232">
        <f>SUM(O4:O27)</f>
        <v/>
      </c>
      <c r="P28" s="232">
        <f>SUM(P4:P27)</f>
        <v/>
      </c>
      <c r="Q28" s="232">
        <f>SUM(Q4:Q27)</f>
        <v/>
      </c>
      <c r="R28" s="232">
        <f>SUM(R4:R27)</f>
        <v/>
      </c>
      <c r="S28" s="232">
        <f>SUM(S4:S27)</f>
        <v/>
      </c>
      <c r="T28" s="232">
        <f>SUM(T4:T27)</f>
        <v/>
      </c>
      <c r="U28" s="232">
        <f>SUM(U4:U27)</f>
        <v/>
      </c>
      <c r="V28" s="232">
        <f>SUM(V4:V27)</f>
        <v/>
      </c>
      <c r="W28" s="232">
        <f>SUM(W4:W27)</f>
        <v/>
      </c>
      <c r="X28" s="232">
        <f>SUM(X4:X27)</f>
        <v/>
      </c>
      <c r="Y28" s="232">
        <f>SUM(Y4:Y27)</f>
        <v/>
      </c>
      <c r="Z28" s="232">
        <f>SUM(Z4:Z27)</f>
        <v/>
      </c>
      <c r="AA28" s="232">
        <f>SUM(AA4:AA27)</f>
        <v/>
      </c>
      <c r="AB28" s="232">
        <f>SUM(AB4:AB27)</f>
        <v/>
      </c>
      <c r="AC28" s="232">
        <f>SUM(AC4:AC27)</f>
        <v/>
      </c>
      <c r="AD28" s="232">
        <f>SUM(AD4:AD27)</f>
        <v/>
      </c>
      <c r="AE28" s="232">
        <f>SUM(AE4:AE27)</f>
        <v/>
      </c>
      <c r="AF28" s="232">
        <f>SUM(AF4:AF27)</f>
        <v/>
      </c>
      <c r="AG28" s="232">
        <f>SUM(AG4:AG27)</f>
        <v/>
      </c>
      <c r="AH28" s="232">
        <f>SUM(AH4:AH27)</f>
        <v/>
      </c>
      <c r="AI28" s="232">
        <f>SUM(AI4:AI27)</f>
        <v/>
      </c>
      <c r="AJ28" s="232">
        <f>SUM(AJ4:AJ27)</f>
        <v/>
      </c>
      <c r="AK28" s="232">
        <f>SUM(AK4:AK27)</f>
        <v/>
      </c>
      <c r="AL28" s="232">
        <f>SUM(AL4:AL27)</f>
        <v/>
      </c>
      <c r="AM28" s="232">
        <f>SUM(AM4:AM27)</f>
        <v/>
      </c>
      <c r="AN28" s="232">
        <f>SUM(AN4:AN27)</f>
        <v/>
      </c>
    </row>
  </sheetData>
  <mergeCells count="1">
    <mergeCell ref="A1:A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28" customHeight="1">
      <c r="A1" s="114" t="inlineStr">
        <is>
          <t>AMAVIO | 36-Monats-Cash-Plan – Plan-/Live-Liquidität und Steuerreserven</t>
        </is>
      </c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</row>
    <row r="3">
      <c r="A3" s="99" t="inlineStr">
        <is>
          <t>Position</t>
        </is>
      </c>
      <c r="B3" s="99" t="inlineStr">
        <is>
          <t>M1</t>
        </is>
      </c>
      <c r="C3" s="99" t="inlineStr">
        <is>
          <t>M2</t>
        </is>
      </c>
      <c r="D3" s="99" t="inlineStr">
        <is>
          <t>M3</t>
        </is>
      </c>
      <c r="E3" s="99" t="inlineStr">
        <is>
          <t>M4</t>
        </is>
      </c>
      <c r="F3" s="99" t="inlineStr">
        <is>
          <t>M5</t>
        </is>
      </c>
      <c r="G3" s="99" t="inlineStr">
        <is>
          <t>M6</t>
        </is>
      </c>
      <c r="H3" s="99" t="inlineStr">
        <is>
          <t>M7</t>
        </is>
      </c>
      <c r="I3" s="99" t="inlineStr">
        <is>
          <t>M8</t>
        </is>
      </c>
      <c r="J3" s="99" t="inlineStr">
        <is>
          <t>M9</t>
        </is>
      </c>
      <c r="K3" s="99" t="inlineStr">
        <is>
          <t>M10</t>
        </is>
      </c>
      <c r="L3" s="99" t="inlineStr">
        <is>
          <t>M11</t>
        </is>
      </c>
      <c r="M3" s="99" t="inlineStr">
        <is>
          <t>M12</t>
        </is>
      </c>
      <c r="N3" s="99" t="inlineStr">
        <is>
          <t>M13</t>
        </is>
      </c>
      <c r="O3" s="99" t="inlineStr">
        <is>
          <t>M14</t>
        </is>
      </c>
      <c r="P3" s="99" t="inlineStr">
        <is>
          <t>M15</t>
        </is>
      </c>
      <c r="Q3" s="99" t="inlineStr">
        <is>
          <t>M16</t>
        </is>
      </c>
      <c r="R3" s="99" t="inlineStr">
        <is>
          <t>M17</t>
        </is>
      </c>
      <c r="S3" s="99" t="inlineStr">
        <is>
          <t>M18</t>
        </is>
      </c>
      <c r="T3" s="99" t="inlineStr">
        <is>
          <t>M19</t>
        </is>
      </c>
      <c r="U3" s="99" t="inlineStr">
        <is>
          <t>M20</t>
        </is>
      </c>
      <c r="V3" s="99" t="inlineStr">
        <is>
          <t>M21</t>
        </is>
      </c>
      <c r="W3" s="99" t="inlineStr">
        <is>
          <t>M22</t>
        </is>
      </c>
      <c r="X3" s="99" t="inlineStr">
        <is>
          <t>M23</t>
        </is>
      </c>
      <c r="Y3" s="99" t="inlineStr">
        <is>
          <t>M24</t>
        </is>
      </c>
      <c r="Z3" s="99" t="inlineStr">
        <is>
          <t>M25</t>
        </is>
      </c>
      <c r="AA3" s="99" t="inlineStr">
        <is>
          <t>M26</t>
        </is>
      </c>
      <c r="AB3" s="99" t="inlineStr">
        <is>
          <t>M27</t>
        </is>
      </c>
      <c r="AC3" s="99" t="inlineStr">
        <is>
          <t>M28</t>
        </is>
      </c>
      <c r="AD3" s="99" t="inlineStr">
        <is>
          <t>M29</t>
        </is>
      </c>
      <c r="AE3" s="99" t="inlineStr">
        <is>
          <t>M30</t>
        </is>
      </c>
      <c r="AF3" s="99" t="inlineStr">
        <is>
          <t>M31</t>
        </is>
      </c>
      <c r="AG3" s="99" t="inlineStr">
        <is>
          <t>M32</t>
        </is>
      </c>
      <c r="AH3" s="99" t="inlineStr">
        <is>
          <t>M33</t>
        </is>
      </c>
      <c r="AI3" s="99" t="inlineStr">
        <is>
          <t>M34</t>
        </is>
      </c>
      <c r="AJ3" s="99" t="inlineStr">
        <is>
          <t>M35</t>
        </is>
      </c>
      <c r="AK3" s="99" t="inlineStr">
        <is>
          <t>M36</t>
        </is>
      </c>
    </row>
    <row r="4">
      <c r="A4" s="127" t="inlineStr">
        <is>
          <t>Net cash collections</t>
        </is>
      </c>
      <c r="B4" s="233">
        <f>'Contract_Cash'!E28</f>
        <v/>
      </c>
      <c r="C4" s="233">
        <f>'Contract_Cash'!F28</f>
        <v/>
      </c>
      <c r="D4" s="233">
        <f>'Contract_Cash'!G28</f>
        <v/>
      </c>
      <c r="E4" s="233">
        <f>'Contract_Cash'!H28</f>
        <v/>
      </c>
      <c r="F4" s="233">
        <f>'Contract_Cash'!I28</f>
        <v/>
      </c>
      <c r="G4" s="233">
        <f>'Contract_Cash'!J28</f>
        <v/>
      </c>
      <c r="H4" s="233">
        <f>'Contract_Cash'!K28</f>
        <v/>
      </c>
      <c r="I4" s="233">
        <f>'Contract_Cash'!L28</f>
        <v/>
      </c>
      <c r="J4" s="233">
        <f>'Contract_Cash'!M28</f>
        <v/>
      </c>
      <c r="K4" s="233">
        <f>'Contract_Cash'!N28</f>
        <v/>
      </c>
      <c r="L4" s="233">
        <f>'Contract_Cash'!O28</f>
        <v/>
      </c>
      <c r="M4" s="233">
        <f>'Contract_Cash'!P28</f>
        <v/>
      </c>
      <c r="N4" s="233">
        <f>'Contract_Cash'!Q28</f>
        <v/>
      </c>
      <c r="O4" s="233">
        <f>'Contract_Cash'!R28</f>
        <v/>
      </c>
      <c r="P4" s="233">
        <f>'Contract_Cash'!S28</f>
        <v/>
      </c>
      <c r="Q4" s="233">
        <f>'Contract_Cash'!T28</f>
        <v/>
      </c>
      <c r="R4" s="233">
        <f>'Contract_Cash'!U28</f>
        <v/>
      </c>
      <c r="S4" s="233">
        <f>'Contract_Cash'!V28</f>
        <v/>
      </c>
      <c r="T4" s="233">
        <f>'Contract_Cash'!W28</f>
        <v/>
      </c>
      <c r="U4" s="233">
        <f>'Contract_Cash'!X28</f>
        <v/>
      </c>
      <c r="V4" s="233">
        <f>'Contract_Cash'!Y28</f>
        <v/>
      </c>
      <c r="W4" s="233">
        <f>'Contract_Cash'!Z28</f>
        <v/>
      </c>
      <c r="X4" s="233">
        <f>'Contract_Cash'!AA28</f>
        <v/>
      </c>
      <c r="Y4" s="233">
        <f>'Contract_Cash'!AB28</f>
        <v/>
      </c>
      <c r="Z4" s="233">
        <f>'Contract_Cash'!AC28</f>
        <v/>
      </c>
      <c r="AA4" s="233">
        <f>'Contract_Cash'!AD28</f>
        <v/>
      </c>
      <c r="AB4" s="233">
        <f>'Contract_Cash'!AE28</f>
        <v/>
      </c>
      <c r="AC4" s="233">
        <f>'Contract_Cash'!AF28</f>
        <v/>
      </c>
      <c r="AD4" s="233">
        <f>'Contract_Cash'!AG28</f>
        <v/>
      </c>
      <c r="AE4" s="233">
        <f>'Contract_Cash'!AH28</f>
        <v/>
      </c>
      <c r="AF4" s="233">
        <f>'Contract_Cash'!AI28</f>
        <v/>
      </c>
      <c r="AG4" s="233">
        <f>'Contract_Cash'!AJ28</f>
        <v/>
      </c>
      <c r="AH4" s="233">
        <f>'Contract_Cash'!AK28</f>
        <v/>
      </c>
      <c r="AI4" s="233">
        <f>'Contract_Cash'!AL28</f>
        <v/>
      </c>
      <c r="AJ4" s="233">
        <f>'Contract_Cash'!AM28</f>
        <v/>
      </c>
      <c r="AK4" s="233">
        <f>'Contract_Cash'!AN28</f>
        <v/>
      </c>
    </row>
    <row r="5">
      <c r="A5" s="127" t="inlineStr">
        <is>
          <t>VAT collected</t>
        </is>
      </c>
      <c r="B5" s="233">
        <f>B4*'Assumptions'!B6</f>
        <v/>
      </c>
      <c r="C5" s="233">
        <f>C4*'Assumptions'!B6</f>
        <v/>
      </c>
      <c r="D5" s="233">
        <f>D4*'Assumptions'!B6</f>
        <v/>
      </c>
      <c r="E5" s="233">
        <f>E4*'Assumptions'!B6</f>
        <v/>
      </c>
      <c r="F5" s="233">
        <f>F4*'Assumptions'!B6</f>
        <v/>
      </c>
      <c r="G5" s="233">
        <f>G4*'Assumptions'!B6</f>
        <v/>
      </c>
      <c r="H5" s="233">
        <f>H4*'Assumptions'!B6</f>
        <v/>
      </c>
      <c r="I5" s="233">
        <f>I4*'Assumptions'!B6</f>
        <v/>
      </c>
      <c r="J5" s="233">
        <f>J4*'Assumptions'!B6</f>
        <v/>
      </c>
      <c r="K5" s="233">
        <f>K4*'Assumptions'!B6</f>
        <v/>
      </c>
      <c r="L5" s="233">
        <f>L4*'Assumptions'!B6</f>
        <v/>
      </c>
      <c r="M5" s="233">
        <f>M4*'Assumptions'!B6</f>
        <v/>
      </c>
      <c r="N5" s="233">
        <f>N4*'Assumptions'!C6</f>
        <v/>
      </c>
      <c r="O5" s="233">
        <f>O4*'Assumptions'!C6</f>
        <v/>
      </c>
      <c r="P5" s="233">
        <f>P4*'Assumptions'!C6</f>
        <v/>
      </c>
      <c r="Q5" s="233">
        <f>Q4*'Assumptions'!C6</f>
        <v/>
      </c>
      <c r="R5" s="233">
        <f>R4*'Assumptions'!C6</f>
        <v/>
      </c>
      <c r="S5" s="233">
        <f>S4*'Assumptions'!C6</f>
        <v/>
      </c>
      <c r="T5" s="233">
        <f>T4*'Assumptions'!C6</f>
        <v/>
      </c>
      <c r="U5" s="233">
        <f>U4*'Assumptions'!C6</f>
        <v/>
      </c>
      <c r="V5" s="233">
        <f>V4*'Assumptions'!C6</f>
        <v/>
      </c>
      <c r="W5" s="233">
        <f>W4*'Assumptions'!C6</f>
        <v/>
      </c>
      <c r="X5" s="233">
        <f>X4*'Assumptions'!C6</f>
        <v/>
      </c>
      <c r="Y5" s="233">
        <f>Y4*'Assumptions'!C6</f>
        <v/>
      </c>
      <c r="Z5" s="233">
        <f>Z4*'Assumptions'!D6</f>
        <v/>
      </c>
      <c r="AA5" s="233">
        <f>AA4*'Assumptions'!D6</f>
        <v/>
      </c>
      <c r="AB5" s="233">
        <f>AB4*'Assumptions'!D6</f>
        <v/>
      </c>
      <c r="AC5" s="233">
        <f>AC4*'Assumptions'!D6</f>
        <v/>
      </c>
      <c r="AD5" s="233">
        <f>AD4*'Assumptions'!D6</f>
        <v/>
      </c>
      <c r="AE5" s="233">
        <f>AE4*'Assumptions'!D6</f>
        <v/>
      </c>
      <c r="AF5" s="233">
        <f>AF4*'Assumptions'!D6</f>
        <v/>
      </c>
      <c r="AG5" s="233">
        <f>AG4*'Assumptions'!D6</f>
        <v/>
      </c>
      <c r="AH5" s="233">
        <f>AH4*'Assumptions'!D6</f>
        <v/>
      </c>
      <c r="AI5" s="233">
        <f>AI4*'Assumptions'!D6</f>
        <v/>
      </c>
      <c r="AJ5" s="233">
        <f>AJ4*'Assumptions'!D6</f>
        <v/>
      </c>
      <c r="AK5" s="233">
        <f>AK4*'Assumptions'!D6</f>
        <v/>
      </c>
    </row>
    <row r="6">
      <c r="A6" s="127" t="inlineStr">
        <is>
          <t>VAT paid from prior-month reserve</t>
        </is>
      </c>
      <c r="B6" s="233">
        <f>0</f>
        <v/>
      </c>
      <c r="C6" s="233">
        <f>B5</f>
        <v/>
      </c>
      <c r="D6" s="233">
        <f>C5</f>
        <v/>
      </c>
      <c r="E6" s="233">
        <f>D5</f>
        <v/>
      </c>
      <c r="F6" s="233">
        <f>E5</f>
        <v/>
      </c>
      <c r="G6" s="233">
        <f>F5</f>
        <v/>
      </c>
      <c r="H6" s="233">
        <f>G5</f>
        <v/>
      </c>
      <c r="I6" s="233">
        <f>H5</f>
        <v/>
      </c>
      <c r="J6" s="233">
        <f>I5</f>
        <v/>
      </c>
      <c r="K6" s="233">
        <f>J5</f>
        <v/>
      </c>
      <c r="L6" s="233">
        <f>K5</f>
        <v/>
      </c>
      <c r="M6" s="233">
        <f>L5</f>
        <v/>
      </c>
      <c r="N6" s="233">
        <f>M5</f>
        <v/>
      </c>
      <c r="O6" s="233">
        <f>N5</f>
        <v/>
      </c>
      <c r="P6" s="233">
        <f>O5</f>
        <v/>
      </c>
      <c r="Q6" s="233">
        <f>P5</f>
        <v/>
      </c>
      <c r="R6" s="233">
        <f>Q5</f>
        <v/>
      </c>
      <c r="S6" s="233">
        <f>R5</f>
        <v/>
      </c>
      <c r="T6" s="233">
        <f>S5</f>
        <v/>
      </c>
      <c r="U6" s="233">
        <f>T5</f>
        <v/>
      </c>
      <c r="V6" s="233">
        <f>U5</f>
        <v/>
      </c>
      <c r="W6" s="233">
        <f>V5</f>
        <v/>
      </c>
      <c r="X6" s="233">
        <f>W5</f>
        <v/>
      </c>
      <c r="Y6" s="233">
        <f>X5</f>
        <v/>
      </c>
      <c r="Z6" s="233">
        <f>Y5</f>
        <v/>
      </c>
      <c r="AA6" s="233">
        <f>Z5</f>
        <v/>
      </c>
      <c r="AB6" s="233">
        <f>AA5</f>
        <v/>
      </c>
      <c r="AC6" s="233">
        <f>AB5</f>
        <v/>
      </c>
      <c r="AD6" s="233">
        <f>AC5</f>
        <v/>
      </c>
      <c r="AE6" s="233">
        <f>AD5</f>
        <v/>
      </c>
      <c r="AF6" s="233">
        <f>AE5</f>
        <v/>
      </c>
      <c r="AG6" s="233">
        <f>AF5</f>
        <v/>
      </c>
      <c r="AH6" s="233">
        <f>AG5</f>
        <v/>
      </c>
      <c r="AI6" s="233">
        <f>AH5</f>
        <v/>
      </c>
      <c r="AJ6" s="233">
        <f>AI5</f>
        <v/>
      </c>
      <c r="AK6" s="233">
        <f>AJ5</f>
        <v/>
      </c>
    </row>
    <row r="7">
      <c r="A7" s="127" t="inlineStr">
        <is>
          <t>Gross cash receipts</t>
        </is>
      </c>
      <c r="B7" s="233">
        <f>B4+B5-B6</f>
        <v/>
      </c>
      <c r="C7" s="233">
        <f>C4+C5-C6</f>
        <v/>
      </c>
      <c r="D7" s="233">
        <f>D4+D5-D6</f>
        <v/>
      </c>
      <c r="E7" s="233">
        <f>E4+E5-E6</f>
        <v/>
      </c>
      <c r="F7" s="233">
        <f>F4+F5-F6</f>
        <v/>
      </c>
      <c r="G7" s="233">
        <f>G4+G5-G6</f>
        <v/>
      </c>
      <c r="H7" s="233">
        <f>H4+H5-H6</f>
        <v/>
      </c>
      <c r="I7" s="233">
        <f>I4+I5-I6</f>
        <v/>
      </c>
      <c r="J7" s="233">
        <f>J4+J5-J6</f>
        <v/>
      </c>
      <c r="K7" s="233">
        <f>K4+K5-K6</f>
        <v/>
      </c>
      <c r="L7" s="233">
        <f>L4+L5-L6</f>
        <v/>
      </c>
      <c r="M7" s="233">
        <f>M4+M5-M6</f>
        <v/>
      </c>
      <c r="N7" s="233">
        <f>N4+N5-N6</f>
        <v/>
      </c>
      <c r="O7" s="233">
        <f>O4+O5-O6</f>
        <v/>
      </c>
      <c r="P7" s="233">
        <f>P4+P5-P6</f>
        <v/>
      </c>
      <c r="Q7" s="233">
        <f>Q4+Q5-Q6</f>
        <v/>
      </c>
      <c r="R7" s="233">
        <f>R4+R5-R6</f>
        <v/>
      </c>
      <c r="S7" s="233">
        <f>S4+S5-S6</f>
        <v/>
      </c>
      <c r="T7" s="233">
        <f>T4+T5-T6</f>
        <v/>
      </c>
      <c r="U7" s="233">
        <f>U4+U5-U6</f>
        <v/>
      </c>
      <c r="V7" s="233">
        <f>V4+V5-V6</f>
        <v/>
      </c>
      <c r="W7" s="233">
        <f>W4+W5-W6</f>
        <v/>
      </c>
      <c r="X7" s="233">
        <f>X4+X5-X6</f>
        <v/>
      </c>
      <c r="Y7" s="233">
        <f>Y4+Y5-Y6</f>
        <v/>
      </c>
      <c r="Z7" s="233">
        <f>Z4+Z5-Z6</f>
        <v/>
      </c>
      <c r="AA7" s="233">
        <f>AA4+AA5-AA6</f>
        <v/>
      </c>
      <c r="AB7" s="233">
        <f>AB4+AB5-AB6</f>
        <v/>
      </c>
      <c r="AC7" s="233">
        <f>AC4+AC5-AC6</f>
        <v/>
      </c>
      <c r="AD7" s="233">
        <f>AD4+AD5-AD6</f>
        <v/>
      </c>
      <c r="AE7" s="233">
        <f>AE4+AE5-AE6</f>
        <v/>
      </c>
      <c r="AF7" s="233">
        <f>AF4+AF5-AF6</f>
        <v/>
      </c>
      <c r="AG7" s="233">
        <f>AG4+AG5-AG6</f>
        <v/>
      </c>
      <c r="AH7" s="233">
        <f>AH4+AH5-AH6</f>
        <v/>
      </c>
      <c r="AI7" s="233">
        <f>AI4+AI5-AI6</f>
        <v/>
      </c>
      <c r="AJ7" s="233">
        <f>AJ4+AJ5-AJ6</f>
        <v/>
      </c>
      <c r="AK7" s="233">
        <f>AK4+AK5-AK6</f>
        <v/>
      </c>
    </row>
    <row r="8">
      <c r="A8" s="127" t="inlineStr">
        <is>
          <t>Variable external cash costs</t>
        </is>
      </c>
      <c r="B8" s="233">
        <f>B4*'Assumptions'!B7</f>
        <v/>
      </c>
      <c r="C8" s="233">
        <f>C4*'Assumptions'!B7</f>
        <v/>
      </c>
      <c r="D8" s="233">
        <f>D4*'Assumptions'!B7</f>
        <v/>
      </c>
      <c r="E8" s="233">
        <f>E4*'Assumptions'!B7</f>
        <v/>
      </c>
      <c r="F8" s="233">
        <f>F4*'Assumptions'!B7</f>
        <v/>
      </c>
      <c r="G8" s="233">
        <f>G4*'Assumptions'!B7</f>
        <v/>
      </c>
      <c r="H8" s="233">
        <f>H4*'Assumptions'!B7</f>
        <v/>
      </c>
      <c r="I8" s="233">
        <f>I4*'Assumptions'!B7</f>
        <v/>
      </c>
      <c r="J8" s="233">
        <f>J4*'Assumptions'!B7</f>
        <v/>
      </c>
      <c r="K8" s="233">
        <f>K4*'Assumptions'!B7</f>
        <v/>
      </c>
      <c r="L8" s="233">
        <f>L4*'Assumptions'!B7</f>
        <v/>
      </c>
      <c r="M8" s="233">
        <f>M4*'Assumptions'!B7</f>
        <v/>
      </c>
      <c r="N8" s="233">
        <f>N4*'Assumptions'!C7</f>
        <v/>
      </c>
      <c r="O8" s="233">
        <f>O4*'Assumptions'!C7</f>
        <v/>
      </c>
      <c r="P8" s="233">
        <f>P4*'Assumptions'!C7</f>
        <v/>
      </c>
      <c r="Q8" s="233">
        <f>Q4*'Assumptions'!C7</f>
        <v/>
      </c>
      <c r="R8" s="233">
        <f>R4*'Assumptions'!C7</f>
        <v/>
      </c>
      <c r="S8" s="233">
        <f>S4*'Assumptions'!C7</f>
        <v/>
      </c>
      <c r="T8" s="233">
        <f>T4*'Assumptions'!C7</f>
        <v/>
      </c>
      <c r="U8" s="233">
        <f>U4*'Assumptions'!C7</f>
        <v/>
      </c>
      <c r="V8" s="233">
        <f>V4*'Assumptions'!C7</f>
        <v/>
      </c>
      <c r="W8" s="233">
        <f>W4*'Assumptions'!C7</f>
        <v/>
      </c>
      <c r="X8" s="233">
        <f>X4*'Assumptions'!C7</f>
        <v/>
      </c>
      <c r="Y8" s="233">
        <f>Y4*'Assumptions'!C7</f>
        <v/>
      </c>
      <c r="Z8" s="233">
        <f>Z4*'Assumptions'!D7</f>
        <v/>
      </c>
      <c r="AA8" s="233">
        <f>AA4*'Assumptions'!D7</f>
        <v/>
      </c>
      <c r="AB8" s="233">
        <f>AB4*'Assumptions'!D7</f>
        <v/>
      </c>
      <c r="AC8" s="233">
        <f>AC4*'Assumptions'!D7</f>
        <v/>
      </c>
      <c r="AD8" s="233">
        <f>AD4*'Assumptions'!D7</f>
        <v/>
      </c>
      <c r="AE8" s="233">
        <f>AE4*'Assumptions'!D7</f>
        <v/>
      </c>
      <c r="AF8" s="233">
        <f>AF4*'Assumptions'!D7</f>
        <v/>
      </c>
      <c r="AG8" s="233">
        <f>AG4*'Assumptions'!D7</f>
        <v/>
      </c>
      <c r="AH8" s="233">
        <f>AH4*'Assumptions'!D7</f>
        <v/>
      </c>
      <c r="AI8" s="233">
        <f>AI4*'Assumptions'!D7</f>
        <v/>
      </c>
      <c r="AJ8" s="233">
        <f>AJ4*'Assumptions'!D7</f>
        <v/>
      </c>
      <c r="AK8" s="233">
        <f>AK4*'Assumptions'!D7</f>
        <v/>
      </c>
    </row>
    <row r="9">
      <c r="A9" s="127" t="inlineStr">
        <is>
          <t>Overhead</t>
        </is>
      </c>
      <c r="B9" s="233">
        <f>'Assumptions'!B8</f>
        <v/>
      </c>
      <c r="C9" s="233">
        <f>'Assumptions'!B8</f>
        <v/>
      </c>
      <c r="D9" s="233">
        <f>'Assumptions'!B8</f>
        <v/>
      </c>
      <c r="E9" s="233">
        <f>'Assumptions'!B8</f>
        <v/>
      </c>
      <c r="F9" s="233">
        <f>'Assumptions'!B8</f>
        <v/>
      </c>
      <c r="G9" s="233">
        <f>'Assumptions'!B8</f>
        <v/>
      </c>
      <c r="H9" s="233">
        <f>'Assumptions'!B8</f>
        <v/>
      </c>
      <c r="I9" s="233">
        <f>'Assumptions'!B8</f>
        <v/>
      </c>
      <c r="J9" s="233">
        <f>'Assumptions'!B8</f>
        <v/>
      </c>
      <c r="K9" s="233">
        <f>'Assumptions'!B8</f>
        <v/>
      </c>
      <c r="L9" s="233">
        <f>'Assumptions'!B8</f>
        <v/>
      </c>
      <c r="M9" s="233">
        <f>'Assumptions'!B8</f>
        <v/>
      </c>
      <c r="N9" s="233">
        <f>'Assumptions'!C8</f>
        <v/>
      </c>
      <c r="O9" s="233">
        <f>'Assumptions'!C8</f>
        <v/>
      </c>
      <c r="P9" s="233">
        <f>'Assumptions'!C8</f>
        <v/>
      </c>
      <c r="Q9" s="233">
        <f>'Assumptions'!C8</f>
        <v/>
      </c>
      <c r="R9" s="233">
        <f>'Assumptions'!C8</f>
        <v/>
      </c>
      <c r="S9" s="233">
        <f>'Assumptions'!C8</f>
        <v/>
      </c>
      <c r="T9" s="233">
        <f>'Assumptions'!C8</f>
        <v/>
      </c>
      <c r="U9" s="233">
        <f>'Assumptions'!C8</f>
        <v/>
      </c>
      <c r="V9" s="233">
        <f>'Assumptions'!C8</f>
        <v/>
      </c>
      <c r="W9" s="233">
        <f>'Assumptions'!C8</f>
        <v/>
      </c>
      <c r="X9" s="233">
        <f>'Assumptions'!C8</f>
        <v/>
      </c>
      <c r="Y9" s="233">
        <f>'Assumptions'!C8</f>
        <v/>
      </c>
      <c r="Z9" s="233">
        <f>'Assumptions'!D8</f>
        <v/>
      </c>
      <c r="AA9" s="233">
        <f>'Assumptions'!D8</f>
        <v/>
      </c>
      <c r="AB9" s="233">
        <f>'Assumptions'!D8</f>
        <v/>
      </c>
      <c r="AC9" s="233">
        <f>'Assumptions'!D8</f>
        <v/>
      </c>
      <c r="AD9" s="233">
        <f>'Assumptions'!D8</f>
        <v/>
      </c>
      <c r="AE9" s="233">
        <f>'Assumptions'!D8</f>
        <v/>
      </c>
      <c r="AF9" s="233">
        <f>'Assumptions'!D8</f>
        <v/>
      </c>
      <c r="AG9" s="233">
        <f>'Assumptions'!D8</f>
        <v/>
      </c>
      <c r="AH9" s="233">
        <f>'Assumptions'!D8</f>
        <v/>
      </c>
      <c r="AI9" s="233">
        <f>'Assumptions'!D8</f>
        <v/>
      </c>
      <c r="AJ9" s="233">
        <f>'Assumptions'!D8</f>
        <v/>
      </c>
      <c r="AK9" s="233">
        <f>'Assumptions'!D8</f>
        <v/>
      </c>
    </row>
    <row r="10">
      <c r="A10" s="127" t="inlineStr">
        <is>
          <t>Founder compensation</t>
        </is>
      </c>
      <c r="B10" s="233">
        <f>'Assumptions'!B9</f>
        <v/>
      </c>
      <c r="C10" s="233">
        <f>'Assumptions'!B9</f>
        <v/>
      </c>
      <c r="D10" s="233">
        <f>'Assumptions'!B9</f>
        <v/>
      </c>
      <c r="E10" s="233">
        <f>'Assumptions'!B9</f>
        <v/>
      </c>
      <c r="F10" s="233">
        <f>'Assumptions'!B9</f>
        <v/>
      </c>
      <c r="G10" s="233">
        <f>'Assumptions'!B9</f>
        <v/>
      </c>
      <c r="H10" s="233">
        <f>'Assumptions'!B9</f>
        <v/>
      </c>
      <c r="I10" s="233">
        <f>'Assumptions'!B9</f>
        <v/>
      </c>
      <c r="J10" s="233">
        <f>'Assumptions'!B9</f>
        <v/>
      </c>
      <c r="K10" s="233">
        <f>'Assumptions'!B9</f>
        <v/>
      </c>
      <c r="L10" s="233">
        <f>'Assumptions'!B9</f>
        <v/>
      </c>
      <c r="M10" s="233">
        <f>'Assumptions'!B9</f>
        <v/>
      </c>
      <c r="N10" s="233">
        <f>'Assumptions'!C9</f>
        <v/>
      </c>
      <c r="O10" s="233">
        <f>'Assumptions'!C9</f>
        <v/>
      </c>
      <c r="P10" s="233">
        <f>'Assumptions'!C9</f>
        <v/>
      </c>
      <c r="Q10" s="233">
        <f>'Assumptions'!C9</f>
        <v/>
      </c>
      <c r="R10" s="233">
        <f>'Assumptions'!C9</f>
        <v/>
      </c>
      <c r="S10" s="233">
        <f>'Assumptions'!C9</f>
        <v/>
      </c>
      <c r="T10" s="233">
        <f>'Assumptions'!C9</f>
        <v/>
      </c>
      <c r="U10" s="233">
        <f>'Assumptions'!C9</f>
        <v/>
      </c>
      <c r="V10" s="233">
        <f>'Assumptions'!C9</f>
        <v/>
      </c>
      <c r="W10" s="233">
        <f>'Assumptions'!C9</f>
        <v/>
      </c>
      <c r="X10" s="233">
        <f>'Assumptions'!C9</f>
        <v/>
      </c>
      <c r="Y10" s="233">
        <f>'Assumptions'!C9</f>
        <v/>
      </c>
      <c r="Z10" s="233">
        <f>'Assumptions'!D9</f>
        <v/>
      </c>
      <c r="AA10" s="233">
        <f>'Assumptions'!D9</f>
        <v/>
      </c>
      <c r="AB10" s="233">
        <f>'Assumptions'!D9</f>
        <v/>
      </c>
      <c r="AC10" s="233">
        <f>'Assumptions'!D9</f>
        <v/>
      </c>
      <c r="AD10" s="233">
        <f>'Assumptions'!D9</f>
        <v/>
      </c>
      <c r="AE10" s="233">
        <f>'Assumptions'!D9</f>
        <v/>
      </c>
      <c r="AF10" s="233">
        <f>'Assumptions'!D9</f>
        <v/>
      </c>
      <c r="AG10" s="233">
        <f>'Assumptions'!D9</f>
        <v/>
      </c>
      <c r="AH10" s="233">
        <f>'Assumptions'!D9</f>
        <v/>
      </c>
      <c r="AI10" s="233">
        <f>'Assumptions'!D9</f>
        <v/>
      </c>
      <c r="AJ10" s="233">
        <f>'Assumptions'!D9</f>
        <v/>
      </c>
      <c r="AK10" s="233">
        <f>'Assumptions'!D9</f>
        <v/>
      </c>
    </row>
    <row r="11">
      <c r="A11" s="127" t="inlineStr">
        <is>
          <t>Project coordination</t>
        </is>
      </c>
      <c r="B11" s="233">
        <f>'Assumptions'!B10</f>
        <v/>
      </c>
      <c r="C11" s="233">
        <f>'Assumptions'!B10</f>
        <v/>
      </c>
      <c r="D11" s="233">
        <f>'Assumptions'!B10</f>
        <v/>
      </c>
      <c r="E11" s="233">
        <f>'Assumptions'!B10</f>
        <v/>
      </c>
      <c r="F11" s="233">
        <f>'Assumptions'!B10</f>
        <v/>
      </c>
      <c r="G11" s="233">
        <f>'Assumptions'!B10</f>
        <v/>
      </c>
      <c r="H11" s="233">
        <f>'Assumptions'!B10</f>
        <v/>
      </c>
      <c r="I11" s="233">
        <f>'Assumptions'!B10</f>
        <v/>
      </c>
      <c r="J11" s="233">
        <f>'Assumptions'!B10</f>
        <v/>
      </c>
      <c r="K11" s="233">
        <f>'Assumptions'!B10</f>
        <v/>
      </c>
      <c r="L11" s="233">
        <f>'Assumptions'!B10</f>
        <v/>
      </c>
      <c r="M11" s="233">
        <f>'Assumptions'!B10</f>
        <v/>
      </c>
      <c r="N11" s="233">
        <f>'Assumptions'!C10</f>
        <v/>
      </c>
      <c r="O11" s="233">
        <f>'Assumptions'!C10</f>
        <v/>
      </c>
      <c r="P11" s="233">
        <f>'Assumptions'!C10</f>
        <v/>
      </c>
      <c r="Q11" s="233">
        <f>'Assumptions'!C10</f>
        <v/>
      </c>
      <c r="R11" s="233">
        <f>'Assumptions'!C10</f>
        <v/>
      </c>
      <c r="S11" s="233">
        <f>'Assumptions'!C10</f>
        <v/>
      </c>
      <c r="T11" s="233">
        <f>'Assumptions'!C10</f>
        <v/>
      </c>
      <c r="U11" s="233">
        <f>'Assumptions'!C10</f>
        <v/>
      </c>
      <c r="V11" s="233">
        <f>'Assumptions'!C10</f>
        <v/>
      </c>
      <c r="W11" s="233">
        <f>'Assumptions'!C10</f>
        <v/>
      </c>
      <c r="X11" s="233">
        <f>'Assumptions'!C10</f>
        <v/>
      </c>
      <c r="Y11" s="233">
        <f>'Assumptions'!C10</f>
        <v/>
      </c>
      <c r="Z11" s="233">
        <f>'Assumptions'!D10</f>
        <v/>
      </c>
      <c r="AA11" s="233">
        <f>'Assumptions'!D10</f>
        <v/>
      </c>
      <c r="AB11" s="233">
        <f>'Assumptions'!D10</f>
        <v/>
      </c>
      <c r="AC11" s="233">
        <f>'Assumptions'!D10</f>
        <v/>
      </c>
      <c r="AD11" s="233">
        <f>'Assumptions'!D10</f>
        <v/>
      </c>
      <c r="AE11" s="233">
        <f>'Assumptions'!D10</f>
        <v/>
      </c>
      <c r="AF11" s="233">
        <f>'Assumptions'!D10</f>
        <v/>
      </c>
      <c r="AG11" s="233">
        <f>'Assumptions'!D10</f>
        <v/>
      </c>
      <c r="AH11" s="233">
        <f>'Assumptions'!D10</f>
        <v/>
      </c>
      <c r="AI11" s="233">
        <f>'Assumptions'!D10</f>
        <v/>
      </c>
      <c r="AJ11" s="233">
        <f>'Assumptions'!D10</f>
        <v/>
      </c>
      <c r="AK11" s="233">
        <f>'Assumptions'!D10</f>
        <v/>
      </c>
    </row>
    <row r="12">
      <c r="A12" s="127" t="inlineStr">
        <is>
          <t>Capex</t>
        </is>
      </c>
      <c r="B12" s="233" t="n">
        <v>1500</v>
      </c>
      <c r="C12" s="233" t="n">
        <v>500</v>
      </c>
      <c r="D12" s="233" t="n">
        <v>0</v>
      </c>
      <c r="E12" s="233" t="n">
        <v>0</v>
      </c>
      <c r="F12" s="233" t="n">
        <v>0</v>
      </c>
      <c r="G12" s="233" t="n">
        <v>0</v>
      </c>
      <c r="H12" s="233" t="n">
        <v>0</v>
      </c>
      <c r="I12" s="233" t="n">
        <v>0</v>
      </c>
      <c r="J12" s="233" t="n">
        <v>0</v>
      </c>
      <c r="K12" s="233" t="n">
        <v>0</v>
      </c>
      <c r="L12" s="233" t="n">
        <v>0</v>
      </c>
      <c r="M12" s="233" t="n">
        <v>0</v>
      </c>
      <c r="N12" s="233" t="n">
        <v>4000</v>
      </c>
      <c r="O12" s="233" t="n">
        <v>2000</v>
      </c>
      <c r="P12" s="233" t="n">
        <v>2000</v>
      </c>
      <c r="Q12" s="233" t="n">
        <v>0</v>
      </c>
      <c r="R12" s="233" t="n">
        <v>0</v>
      </c>
      <c r="S12" s="233" t="n">
        <v>0</v>
      </c>
      <c r="T12" s="233" t="n">
        <v>0</v>
      </c>
      <c r="U12" s="233" t="n">
        <v>0</v>
      </c>
      <c r="V12" s="233" t="n">
        <v>0</v>
      </c>
      <c r="W12" s="233" t="n">
        <v>0</v>
      </c>
      <c r="X12" s="233" t="n">
        <v>0</v>
      </c>
      <c r="Y12" s="233" t="n">
        <v>0</v>
      </c>
      <c r="Z12" s="233" t="n">
        <v>5000</v>
      </c>
      <c r="AA12" s="233" t="n">
        <v>5000</v>
      </c>
      <c r="AB12" s="233" t="n">
        <v>5000</v>
      </c>
      <c r="AC12" s="233" t="n">
        <v>0</v>
      </c>
      <c r="AD12" s="233" t="n">
        <v>0</v>
      </c>
      <c r="AE12" s="233" t="n">
        <v>0</v>
      </c>
      <c r="AF12" s="233" t="n">
        <v>0</v>
      </c>
      <c r="AG12" s="233" t="n">
        <v>0</v>
      </c>
      <c r="AH12" s="233" t="n">
        <v>0</v>
      </c>
      <c r="AI12" s="233" t="n">
        <v>0</v>
      </c>
      <c r="AJ12" s="233" t="n">
        <v>0</v>
      </c>
      <c r="AK12" s="233" t="n">
        <v>0</v>
      </c>
    </row>
    <row r="13">
      <c r="A13" s="127" t="inlineStr">
        <is>
          <t>Operating net cashflow</t>
        </is>
      </c>
      <c r="B13" s="233">
        <f>B7-B8-B9-B10-B11-B12</f>
        <v/>
      </c>
      <c r="C13" s="233">
        <f>C7-C8-C9-C10-C11-C12</f>
        <v/>
      </c>
      <c r="D13" s="233">
        <f>D7-D8-D9-D10-D11-D12</f>
        <v/>
      </c>
      <c r="E13" s="233">
        <f>E7-E8-E9-E10-E11-E12</f>
        <v/>
      </c>
      <c r="F13" s="233">
        <f>F7-F8-F9-F10-F11-F12</f>
        <v/>
      </c>
      <c r="G13" s="233">
        <f>G7-G8-G9-G10-G11-G12</f>
        <v/>
      </c>
      <c r="H13" s="233">
        <f>H7-H8-H9-H10-H11-H12</f>
        <v/>
      </c>
      <c r="I13" s="233">
        <f>I7-I8-I9-I10-I11-I12</f>
        <v/>
      </c>
      <c r="J13" s="233">
        <f>J7-J8-J9-J10-J11-J12</f>
        <v/>
      </c>
      <c r="K13" s="233">
        <f>K7-K8-K9-K10-K11-K12</f>
        <v/>
      </c>
      <c r="L13" s="233">
        <f>L7-L8-L9-L10-L11-L12</f>
        <v/>
      </c>
      <c r="M13" s="233">
        <f>M7-M8-M9-M10-M11-M12</f>
        <v/>
      </c>
      <c r="N13" s="233">
        <f>N7-N8-N9-N10-N11-N12</f>
        <v/>
      </c>
      <c r="O13" s="233">
        <f>O7-O8-O9-O10-O11-O12</f>
        <v/>
      </c>
      <c r="P13" s="233">
        <f>P7-P8-P9-P10-P11-P12</f>
        <v/>
      </c>
      <c r="Q13" s="233">
        <f>Q7-Q8-Q9-Q10-Q11-Q12</f>
        <v/>
      </c>
      <c r="R13" s="233">
        <f>R7-R8-R9-R10-R11-R12</f>
        <v/>
      </c>
      <c r="S13" s="233">
        <f>S7-S8-S9-S10-S11-S12</f>
        <v/>
      </c>
      <c r="T13" s="233">
        <f>T7-T8-T9-T10-T11-T12</f>
        <v/>
      </c>
      <c r="U13" s="233">
        <f>U7-U8-U9-U10-U11-U12</f>
        <v/>
      </c>
      <c r="V13" s="233">
        <f>V7-V8-V9-V10-V11-V12</f>
        <v/>
      </c>
      <c r="W13" s="233">
        <f>W7-W8-W9-W10-W11-W12</f>
        <v/>
      </c>
      <c r="X13" s="233">
        <f>X7-X8-X9-X10-X11-X12</f>
        <v/>
      </c>
      <c r="Y13" s="233">
        <f>Y7-Y8-Y9-Y10-Y11-Y12</f>
        <v/>
      </c>
      <c r="Z13" s="233">
        <f>Z7-Z8-Z9-Z10-Z11-Z12</f>
        <v/>
      </c>
      <c r="AA13" s="233">
        <f>AA7-AA8-AA9-AA10-AA11-AA12</f>
        <v/>
      </c>
      <c r="AB13" s="233">
        <f>AB7-AB8-AB9-AB10-AB11-AB12</f>
        <v/>
      </c>
      <c r="AC13" s="233">
        <f>AC7-AC8-AC9-AC10-AC11-AC12</f>
        <v/>
      </c>
      <c r="AD13" s="233">
        <f>AD7-AD8-AD9-AD10-AD11-AD12</f>
        <v/>
      </c>
      <c r="AE13" s="233">
        <f>AE7-AE8-AE9-AE10-AE11-AE12</f>
        <v/>
      </c>
      <c r="AF13" s="233">
        <f>AF7-AF8-AF9-AF10-AF11-AF12</f>
        <v/>
      </c>
      <c r="AG13" s="233">
        <f>AG7-AG8-AG9-AG10-AG11-AG12</f>
        <v/>
      </c>
      <c r="AH13" s="233">
        <f>AH7-AH8-AH9-AH10-AH11-AH12</f>
        <v/>
      </c>
      <c r="AI13" s="233">
        <f>AI7-AI8-AI9-AI10-AI11-AI12</f>
        <v/>
      </c>
      <c r="AJ13" s="233">
        <f>AJ7-AJ8-AJ9-AJ10-AJ11-AJ12</f>
        <v/>
      </c>
      <c r="AK13" s="233">
        <f>AK7-AK8-AK9-AK10-AK11-AK12</f>
        <v/>
      </c>
    </row>
    <row r="14">
      <c r="A14" s="127" t="inlineStr">
        <is>
          <t>Planned start funding</t>
        </is>
      </c>
      <c r="B14" s="233">
        <f>'Assumptions'!B4</f>
        <v/>
      </c>
      <c r="C14" s="233">
        <f>0</f>
        <v/>
      </c>
      <c r="D14" s="233">
        <f>0</f>
        <v/>
      </c>
      <c r="E14" s="233">
        <f>0</f>
        <v/>
      </c>
      <c r="F14" s="233">
        <f>0</f>
        <v/>
      </c>
      <c r="G14" s="233">
        <f>0</f>
        <v/>
      </c>
      <c r="H14" s="233">
        <f>0</f>
        <v/>
      </c>
      <c r="I14" s="233">
        <f>0</f>
        <v/>
      </c>
      <c r="J14" s="233">
        <f>0</f>
        <v/>
      </c>
      <c r="K14" s="233">
        <f>0</f>
        <v/>
      </c>
      <c r="L14" s="233">
        <f>0</f>
        <v/>
      </c>
      <c r="M14" s="233">
        <f>0</f>
        <v/>
      </c>
      <c r="N14" s="233">
        <f>0</f>
        <v/>
      </c>
      <c r="O14" s="233">
        <f>0</f>
        <v/>
      </c>
      <c r="P14" s="233">
        <f>0</f>
        <v/>
      </c>
      <c r="Q14" s="233">
        <f>0</f>
        <v/>
      </c>
      <c r="R14" s="233">
        <f>0</f>
        <v/>
      </c>
      <c r="S14" s="233">
        <f>0</f>
        <v/>
      </c>
      <c r="T14" s="233">
        <f>0</f>
        <v/>
      </c>
      <c r="U14" s="233">
        <f>0</f>
        <v/>
      </c>
      <c r="V14" s="233">
        <f>0</f>
        <v/>
      </c>
      <c r="W14" s="233">
        <f>0</f>
        <v/>
      </c>
      <c r="X14" s="233">
        <f>0</f>
        <v/>
      </c>
      <c r="Y14" s="233">
        <f>0</f>
        <v/>
      </c>
      <c r="Z14" s="233">
        <f>0</f>
        <v/>
      </c>
      <c r="AA14" s="233">
        <f>0</f>
        <v/>
      </c>
      <c r="AB14" s="233">
        <f>0</f>
        <v/>
      </c>
      <c r="AC14" s="233">
        <f>0</f>
        <v/>
      </c>
      <c r="AD14" s="233">
        <f>0</f>
        <v/>
      </c>
      <c r="AE14" s="233">
        <f>0</f>
        <v/>
      </c>
      <c r="AF14" s="233">
        <f>0</f>
        <v/>
      </c>
      <c r="AG14" s="233">
        <f>0</f>
        <v/>
      </c>
      <c r="AH14" s="233">
        <f>0</f>
        <v/>
      </c>
      <c r="AI14" s="233">
        <f>0</f>
        <v/>
      </c>
      <c r="AJ14" s="233">
        <f>0</f>
        <v/>
      </c>
      <c r="AK14" s="233">
        <f>0</f>
        <v/>
      </c>
    </row>
    <row r="15">
      <c r="A15" s="127" t="inlineStr">
        <is>
          <t>Documented start funding</t>
        </is>
      </c>
      <c r="B15" s="233">
        <f>'Assumptions'!B5</f>
        <v/>
      </c>
      <c r="C15" s="233">
        <f>0</f>
        <v/>
      </c>
      <c r="D15" s="233">
        <f>0</f>
        <v/>
      </c>
      <c r="E15" s="233">
        <f>0</f>
        <v/>
      </c>
      <c r="F15" s="233">
        <f>0</f>
        <v/>
      </c>
      <c r="G15" s="233">
        <f>0</f>
        <v/>
      </c>
      <c r="H15" s="233">
        <f>0</f>
        <v/>
      </c>
      <c r="I15" s="233">
        <f>0</f>
        <v/>
      </c>
      <c r="J15" s="233">
        <f>0</f>
        <v/>
      </c>
      <c r="K15" s="233">
        <f>0</f>
        <v/>
      </c>
      <c r="L15" s="233">
        <f>0</f>
        <v/>
      </c>
      <c r="M15" s="233">
        <f>0</f>
        <v/>
      </c>
      <c r="N15" s="233">
        <f>0</f>
        <v/>
      </c>
      <c r="O15" s="233">
        <f>0</f>
        <v/>
      </c>
      <c r="P15" s="233">
        <f>0</f>
        <v/>
      </c>
      <c r="Q15" s="233">
        <f>0</f>
        <v/>
      </c>
      <c r="R15" s="233">
        <f>0</f>
        <v/>
      </c>
      <c r="S15" s="233">
        <f>0</f>
        <v/>
      </c>
      <c r="T15" s="233">
        <f>0</f>
        <v/>
      </c>
      <c r="U15" s="233">
        <f>0</f>
        <v/>
      </c>
      <c r="V15" s="233">
        <f>0</f>
        <v/>
      </c>
      <c r="W15" s="233">
        <f>0</f>
        <v/>
      </c>
      <c r="X15" s="233">
        <f>0</f>
        <v/>
      </c>
      <c r="Y15" s="233">
        <f>0</f>
        <v/>
      </c>
      <c r="Z15" s="233">
        <f>0</f>
        <v/>
      </c>
      <c r="AA15" s="233">
        <f>0</f>
        <v/>
      </c>
      <c r="AB15" s="233">
        <f>0</f>
        <v/>
      </c>
      <c r="AC15" s="233">
        <f>0</f>
        <v/>
      </c>
      <c r="AD15" s="233">
        <f>0</f>
        <v/>
      </c>
      <c r="AE15" s="233">
        <f>0</f>
        <v/>
      </c>
      <c r="AF15" s="233">
        <f>0</f>
        <v/>
      </c>
      <c r="AG15" s="233">
        <f>0</f>
        <v/>
      </c>
      <c r="AH15" s="233">
        <f>0</f>
        <v/>
      </c>
      <c r="AI15" s="233">
        <f>0</f>
        <v/>
      </c>
      <c r="AJ15" s="233">
        <f>0</f>
        <v/>
      </c>
      <c r="AK15" s="233">
        <f>0</f>
        <v/>
      </c>
    </row>
    <row r="16">
      <c r="A16" s="127" t="inlineStr">
        <is>
          <t>Plan opening cash</t>
        </is>
      </c>
      <c r="B16" s="233">
        <f>0</f>
        <v/>
      </c>
      <c r="C16" s="233">
        <f>B17</f>
        <v/>
      </c>
      <c r="D16" s="233">
        <f>C17</f>
        <v/>
      </c>
      <c r="E16" s="233">
        <f>D17</f>
        <v/>
      </c>
      <c r="F16" s="233">
        <f>E17</f>
        <v/>
      </c>
      <c r="G16" s="233">
        <f>F17</f>
        <v/>
      </c>
      <c r="H16" s="233">
        <f>G17</f>
        <v/>
      </c>
      <c r="I16" s="233">
        <f>H17</f>
        <v/>
      </c>
      <c r="J16" s="233">
        <f>I17</f>
        <v/>
      </c>
      <c r="K16" s="233">
        <f>J17</f>
        <v/>
      </c>
      <c r="L16" s="233">
        <f>K17</f>
        <v/>
      </c>
      <c r="M16" s="233">
        <f>L17</f>
        <v/>
      </c>
      <c r="N16" s="233">
        <f>M17</f>
        <v/>
      </c>
      <c r="O16" s="233">
        <f>N17</f>
        <v/>
      </c>
      <c r="P16" s="233">
        <f>O17</f>
        <v/>
      </c>
      <c r="Q16" s="233">
        <f>P17</f>
        <v/>
      </c>
      <c r="R16" s="233">
        <f>Q17</f>
        <v/>
      </c>
      <c r="S16" s="233">
        <f>R17</f>
        <v/>
      </c>
      <c r="T16" s="233">
        <f>S17</f>
        <v/>
      </c>
      <c r="U16" s="233">
        <f>T17</f>
        <v/>
      </c>
      <c r="V16" s="233">
        <f>U17</f>
        <v/>
      </c>
      <c r="W16" s="233">
        <f>V17</f>
        <v/>
      </c>
      <c r="X16" s="233">
        <f>W17</f>
        <v/>
      </c>
      <c r="Y16" s="233">
        <f>X17</f>
        <v/>
      </c>
      <c r="Z16" s="233">
        <f>Y17</f>
        <v/>
      </c>
      <c r="AA16" s="233">
        <f>Z17</f>
        <v/>
      </c>
      <c r="AB16" s="233">
        <f>AA17</f>
        <v/>
      </c>
      <c r="AC16" s="233">
        <f>AB17</f>
        <v/>
      </c>
      <c r="AD16" s="233">
        <f>AC17</f>
        <v/>
      </c>
      <c r="AE16" s="233">
        <f>AD17</f>
        <v/>
      </c>
      <c r="AF16" s="233">
        <f>AE17</f>
        <v/>
      </c>
      <c r="AG16" s="233">
        <f>AF17</f>
        <v/>
      </c>
      <c r="AH16" s="233">
        <f>AG17</f>
        <v/>
      </c>
      <c r="AI16" s="233">
        <f>AH17</f>
        <v/>
      </c>
      <c r="AJ16" s="233">
        <f>AI17</f>
        <v/>
      </c>
      <c r="AK16" s="233">
        <f>AJ17</f>
        <v/>
      </c>
    </row>
    <row r="17">
      <c r="A17" s="75" t="inlineStr">
        <is>
          <t>Plan closing cash</t>
        </is>
      </c>
      <c r="B17" s="234">
        <f>B16+B13+B14</f>
        <v/>
      </c>
      <c r="C17" s="234">
        <f>C16+C13+C14</f>
        <v/>
      </c>
      <c r="D17" s="234">
        <f>D16+D13+D14</f>
        <v/>
      </c>
      <c r="E17" s="234">
        <f>E16+E13+E14</f>
        <v/>
      </c>
      <c r="F17" s="234">
        <f>F16+F13+F14</f>
        <v/>
      </c>
      <c r="G17" s="234">
        <f>G16+G13+G14</f>
        <v/>
      </c>
      <c r="H17" s="234">
        <f>H16+H13+H14</f>
        <v/>
      </c>
      <c r="I17" s="234">
        <f>I16+I13+I14</f>
        <v/>
      </c>
      <c r="J17" s="234">
        <f>J16+J13+J14</f>
        <v/>
      </c>
      <c r="K17" s="234">
        <f>K16+K13+K14</f>
        <v/>
      </c>
      <c r="L17" s="234">
        <f>L16+L13+L14</f>
        <v/>
      </c>
      <c r="M17" s="234">
        <f>M16+M13+M14</f>
        <v/>
      </c>
      <c r="N17" s="234">
        <f>N16+N13+N14</f>
        <v/>
      </c>
      <c r="O17" s="234">
        <f>O16+O13+O14</f>
        <v/>
      </c>
      <c r="P17" s="234">
        <f>P16+P13+P14</f>
        <v/>
      </c>
      <c r="Q17" s="234">
        <f>Q16+Q13+Q14</f>
        <v/>
      </c>
      <c r="R17" s="234">
        <f>R16+R13+R14</f>
        <v/>
      </c>
      <c r="S17" s="234">
        <f>S16+S13+S14</f>
        <v/>
      </c>
      <c r="T17" s="234">
        <f>T16+T13+T14</f>
        <v/>
      </c>
      <c r="U17" s="234">
        <f>U16+U13+U14</f>
        <v/>
      </c>
      <c r="V17" s="234">
        <f>V16+V13+V14</f>
        <v/>
      </c>
      <c r="W17" s="234">
        <f>W16+W13+W14</f>
        <v/>
      </c>
      <c r="X17" s="234">
        <f>X16+X13+X14</f>
        <v/>
      </c>
      <c r="Y17" s="234">
        <f>Y16+Y13+Y14</f>
        <v/>
      </c>
      <c r="Z17" s="234">
        <f>Z16+Z13+Z14</f>
        <v/>
      </c>
      <c r="AA17" s="234">
        <f>AA16+AA13+AA14</f>
        <v/>
      </c>
      <c r="AB17" s="234">
        <f>AB16+AB13+AB14</f>
        <v/>
      </c>
      <c r="AC17" s="234">
        <f>AC16+AC13+AC14</f>
        <v/>
      </c>
      <c r="AD17" s="234">
        <f>AD16+AD13+AD14</f>
        <v/>
      </c>
      <c r="AE17" s="234">
        <f>AE16+AE13+AE14</f>
        <v/>
      </c>
      <c r="AF17" s="234">
        <f>AF16+AF13+AF14</f>
        <v/>
      </c>
      <c r="AG17" s="234">
        <f>AG16+AG13+AG14</f>
        <v/>
      </c>
      <c r="AH17" s="234">
        <f>AH16+AH13+AH14</f>
        <v/>
      </c>
      <c r="AI17" s="234">
        <f>AI16+AI13+AI14</f>
        <v/>
      </c>
      <c r="AJ17" s="234">
        <f>AJ16+AJ13+AJ14</f>
        <v/>
      </c>
      <c r="AK17" s="234">
        <f>AK16+AK13+AK14</f>
        <v/>
      </c>
    </row>
    <row r="18">
      <c r="A18" s="127" t="inlineStr">
        <is>
          <t>Live opening cash</t>
        </is>
      </c>
      <c r="B18" s="233">
        <f>0</f>
        <v/>
      </c>
      <c r="C18" s="233">
        <f>B19</f>
        <v/>
      </c>
      <c r="D18" s="233">
        <f>C19</f>
        <v/>
      </c>
      <c r="E18" s="233">
        <f>D19</f>
        <v/>
      </c>
      <c r="F18" s="233">
        <f>E19</f>
        <v/>
      </c>
      <c r="G18" s="233">
        <f>F19</f>
        <v/>
      </c>
      <c r="H18" s="233">
        <f>G19</f>
        <v/>
      </c>
      <c r="I18" s="233">
        <f>H19</f>
        <v/>
      </c>
      <c r="J18" s="233">
        <f>I19</f>
        <v/>
      </c>
      <c r="K18" s="233">
        <f>J19</f>
        <v/>
      </c>
      <c r="L18" s="233">
        <f>K19</f>
        <v/>
      </c>
      <c r="M18" s="233">
        <f>L19</f>
        <v/>
      </c>
      <c r="N18" s="233">
        <f>M19</f>
        <v/>
      </c>
      <c r="O18" s="233">
        <f>N19</f>
        <v/>
      </c>
      <c r="P18" s="233">
        <f>O19</f>
        <v/>
      </c>
      <c r="Q18" s="233">
        <f>P19</f>
        <v/>
      </c>
      <c r="R18" s="233">
        <f>Q19</f>
        <v/>
      </c>
      <c r="S18" s="233">
        <f>R19</f>
        <v/>
      </c>
      <c r="T18" s="233">
        <f>S19</f>
        <v/>
      </c>
      <c r="U18" s="233">
        <f>T19</f>
        <v/>
      </c>
      <c r="V18" s="233">
        <f>U19</f>
        <v/>
      </c>
      <c r="W18" s="233">
        <f>V19</f>
        <v/>
      </c>
      <c r="X18" s="233">
        <f>W19</f>
        <v/>
      </c>
      <c r="Y18" s="233">
        <f>X19</f>
        <v/>
      </c>
      <c r="Z18" s="233">
        <f>Y19</f>
        <v/>
      </c>
      <c r="AA18" s="233">
        <f>Z19</f>
        <v/>
      </c>
      <c r="AB18" s="233">
        <f>AA19</f>
        <v/>
      </c>
      <c r="AC18" s="233">
        <f>AB19</f>
        <v/>
      </c>
      <c r="AD18" s="233">
        <f>AC19</f>
        <v/>
      </c>
      <c r="AE18" s="233">
        <f>AD19</f>
        <v/>
      </c>
      <c r="AF18" s="233">
        <f>AE19</f>
        <v/>
      </c>
      <c r="AG18" s="233">
        <f>AF19</f>
        <v/>
      </c>
      <c r="AH18" s="233">
        <f>AG19</f>
        <v/>
      </c>
      <c r="AI18" s="233">
        <f>AH19</f>
        <v/>
      </c>
      <c r="AJ18" s="233">
        <f>AI19</f>
        <v/>
      </c>
      <c r="AK18" s="233">
        <f>AJ19</f>
        <v/>
      </c>
    </row>
    <row r="19">
      <c r="A19" s="130" t="inlineStr">
        <is>
          <t>Live closing cash</t>
        </is>
      </c>
      <c r="B19" s="235">
        <f>B18+B13+B15</f>
        <v/>
      </c>
      <c r="C19" s="235">
        <f>C18+C13+C15</f>
        <v/>
      </c>
      <c r="D19" s="235">
        <f>D18+D13+D15</f>
        <v/>
      </c>
      <c r="E19" s="235">
        <f>E18+E13+E15</f>
        <v/>
      </c>
      <c r="F19" s="235">
        <f>F18+F13+F15</f>
        <v/>
      </c>
      <c r="G19" s="235">
        <f>G18+G13+G15</f>
        <v/>
      </c>
      <c r="H19" s="235">
        <f>H18+H13+H15</f>
        <v/>
      </c>
      <c r="I19" s="235">
        <f>I18+I13+I15</f>
        <v/>
      </c>
      <c r="J19" s="235">
        <f>J18+J13+J15</f>
        <v/>
      </c>
      <c r="K19" s="235">
        <f>K18+K13+K15</f>
        <v/>
      </c>
      <c r="L19" s="235">
        <f>L18+L13+L15</f>
        <v/>
      </c>
      <c r="M19" s="235">
        <f>M18+M13+M15</f>
        <v/>
      </c>
      <c r="N19" s="235">
        <f>N18+N13+N15</f>
        <v/>
      </c>
      <c r="O19" s="235">
        <f>O18+O13+O15</f>
        <v/>
      </c>
      <c r="P19" s="235">
        <f>P18+P13+P15</f>
        <v/>
      </c>
      <c r="Q19" s="235">
        <f>Q18+Q13+Q15</f>
        <v/>
      </c>
      <c r="R19" s="235">
        <f>R18+R13+R15</f>
        <v/>
      </c>
      <c r="S19" s="235">
        <f>S18+S13+S15</f>
        <v/>
      </c>
      <c r="T19" s="235">
        <f>T18+T13+T15</f>
        <v/>
      </c>
      <c r="U19" s="235">
        <f>U18+U13+U15</f>
        <v/>
      </c>
      <c r="V19" s="235">
        <f>V18+V13+V15</f>
        <v/>
      </c>
      <c r="W19" s="235">
        <f>W18+W13+W15</f>
        <v/>
      </c>
      <c r="X19" s="235">
        <f>X18+X13+X15</f>
        <v/>
      </c>
      <c r="Y19" s="235">
        <f>Y18+Y13+Y15</f>
        <v/>
      </c>
      <c r="Z19" s="235">
        <f>Z18+Z13+Z15</f>
        <v/>
      </c>
      <c r="AA19" s="235">
        <f>AA18+AA13+AA15</f>
        <v/>
      </c>
      <c r="AB19" s="235">
        <f>AB18+AB13+AB15</f>
        <v/>
      </c>
      <c r="AC19" s="235">
        <f>AC18+AC13+AC15</f>
        <v/>
      </c>
      <c r="AD19" s="235">
        <f>AD18+AD13+AD15</f>
        <v/>
      </c>
      <c r="AE19" s="235">
        <f>AE18+AE13+AE15</f>
        <v/>
      </c>
      <c r="AF19" s="235">
        <f>AF18+AF13+AF15</f>
        <v/>
      </c>
      <c r="AG19" s="235">
        <f>AG18+AG13+AG15</f>
        <v/>
      </c>
      <c r="AH19" s="235">
        <f>AH18+AH13+AH15</f>
        <v/>
      </c>
      <c r="AI19" s="235">
        <f>AI18+AI13+AI15</f>
        <v/>
      </c>
      <c r="AJ19" s="235">
        <f>AJ18+AJ13+AJ15</f>
        <v/>
      </c>
      <c r="AK19" s="235">
        <f>AK18+AK13+AK15</f>
        <v/>
      </c>
    </row>
    <row r="20">
      <c r="A20" s="132" t="inlineStr">
        <is>
          <t>VAT reserve closing</t>
        </is>
      </c>
      <c r="B20" s="236">
        <f>B5</f>
        <v/>
      </c>
      <c r="C20" s="236">
        <f>C5</f>
        <v/>
      </c>
      <c r="D20" s="236">
        <f>D5</f>
        <v/>
      </c>
      <c r="E20" s="236">
        <f>E5</f>
        <v/>
      </c>
      <c r="F20" s="236">
        <f>F5</f>
        <v/>
      </c>
      <c r="G20" s="236">
        <f>G5</f>
        <v/>
      </c>
      <c r="H20" s="236">
        <f>H5</f>
        <v/>
      </c>
      <c r="I20" s="236">
        <f>I5</f>
        <v/>
      </c>
      <c r="J20" s="236">
        <f>J5</f>
        <v/>
      </c>
      <c r="K20" s="236">
        <f>K5</f>
        <v/>
      </c>
      <c r="L20" s="236">
        <f>L5</f>
        <v/>
      </c>
      <c r="M20" s="236">
        <f>M5</f>
        <v/>
      </c>
      <c r="N20" s="236">
        <f>N5</f>
        <v/>
      </c>
      <c r="O20" s="236">
        <f>O5</f>
        <v/>
      </c>
      <c r="P20" s="236">
        <f>P5</f>
        <v/>
      </c>
      <c r="Q20" s="236">
        <f>Q5</f>
        <v/>
      </c>
      <c r="R20" s="236">
        <f>R5</f>
        <v/>
      </c>
      <c r="S20" s="236">
        <f>S5</f>
        <v/>
      </c>
      <c r="T20" s="236">
        <f>T5</f>
        <v/>
      </c>
      <c r="U20" s="236">
        <f>U5</f>
        <v/>
      </c>
      <c r="V20" s="236">
        <f>V5</f>
        <v/>
      </c>
      <c r="W20" s="236">
        <f>W5</f>
        <v/>
      </c>
      <c r="X20" s="236">
        <f>X5</f>
        <v/>
      </c>
      <c r="Y20" s="236">
        <f>Y5</f>
        <v/>
      </c>
      <c r="Z20" s="236">
        <f>Z5</f>
        <v/>
      </c>
      <c r="AA20" s="236">
        <f>AA5</f>
        <v/>
      </c>
      <c r="AB20" s="236">
        <f>AB5</f>
        <v/>
      </c>
      <c r="AC20" s="236">
        <f>AC5</f>
        <v/>
      </c>
      <c r="AD20" s="236">
        <f>AD5</f>
        <v/>
      </c>
      <c r="AE20" s="236">
        <f>AE5</f>
        <v/>
      </c>
      <c r="AF20" s="236">
        <f>AF5</f>
        <v/>
      </c>
      <c r="AG20" s="236">
        <f>AG5</f>
        <v/>
      </c>
      <c r="AH20" s="236">
        <f>AH5</f>
        <v/>
      </c>
      <c r="AI20" s="236">
        <f>AI5</f>
        <v/>
      </c>
      <c r="AJ20" s="236">
        <f>AJ5</f>
        <v/>
      </c>
      <c r="AK20" s="236">
        <f>AK5</f>
        <v/>
      </c>
    </row>
    <row r="21">
      <c r="A21" s="132" t="inlineStr">
        <is>
          <t>Tax reserve allocation</t>
        </is>
      </c>
      <c r="B21" s="236">
        <f>'Annual_P&amp;L'!B12/12</f>
        <v/>
      </c>
      <c r="C21" s="236">
        <f>'Annual_P&amp;L'!B12/12</f>
        <v/>
      </c>
      <c r="D21" s="236">
        <f>'Annual_P&amp;L'!B12/12</f>
        <v/>
      </c>
      <c r="E21" s="236">
        <f>'Annual_P&amp;L'!B12/12</f>
        <v/>
      </c>
      <c r="F21" s="236">
        <f>'Annual_P&amp;L'!B12/12</f>
        <v/>
      </c>
      <c r="G21" s="236">
        <f>'Annual_P&amp;L'!B12/12</f>
        <v/>
      </c>
      <c r="H21" s="236">
        <f>'Annual_P&amp;L'!B12/12</f>
        <v/>
      </c>
      <c r="I21" s="236">
        <f>'Annual_P&amp;L'!B12/12</f>
        <v/>
      </c>
      <c r="J21" s="236">
        <f>'Annual_P&amp;L'!B12/12</f>
        <v/>
      </c>
      <c r="K21" s="236">
        <f>'Annual_P&amp;L'!B12/12</f>
        <v/>
      </c>
      <c r="L21" s="236">
        <f>'Annual_P&amp;L'!B12/12</f>
        <v/>
      </c>
      <c r="M21" s="236">
        <f>'Annual_P&amp;L'!B12/12</f>
        <v/>
      </c>
      <c r="N21" s="236">
        <f>'Annual_P&amp;L'!C12/12</f>
        <v/>
      </c>
      <c r="O21" s="236">
        <f>'Annual_P&amp;L'!C12/12</f>
        <v/>
      </c>
      <c r="P21" s="236">
        <f>'Annual_P&amp;L'!C12/12</f>
        <v/>
      </c>
      <c r="Q21" s="236">
        <f>'Annual_P&amp;L'!C12/12</f>
        <v/>
      </c>
      <c r="R21" s="236">
        <f>'Annual_P&amp;L'!C12/12</f>
        <v/>
      </c>
      <c r="S21" s="236">
        <f>'Annual_P&amp;L'!C12/12</f>
        <v/>
      </c>
      <c r="T21" s="236">
        <f>'Annual_P&amp;L'!C12/12</f>
        <v/>
      </c>
      <c r="U21" s="236">
        <f>'Annual_P&amp;L'!C12/12</f>
        <v/>
      </c>
      <c r="V21" s="236">
        <f>'Annual_P&amp;L'!C12/12</f>
        <v/>
      </c>
      <c r="W21" s="236">
        <f>'Annual_P&amp;L'!C12/12</f>
        <v/>
      </c>
      <c r="X21" s="236">
        <f>'Annual_P&amp;L'!C12/12</f>
        <v/>
      </c>
      <c r="Y21" s="236">
        <f>'Annual_P&amp;L'!C12/12</f>
        <v/>
      </c>
      <c r="Z21" s="236">
        <f>'Annual_P&amp;L'!D12/12</f>
        <v/>
      </c>
      <c r="AA21" s="236">
        <f>'Annual_P&amp;L'!D12/12</f>
        <v/>
      </c>
      <c r="AB21" s="236">
        <f>'Annual_P&amp;L'!D12/12</f>
        <v/>
      </c>
      <c r="AC21" s="236">
        <f>'Annual_P&amp;L'!D12/12</f>
        <v/>
      </c>
      <c r="AD21" s="236">
        <f>'Annual_P&amp;L'!D12/12</f>
        <v/>
      </c>
      <c r="AE21" s="236">
        <f>'Annual_P&amp;L'!D12/12</f>
        <v/>
      </c>
      <c r="AF21" s="236">
        <f>'Annual_P&amp;L'!D12/12</f>
        <v/>
      </c>
      <c r="AG21" s="236">
        <f>'Annual_P&amp;L'!D12/12</f>
        <v/>
      </c>
      <c r="AH21" s="236">
        <f>'Annual_P&amp;L'!D12/12</f>
        <v/>
      </c>
      <c r="AI21" s="236">
        <f>'Annual_P&amp;L'!D12/12</f>
        <v/>
      </c>
      <c r="AJ21" s="236">
        <f>'Annual_P&amp;L'!D12/12</f>
        <v/>
      </c>
      <c r="AK21" s="236">
        <f>'Annual_P&amp;L'!D12/12</f>
        <v/>
      </c>
    </row>
    <row r="22">
      <c r="A22" s="132" t="inlineStr">
        <is>
          <t>Restricted tax reserve closing</t>
        </is>
      </c>
      <c r="B22" s="236">
        <f>B21</f>
        <v/>
      </c>
      <c r="C22" s="236">
        <f>B22+C21</f>
        <v/>
      </c>
      <c r="D22" s="236">
        <f>C22+D21</f>
        <v/>
      </c>
      <c r="E22" s="236">
        <f>D22+E21</f>
        <v/>
      </c>
      <c r="F22" s="236">
        <f>E22+F21</f>
        <v/>
      </c>
      <c r="G22" s="236">
        <f>F22+G21</f>
        <v/>
      </c>
      <c r="H22" s="236">
        <f>G22+H21</f>
        <v/>
      </c>
      <c r="I22" s="236">
        <f>H22+I21</f>
        <v/>
      </c>
      <c r="J22" s="236">
        <f>I22+J21</f>
        <v/>
      </c>
      <c r="K22" s="236">
        <f>J22+K21</f>
        <v/>
      </c>
      <c r="L22" s="236">
        <f>K22+L21</f>
        <v/>
      </c>
      <c r="M22" s="236">
        <f>L22+M21</f>
        <v/>
      </c>
      <c r="N22" s="236">
        <f>M22+N21</f>
        <v/>
      </c>
      <c r="O22" s="236">
        <f>N22+O21</f>
        <v/>
      </c>
      <c r="P22" s="236">
        <f>O22+P21</f>
        <v/>
      </c>
      <c r="Q22" s="236">
        <f>P22+Q21</f>
        <v/>
      </c>
      <c r="R22" s="236">
        <f>Q22+R21</f>
        <v/>
      </c>
      <c r="S22" s="236">
        <f>R22+S21</f>
        <v/>
      </c>
      <c r="T22" s="236">
        <f>S22+T21</f>
        <v/>
      </c>
      <c r="U22" s="236">
        <f>T22+U21</f>
        <v/>
      </c>
      <c r="V22" s="236">
        <f>U22+V21</f>
        <v/>
      </c>
      <c r="W22" s="236">
        <f>V22+W21</f>
        <v/>
      </c>
      <c r="X22" s="236">
        <f>W22+X21</f>
        <v/>
      </c>
      <c r="Y22" s="236">
        <f>X22+Y21</f>
        <v/>
      </c>
      <c r="Z22" s="236">
        <f>Y22+Z21</f>
        <v/>
      </c>
      <c r="AA22" s="236">
        <f>Z22+AA21</f>
        <v/>
      </c>
      <c r="AB22" s="236">
        <f>AA22+AB21</f>
        <v/>
      </c>
      <c r="AC22" s="236">
        <f>AB22+AC21</f>
        <v/>
      </c>
      <c r="AD22" s="236">
        <f>AC22+AD21</f>
        <v/>
      </c>
      <c r="AE22" s="236">
        <f>AD22+AE21</f>
        <v/>
      </c>
      <c r="AF22" s="236">
        <f>AE22+AF21</f>
        <v/>
      </c>
      <c r="AG22" s="236">
        <f>AF22+AG21</f>
        <v/>
      </c>
      <c r="AH22" s="236">
        <f>AG22+AH21</f>
        <v/>
      </c>
      <c r="AI22" s="236">
        <f>AH22+AI21</f>
        <v/>
      </c>
      <c r="AJ22" s="236">
        <f>AI22+AJ21</f>
        <v/>
      </c>
      <c r="AK22" s="236">
        <f>AJ22+AK21</f>
        <v/>
      </c>
    </row>
    <row r="23">
      <c r="A23" s="134" t="inlineStr">
        <is>
          <t>Plan available cash</t>
        </is>
      </c>
      <c r="B23" s="237">
        <f>B17-B20-B22</f>
        <v/>
      </c>
      <c r="C23" s="237">
        <f>C17-C20-C22</f>
        <v/>
      </c>
      <c r="D23" s="237">
        <f>D17-D20-D22</f>
        <v/>
      </c>
      <c r="E23" s="237">
        <f>E17-E20-E22</f>
        <v/>
      </c>
      <c r="F23" s="237">
        <f>F17-F20-F22</f>
        <v/>
      </c>
      <c r="G23" s="237">
        <f>G17-G20-G22</f>
        <v/>
      </c>
      <c r="H23" s="237">
        <f>H17-H20-H22</f>
        <v/>
      </c>
      <c r="I23" s="237">
        <f>I17-I20-I22</f>
        <v/>
      </c>
      <c r="J23" s="237">
        <f>J17-J20-J22</f>
        <v/>
      </c>
      <c r="K23" s="237">
        <f>K17-K20-K22</f>
        <v/>
      </c>
      <c r="L23" s="237">
        <f>L17-L20-L22</f>
        <v/>
      </c>
      <c r="M23" s="237">
        <f>M17-M20-M22</f>
        <v/>
      </c>
      <c r="N23" s="237">
        <f>N17-N20-N22</f>
        <v/>
      </c>
      <c r="O23" s="237">
        <f>O17-O20-O22</f>
        <v/>
      </c>
      <c r="P23" s="237">
        <f>P17-P20-P22</f>
        <v/>
      </c>
      <c r="Q23" s="237">
        <f>Q17-Q20-Q22</f>
        <v/>
      </c>
      <c r="R23" s="237">
        <f>R17-R20-R22</f>
        <v/>
      </c>
      <c r="S23" s="237">
        <f>S17-S20-S22</f>
        <v/>
      </c>
      <c r="T23" s="237">
        <f>T17-T20-T22</f>
        <v/>
      </c>
      <c r="U23" s="237">
        <f>U17-U20-U22</f>
        <v/>
      </c>
      <c r="V23" s="237">
        <f>V17-V20-V22</f>
        <v/>
      </c>
      <c r="W23" s="237">
        <f>W17-W20-W22</f>
        <v/>
      </c>
      <c r="X23" s="237">
        <f>X17-X20-X22</f>
        <v/>
      </c>
      <c r="Y23" s="237">
        <f>Y17-Y20-Y22</f>
        <v/>
      </c>
      <c r="Z23" s="237">
        <f>Z17-Z20-Z22</f>
        <v/>
      </c>
      <c r="AA23" s="237">
        <f>AA17-AA20-AA22</f>
        <v/>
      </c>
      <c r="AB23" s="237">
        <f>AB17-AB20-AB22</f>
        <v/>
      </c>
      <c r="AC23" s="237">
        <f>AC17-AC20-AC22</f>
        <v/>
      </c>
      <c r="AD23" s="237">
        <f>AD17-AD20-AD22</f>
        <v/>
      </c>
      <c r="AE23" s="237">
        <f>AE17-AE20-AE22</f>
        <v/>
      </c>
      <c r="AF23" s="237">
        <f>AF17-AF20-AF22</f>
        <v/>
      </c>
      <c r="AG23" s="237">
        <f>AG17-AG20-AG22</f>
        <v/>
      </c>
      <c r="AH23" s="237">
        <f>AH17-AH20-AH22</f>
        <v/>
      </c>
      <c r="AI23" s="237">
        <f>AI17-AI20-AI22</f>
        <v/>
      </c>
      <c r="AJ23" s="237">
        <f>AJ17-AJ20-AJ22</f>
        <v/>
      </c>
      <c r="AK23" s="237">
        <f>AK17-AK20-AK22</f>
        <v/>
      </c>
    </row>
    <row r="24">
      <c r="A24" s="134" t="inlineStr">
        <is>
          <t>Live available cash</t>
        </is>
      </c>
      <c r="B24" s="237">
        <f>B19-B20-B22</f>
        <v/>
      </c>
      <c r="C24" s="237">
        <f>C19-C20-C22</f>
        <v/>
      </c>
      <c r="D24" s="237">
        <f>D19-D20-D22</f>
        <v/>
      </c>
      <c r="E24" s="237">
        <f>E19-E20-E22</f>
        <v/>
      </c>
      <c r="F24" s="237">
        <f>F19-F20-F22</f>
        <v/>
      </c>
      <c r="G24" s="237">
        <f>G19-G20-G22</f>
        <v/>
      </c>
      <c r="H24" s="237">
        <f>H19-H20-H22</f>
        <v/>
      </c>
      <c r="I24" s="237">
        <f>I19-I20-I22</f>
        <v/>
      </c>
      <c r="J24" s="237">
        <f>J19-J20-J22</f>
        <v/>
      </c>
      <c r="K24" s="237">
        <f>K19-K20-K22</f>
        <v/>
      </c>
      <c r="L24" s="237">
        <f>L19-L20-L22</f>
        <v/>
      </c>
      <c r="M24" s="237">
        <f>M19-M20-M22</f>
        <v/>
      </c>
      <c r="N24" s="237">
        <f>N19-N20-N22</f>
        <v/>
      </c>
      <c r="O24" s="237">
        <f>O19-O20-O22</f>
        <v/>
      </c>
      <c r="P24" s="237">
        <f>P19-P20-P22</f>
        <v/>
      </c>
      <c r="Q24" s="237">
        <f>Q19-Q20-Q22</f>
        <v/>
      </c>
      <c r="R24" s="237">
        <f>R19-R20-R22</f>
        <v/>
      </c>
      <c r="S24" s="237">
        <f>S19-S20-S22</f>
        <v/>
      </c>
      <c r="T24" s="237">
        <f>T19-T20-T22</f>
        <v/>
      </c>
      <c r="U24" s="237">
        <f>U19-U20-U22</f>
        <v/>
      </c>
      <c r="V24" s="237">
        <f>V19-V20-V22</f>
        <v/>
      </c>
      <c r="W24" s="237">
        <f>W19-W20-W22</f>
        <v/>
      </c>
      <c r="X24" s="237">
        <f>X19-X20-X22</f>
        <v/>
      </c>
      <c r="Y24" s="237">
        <f>Y19-Y20-Y22</f>
        <v/>
      </c>
      <c r="Z24" s="237">
        <f>Z19-Z20-Z22</f>
        <v/>
      </c>
      <c r="AA24" s="237">
        <f>AA19-AA20-AA22</f>
        <v/>
      </c>
      <c r="AB24" s="237">
        <f>AB19-AB20-AB22</f>
        <v/>
      </c>
      <c r="AC24" s="237">
        <f>AC19-AC20-AC22</f>
        <v/>
      </c>
      <c r="AD24" s="237">
        <f>AD19-AD20-AD22</f>
        <v/>
      </c>
      <c r="AE24" s="237">
        <f>AE19-AE20-AE22</f>
        <v/>
      </c>
      <c r="AF24" s="237">
        <f>AF19-AF20-AF22</f>
        <v/>
      </c>
      <c r="AG24" s="237">
        <f>AG19-AG20-AG22</f>
        <v/>
      </c>
      <c r="AH24" s="237">
        <f>AH19-AH20-AH22</f>
        <v/>
      </c>
      <c r="AI24" s="237">
        <f>AI19-AI20-AI22</f>
        <v/>
      </c>
      <c r="AJ24" s="237">
        <f>AJ19-AJ20-AJ22</f>
        <v/>
      </c>
      <c r="AK24" s="237">
        <f>AK19-AK20-AK22</f>
        <v/>
      </c>
    </row>
    <row r="25">
      <c r="A25" s="132" t="inlineStr">
        <is>
          <t>Minimum liquidity</t>
        </is>
      </c>
      <c r="B25" s="236">
        <f>'Assumptions'!B13</f>
        <v/>
      </c>
      <c r="C25" s="236">
        <f>'Assumptions'!B13</f>
        <v/>
      </c>
      <c r="D25" s="236">
        <f>'Assumptions'!B13</f>
        <v/>
      </c>
      <c r="E25" s="236">
        <f>'Assumptions'!B13</f>
        <v/>
      </c>
      <c r="F25" s="236">
        <f>'Assumptions'!B13</f>
        <v/>
      </c>
      <c r="G25" s="236">
        <f>'Assumptions'!B13</f>
        <v/>
      </c>
      <c r="H25" s="236">
        <f>'Assumptions'!B13</f>
        <v/>
      </c>
      <c r="I25" s="236">
        <f>'Assumptions'!B13</f>
        <v/>
      </c>
      <c r="J25" s="236">
        <f>'Assumptions'!B13</f>
        <v/>
      </c>
      <c r="K25" s="236">
        <f>'Assumptions'!B13</f>
        <v/>
      </c>
      <c r="L25" s="236">
        <f>'Assumptions'!B13</f>
        <v/>
      </c>
      <c r="M25" s="236">
        <f>'Assumptions'!B13</f>
        <v/>
      </c>
      <c r="N25" s="236">
        <f>'Assumptions'!C13</f>
        <v/>
      </c>
      <c r="O25" s="236">
        <f>'Assumptions'!C13</f>
        <v/>
      </c>
      <c r="P25" s="236">
        <f>'Assumptions'!C13</f>
        <v/>
      </c>
      <c r="Q25" s="236">
        <f>'Assumptions'!C13</f>
        <v/>
      </c>
      <c r="R25" s="236">
        <f>'Assumptions'!C13</f>
        <v/>
      </c>
      <c r="S25" s="236">
        <f>'Assumptions'!C13</f>
        <v/>
      </c>
      <c r="T25" s="236">
        <f>'Assumptions'!C13</f>
        <v/>
      </c>
      <c r="U25" s="236">
        <f>'Assumptions'!C13</f>
        <v/>
      </c>
      <c r="V25" s="236">
        <f>'Assumptions'!C13</f>
        <v/>
      </c>
      <c r="W25" s="236">
        <f>'Assumptions'!C13</f>
        <v/>
      </c>
      <c r="X25" s="236">
        <f>'Assumptions'!C13</f>
        <v/>
      </c>
      <c r="Y25" s="236">
        <f>'Assumptions'!C13</f>
        <v/>
      </c>
      <c r="Z25" s="236">
        <f>'Assumptions'!D13</f>
        <v/>
      </c>
      <c r="AA25" s="236">
        <f>'Assumptions'!D13</f>
        <v/>
      </c>
      <c r="AB25" s="236">
        <f>'Assumptions'!D13</f>
        <v/>
      </c>
      <c r="AC25" s="236">
        <f>'Assumptions'!D13</f>
        <v/>
      </c>
      <c r="AD25" s="236">
        <f>'Assumptions'!D13</f>
        <v/>
      </c>
      <c r="AE25" s="236">
        <f>'Assumptions'!D13</f>
        <v/>
      </c>
      <c r="AF25" s="236">
        <f>'Assumptions'!D13</f>
        <v/>
      </c>
      <c r="AG25" s="236">
        <f>'Assumptions'!D13</f>
        <v/>
      </c>
      <c r="AH25" s="236">
        <f>'Assumptions'!D13</f>
        <v/>
      </c>
      <c r="AI25" s="236">
        <f>'Assumptions'!D13</f>
        <v/>
      </c>
      <c r="AJ25" s="236">
        <f>'Assumptions'!D13</f>
        <v/>
      </c>
      <c r="AK25" s="236">
        <f>'Assumptions'!D13</f>
        <v/>
      </c>
    </row>
    <row r="26">
      <c r="A26" s="130" t="inlineStr">
        <is>
          <t>Plan liquidity buffer</t>
        </is>
      </c>
      <c r="B26" s="235">
        <f>B23-B25</f>
        <v/>
      </c>
      <c r="C26" s="235">
        <f>C23-C25</f>
        <v/>
      </c>
      <c r="D26" s="235">
        <f>D23-D25</f>
        <v/>
      </c>
      <c r="E26" s="235">
        <f>E23-E25</f>
        <v/>
      </c>
      <c r="F26" s="235">
        <f>F23-F25</f>
        <v/>
      </c>
      <c r="G26" s="235">
        <f>G23-G25</f>
        <v/>
      </c>
      <c r="H26" s="235">
        <f>H23-H25</f>
        <v/>
      </c>
      <c r="I26" s="235">
        <f>I23-I25</f>
        <v/>
      </c>
      <c r="J26" s="235">
        <f>J23-J25</f>
        <v/>
      </c>
      <c r="K26" s="235">
        <f>K23-K25</f>
        <v/>
      </c>
      <c r="L26" s="235">
        <f>L23-L25</f>
        <v/>
      </c>
      <c r="M26" s="235">
        <f>M23-M25</f>
        <v/>
      </c>
      <c r="N26" s="235">
        <f>N23-N25</f>
        <v/>
      </c>
      <c r="O26" s="235">
        <f>O23-O25</f>
        <v/>
      </c>
      <c r="P26" s="235">
        <f>P23-P25</f>
        <v/>
      </c>
      <c r="Q26" s="235">
        <f>Q23-Q25</f>
        <v/>
      </c>
      <c r="R26" s="235">
        <f>R23-R25</f>
        <v/>
      </c>
      <c r="S26" s="235">
        <f>S23-S25</f>
        <v/>
      </c>
      <c r="T26" s="235">
        <f>T23-T25</f>
        <v/>
      </c>
      <c r="U26" s="235">
        <f>U23-U25</f>
        <v/>
      </c>
      <c r="V26" s="235">
        <f>V23-V25</f>
        <v/>
      </c>
      <c r="W26" s="235">
        <f>W23-W25</f>
        <v/>
      </c>
      <c r="X26" s="235">
        <f>X23-X25</f>
        <v/>
      </c>
      <c r="Y26" s="235">
        <f>Y23-Y25</f>
        <v/>
      </c>
      <c r="Z26" s="235">
        <f>Z23-Z25</f>
        <v/>
      </c>
      <c r="AA26" s="235">
        <f>AA23-AA25</f>
        <v/>
      </c>
      <c r="AB26" s="235">
        <f>AB23-AB25</f>
        <v/>
      </c>
      <c r="AC26" s="235">
        <f>AC23-AC25</f>
        <v/>
      </c>
      <c r="AD26" s="235">
        <f>AD23-AD25</f>
        <v/>
      </c>
      <c r="AE26" s="235">
        <f>AE23-AE25</f>
        <v/>
      </c>
      <c r="AF26" s="235">
        <f>AF23-AF25</f>
        <v/>
      </c>
      <c r="AG26" s="235">
        <f>AG23-AG25</f>
        <v/>
      </c>
      <c r="AH26" s="235">
        <f>AH23-AH25</f>
        <v/>
      </c>
      <c r="AI26" s="235">
        <f>AI23-AI25</f>
        <v/>
      </c>
      <c r="AJ26" s="235">
        <f>AJ23-AJ25</f>
        <v/>
      </c>
      <c r="AK26" s="235">
        <f>AK23-AK25</f>
        <v/>
      </c>
    </row>
    <row r="27">
      <c r="A27" s="130" t="inlineStr">
        <is>
          <t>Live liquidity buffer</t>
        </is>
      </c>
      <c r="B27" s="235">
        <f>B24-B25</f>
        <v/>
      </c>
      <c r="C27" s="235">
        <f>C24-C25</f>
        <v/>
      </c>
      <c r="D27" s="235">
        <f>D24-D25</f>
        <v/>
      </c>
      <c r="E27" s="235">
        <f>E24-E25</f>
        <v/>
      </c>
      <c r="F27" s="235">
        <f>F24-F25</f>
        <v/>
      </c>
      <c r="G27" s="235">
        <f>G24-G25</f>
        <v/>
      </c>
      <c r="H27" s="235">
        <f>H24-H25</f>
        <v/>
      </c>
      <c r="I27" s="235">
        <f>I24-I25</f>
        <v/>
      </c>
      <c r="J27" s="235">
        <f>J24-J25</f>
        <v/>
      </c>
      <c r="K27" s="235">
        <f>K24-K25</f>
        <v/>
      </c>
      <c r="L27" s="235">
        <f>L24-L25</f>
        <v/>
      </c>
      <c r="M27" s="235">
        <f>M24-M25</f>
        <v/>
      </c>
      <c r="N27" s="235">
        <f>N24-N25</f>
        <v/>
      </c>
      <c r="O27" s="235">
        <f>O24-O25</f>
        <v/>
      </c>
      <c r="P27" s="235">
        <f>P24-P25</f>
        <v/>
      </c>
      <c r="Q27" s="235">
        <f>Q24-Q25</f>
        <v/>
      </c>
      <c r="R27" s="235">
        <f>R24-R25</f>
        <v/>
      </c>
      <c r="S27" s="235">
        <f>S24-S25</f>
        <v/>
      </c>
      <c r="T27" s="235">
        <f>T24-T25</f>
        <v/>
      </c>
      <c r="U27" s="235">
        <f>U24-U25</f>
        <v/>
      </c>
      <c r="V27" s="235">
        <f>V24-V25</f>
        <v/>
      </c>
      <c r="W27" s="235">
        <f>W24-W25</f>
        <v/>
      </c>
      <c r="X27" s="235">
        <f>X24-X25</f>
        <v/>
      </c>
      <c r="Y27" s="235">
        <f>Y24-Y25</f>
        <v/>
      </c>
      <c r="Z27" s="235">
        <f>Z24-Z25</f>
        <v/>
      </c>
      <c r="AA27" s="235">
        <f>AA24-AA25</f>
        <v/>
      </c>
      <c r="AB27" s="235">
        <f>AB24-AB25</f>
        <v/>
      </c>
      <c r="AC27" s="235">
        <f>AC24-AC25</f>
        <v/>
      </c>
      <c r="AD27" s="235">
        <f>AD24-AD25</f>
        <v/>
      </c>
      <c r="AE27" s="235">
        <f>AE24-AE25</f>
        <v/>
      </c>
      <c r="AF27" s="235">
        <f>AF24-AF25</f>
        <v/>
      </c>
      <c r="AG27" s="235">
        <f>AG24-AG25</f>
        <v/>
      </c>
      <c r="AH27" s="235">
        <f>AH24-AH25</f>
        <v/>
      </c>
      <c r="AI27" s="235">
        <f>AI24-AI25</f>
        <v/>
      </c>
      <c r="AJ27" s="235">
        <f>AJ24-AJ25</f>
        <v/>
      </c>
      <c r="AK27" s="235">
        <f>AK24-AK25</f>
        <v/>
      </c>
    </row>
    <row r="28">
      <c r="A28" s="132" t="inlineStr">
        <is>
          <t>Plan cash status</t>
        </is>
      </c>
      <c r="B28" s="136">
        <f>IF(B26&gt;=0,"OK","BELOW MIN")</f>
        <v/>
      </c>
      <c r="C28" s="136">
        <f>IF(C26&gt;=0,"OK","BELOW MIN")</f>
        <v/>
      </c>
      <c r="D28" s="136">
        <f>IF(D26&gt;=0,"OK","BELOW MIN")</f>
        <v/>
      </c>
      <c r="E28" s="136">
        <f>IF(E26&gt;=0,"OK","BELOW MIN")</f>
        <v/>
      </c>
      <c r="F28" s="136">
        <f>IF(F26&gt;=0,"OK","BELOW MIN")</f>
        <v/>
      </c>
      <c r="G28" s="136">
        <f>IF(G26&gt;=0,"OK","BELOW MIN")</f>
        <v/>
      </c>
      <c r="H28" s="136">
        <f>IF(H26&gt;=0,"OK","BELOW MIN")</f>
        <v/>
      </c>
      <c r="I28" s="136">
        <f>IF(I26&gt;=0,"OK","BELOW MIN")</f>
        <v/>
      </c>
      <c r="J28" s="136">
        <f>IF(J26&gt;=0,"OK","BELOW MIN")</f>
        <v/>
      </c>
      <c r="K28" s="136">
        <f>IF(K26&gt;=0,"OK","BELOW MIN")</f>
        <v/>
      </c>
      <c r="L28" s="136">
        <f>IF(L26&gt;=0,"OK","BELOW MIN")</f>
        <v/>
      </c>
      <c r="M28" s="136">
        <f>IF(M26&gt;=0,"OK","BELOW MIN")</f>
        <v/>
      </c>
      <c r="N28" s="136">
        <f>IF(N26&gt;=0,"OK","BELOW MIN")</f>
        <v/>
      </c>
      <c r="O28" s="136">
        <f>IF(O26&gt;=0,"OK","BELOW MIN")</f>
        <v/>
      </c>
      <c r="P28" s="136">
        <f>IF(P26&gt;=0,"OK","BELOW MIN")</f>
        <v/>
      </c>
      <c r="Q28" s="136">
        <f>IF(Q26&gt;=0,"OK","BELOW MIN")</f>
        <v/>
      </c>
      <c r="R28" s="136">
        <f>IF(R26&gt;=0,"OK","BELOW MIN")</f>
        <v/>
      </c>
      <c r="S28" s="136">
        <f>IF(S26&gt;=0,"OK","BELOW MIN")</f>
        <v/>
      </c>
      <c r="T28" s="136">
        <f>IF(T26&gt;=0,"OK","BELOW MIN")</f>
        <v/>
      </c>
      <c r="U28" s="136">
        <f>IF(U26&gt;=0,"OK","BELOW MIN")</f>
        <v/>
      </c>
      <c r="V28" s="136">
        <f>IF(V26&gt;=0,"OK","BELOW MIN")</f>
        <v/>
      </c>
      <c r="W28" s="136">
        <f>IF(W26&gt;=0,"OK","BELOW MIN")</f>
        <v/>
      </c>
      <c r="X28" s="136">
        <f>IF(X26&gt;=0,"OK","BELOW MIN")</f>
        <v/>
      </c>
      <c r="Y28" s="136">
        <f>IF(Y26&gt;=0,"OK","BELOW MIN")</f>
        <v/>
      </c>
      <c r="Z28" s="136">
        <f>IF(Z26&gt;=0,"OK","BELOW MIN")</f>
        <v/>
      </c>
      <c r="AA28" s="136">
        <f>IF(AA26&gt;=0,"OK","BELOW MIN")</f>
        <v/>
      </c>
      <c r="AB28" s="136">
        <f>IF(AB26&gt;=0,"OK","BELOW MIN")</f>
        <v/>
      </c>
      <c r="AC28" s="136">
        <f>IF(AC26&gt;=0,"OK","BELOW MIN")</f>
        <v/>
      </c>
      <c r="AD28" s="136">
        <f>IF(AD26&gt;=0,"OK","BELOW MIN")</f>
        <v/>
      </c>
      <c r="AE28" s="136">
        <f>IF(AE26&gt;=0,"OK","BELOW MIN")</f>
        <v/>
      </c>
      <c r="AF28" s="136">
        <f>IF(AF26&gt;=0,"OK","BELOW MIN")</f>
        <v/>
      </c>
      <c r="AG28" s="136">
        <f>IF(AG26&gt;=0,"OK","BELOW MIN")</f>
        <v/>
      </c>
      <c r="AH28" s="136">
        <f>IF(AH26&gt;=0,"OK","BELOW MIN")</f>
        <v/>
      </c>
      <c r="AI28" s="136">
        <f>IF(AI26&gt;=0,"OK","BELOW MIN")</f>
        <v/>
      </c>
      <c r="AJ28" s="136">
        <f>IF(AJ26&gt;=0,"OK","BELOW MIN")</f>
        <v/>
      </c>
      <c r="AK28" s="136">
        <f>IF(AK26&gt;=0,"OK","BELOW MIN")</f>
        <v/>
      </c>
    </row>
    <row r="29">
      <c r="A29" s="132" t="inlineStr">
        <is>
          <t>Live cash status</t>
        </is>
      </c>
      <c r="B29" s="136">
        <f>IF(B27&gt;=0,"OK","BELOW MIN")</f>
        <v/>
      </c>
      <c r="C29" s="136">
        <f>IF(C27&gt;=0,"OK","BELOW MIN")</f>
        <v/>
      </c>
      <c r="D29" s="136">
        <f>IF(D27&gt;=0,"OK","BELOW MIN")</f>
        <v/>
      </c>
      <c r="E29" s="136">
        <f>IF(E27&gt;=0,"OK","BELOW MIN")</f>
        <v/>
      </c>
      <c r="F29" s="136">
        <f>IF(F27&gt;=0,"OK","BELOW MIN")</f>
        <v/>
      </c>
      <c r="G29" s="136">
        <f>IF(G27&gt;=0,"OK","BELOW MIN")</f>
        <v/>
      </c>
      <c r="H29" s="136">
        <f>IF(H27&gt;=0,"OK","BELOW MIN")</f>
        <v/>
      </c>
      <c r="I29" s="136">
        <f>IF(I27&gt;=0,"OK","BELOW MIN")</f>
        <v/>
      </c>
      <c r="J29" s="136">
        <f>IF(J27&gt;=0,"OK","BELOW MIN")</f>
        <v/>
      </c>
      <c r="K29" s="136">
        <f>IF(K27&gt;=0,"OK","BELOW MIN")</f>
        <v/>
      </c>
      <c r="L29" s="136">
        <f>IF(L27&gt;=0,"OK","BELOW MIN")</f>
        <v/>
      </c>
      <c r="M29" s="136">
        <f>IF(M27&gt;=0,"OK","BELOW MIN")</f>
        <v/>
      </c>
      <c r="N29" s="136">
        <f>IF(N27&gt;=0,"OK","BELOW MIN")</f>
        <v/>
      </c>
      <c r="O29" s="136">
        <f>IF(O27&gt;=0,"OK","BELOW MIN")</f>
        <v/>
      </c>
      <c r="P29" s="136">
        <f>IF(P27&gt;=0,"OK","BELOW MIN")</f>
        <v/>
      </c>
      <c r="Q29" s="136">
        <f>IF(Q27&gt;=0,"OK","BELOW MIN")</f>
        <v/>
      </c>
      <c r="R29" s="136">
        <f>IF(R27&gt;=0,"OK","BELOW MIN")</f>
        <v/>
      </c>
      <c r="S29" s="136">
        <f>IF(S27&gt;=0,"OK","BELOW MIN")</f>
        <v/>
      </c>
      <c r="T29" s="136">
        <f>IF(T27&gt;=0,"OK","BELOW MIN")</f>
        <v/>
      </c>
      <c r="U29" s="136">
        <f>IF(U27&gt;=0,"OK","BELOW MIN")</f>
        <v/>
      </c>
      <c r="V29" s="136">
        <f>IF(V27&gt;=0,"OK","BELOW MIN")</f>
        <v/>
      </c>
      <c r="W29" s="136">
        <f>IF(W27&gt;=0,"OK","BELOW MIN")</f>
        <v/>
      </c>
      <c r="X29" s="136">
        <f>IF(X27&gt;=0,"OK","BELOW MIN")</f>
        <v/>
      </c>
      <c r="Y29" s="136">
        <f>IF(Y27&gt;=0,"OK","BELOW MIN")</f>
        <v/>
      </c>
      <c r="Z29" s="136">
        <f>IF(Z27&gt;=0,"OK","BELOW MIN")</f>
        <v/>
      </c>
      <c r="AA29" s="136">
        <f>IF(AA27&gt;=0,"OK","BELOW MIN")</f>
        <v/>
      </c>
      <c r="AB29" s="136">
        <f>IF(AB27&gt;=0,"OK","BELOW MIN")</f>
        <v/>
      </c>
      <c r="AC29" s="136">
        <f>IF(AC27&gt;=0,"OK","BELOW MIN")</f>
        <v/>
      </c>
      <c r="AD29" s="136">
        <f>IF(AD27&gt;=0,"OK","BELOW MIN")</f>
        <v/>
      </c>
      <c r="AE29" s="136">
        <f>IF(AE27&gt;=0,"OK","BELOW MIN")</f>
        <v/>
      </c>
      <c r="AF29" s="136">
        <f>IF(AF27&gt;=0,"OK","BELOW MIN")</f>
        <v/>
      </c>
      <c r="AG29" s="136">
        <f>IF(AG27&gt;=0,"OK","BELOW MIN")</f>
        <v/>
      </c>
      <c r="AH29" s="136">
        <f>IF(AH27&gt;=0,"OK","BELOW MIN")</f>
        <v/>
      </c>
      <c r="AI29" s="136">
        <f>IF(AI27&gt;=0,"OK","BELOW MIN")</f>
        <v/>
      </c>
      <c r="AJ29" s="136">
        <f>IF(AJ27&gt;=0,"OK","BELOW MIN")</f>
        <v/>
      </c>
      <c r="AK29" s="136">
        <f>IF(AK27&gt;=0,"OK","BELOW MIN")</f>
        <v/>
      </c>
    </row>
    <row r="30">
      <c r="A30" s="115" t="inlineStr">
        <is>
          <t>Note</t>
        </is>
      </c>
      <c r="B30" s="98" t="inlineStr">
        <is>
          <t>Verfügbare Liquidität = Brutto-Cash abzüglich noch nicht abgeführter Umsatzsteuer und kumulierter Ertragsteuerreserve. Steuertermine sind mit der Steuerberatung zu konkretisieren.</t>
        </is>
      </c>
    </row>
  </sheetData>
  <mergeCells count="2">
    <mergeCell ref="A1:AK1"/>
    <mergeCell ref="B30:AK30"/>
  </mergeCells>
  <conditionalFormatting sqref="B18:AK18">
    <cfRule type="containsText" priority="1" operator="containsText" dxfId="0" text="BELOW MIN"/>
    <cfRule type="containsText" priority="2" operator="containsText" dxfId="1" text="OK"/>
  </conditionalFormatting>
  <conditionalFormatting sqref="B28:AK29">
    <cfRule type="containsText" priority="3" operator="containsText" dxfId="4" text="OK"/>
    <cfRule type="containsText" priority="4" operator="containsText" dxfId="5" text="BELOW MIN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>
      <c r="A1" s="39" t="inlineStr">
        <is>
          <t>AMAVIO | Annual P&amp;L (net service revenue)</t>
        </is>
      </c>
    </row>
    <row r="2">
      <c r="A2" s="41" t="n"/>
      <c r="B2" s="41" t="n"/>
      <c r="C2" s="41" t="n"/>
      <c r="D2" s="41" t="n"/>
    </row>
    <row r="3">
      <c r="A3" s="42" t="inlineStr">
        <is>
          <t>Position</t>
        </is>
      </c>
      <c r="B3" s="42" t="inlineStr">
        <is>
          <t>Year 1</t>
        </is>
      </c>
      <c r="C3" s="42" t="inlineStr">
        <is>
          <t>Year 2</t>
        </is>
      </c>
      <c r="D3" s="42" t="inlineStr">
        <is>
          <t>Year 3</t>
        </is>
      </c>
    </row>
    <row r="4">
      <c r="A4" s="106" t="inlineStr">
        <is>
          <t>Net revenue</t>
        </is>
      </c>
      <c r="B4" s="231">
        <f>SUMIF('Contract_Cash'!$B$4:$B$27,1,'Contract_Cash'!$C$4:$C$27)</f>
        <v/>
      </c>
      <c r="C4" s="231">
        <f>SUMIF('Contract_Cash'!$B$4:$B$27,2,'Contract_Cash'!$C$4:$C$27)</f>
        <v/>
      </c>
      <c r="D4" s="231">
        <f>SUMIF('Contract_Cash'!$B$4:$B$27,3,'Contract_Cash'!$C$4:$C$27)</f>
        <v/>
      </c>
    </row>
    <row r="5">
      <c r="A5" s="106" t="inlineStr">
        <is>
          <t>Variable external costs</t>
        </is>
      </c>
      <c r="B5" s="231">
        <f>B4*'Assumptions'!B7</f>
        <v/>
      </c>
      <c r="C5" s="231">
        <f>C4*'Assumptions'!C7</f>
        <v/>
      </c>
      <c r="D5" s="231">
        <f>D4*'Assumptions'!D7</f>
        <v/>
      </c>
    </row>
    <row r="6">
      <c r="A6" s="106" t="inlineStr">
        <is>
          <t>Overhead</t>
        </is>
      </c>
      <c r="B6" s="231">
        <f>'Assumptions'!B8*12</f>
        <v/>
      </c>
      <c r="C6" s="231">
        <f>'Assumptions'!C8*12</f>
        <v/>
      </c>
      <c r="D6" s="231">
        <f>'Assumptions'!D8*12</f>
        <v/>
      </c>
    </row>
    <row r="7">
      <c r="A7" s="106" t="inlineStr">
        <is>
          <t>Founder compensation</t>
        </is>
      </c>
      <c r="B7" s="231">
        <f>'Assumptions'!B9*12</f>
        <v/>
      </c>
      <c r="C7" s="231">
        <f>'Assumptions'!C9*12</f>
        <v/>
      </c>
      <c r="D7" s="231">
        <f>'Assumptions'!D9*12</f>
        <v/>
      </c>
    </row>
    <row r="8">
      <c r="A8" s="106" t="inlineStr">
        <is>
          <t>Project coordination</t>
        </is>
      </c>
      <c r="B8" s="231">
        <f>'Assumptions'!B10*12</f>
        <v/>
      </c>
      <c r="C8" s="231">
        <f>'Assumptions'!C10*12</f>
        <v/>
      </c>
      <c r="D8" s="231">
        <f>'Assumptions'!D10*12</f>
        <v/>
      </c>
    </row>
    <row r="9">
      <c r="A9" s="106" t="inlineStr">
        <is>
          <t>EBITDA</t>
        </is>
      </c>
      <c r="B9" s="231">
        <f>B4-B5-B6-B7-B8</f>
        <v/>
      </c>
      <c r="C9" s="231">
        <f>C4-C5-C6-C7-C8</f>
        <v/>
      </c>
      <c r="D9" s="231">
        <f>D4-D5-D6-D7-D8</f>
        <v/>
      </c>
    </row>
    <row r="10">
      <c r="A10" s="106" t="inlineStr">
        <is>
          <t>Depreciation</t>
        </is>
      </c>
      <c r="B10" s="231">
        <f>'Assumptions'!B11</f>
        <v/>
      </c>
      <c r="C10" s="231">
        <f>'Assumptions'!C11</f>
        <v/>
      </c>
      <c r="D10" s="231">
        <f>'Assumptions'!D11</f>
        <v/>
      </c>
    </row>
    <row r="11">
      <c r="A11" s="106" t="inlineStr">
        <is>
          <t>EBT</t>
        </is>
      </c>
      <c r="B11" s="231">
        <f>B9-B10</f>
        <v/>
      </c>
      <c r="C11" s="231">
        <f>C9-C10</f>
        <v/>
      </c>
      <c r="D11" s="231">
        <f>D9-D10</f>
        <v/>
      </c>
    </row>
    <row r="12">
      <c r="A12" s="106" t="inlineStr">
        <is>
          <t>Tax reserve</t>
        </is>
      </c>
      <c r="B12" s="231">
        <f>MAX(0,B11*'Assumptions'!B19)</f>
        <v/>
      </c>
      <c r="C12" s="231">
        <f>MAX(0,C11*'Assumptions'!C19)</f>
        <v/>
      </c>
      <c r="D12" s="231">
        <f>MAX(0,D11*'Assumptions'!D19)</f>
        <v/>
      </c>
    </row>
    <row r="13">
      <c r="A13" s="106" t="inlineStr">
        <is>
          <t>Net income after reserve</t>
        </is>
      </c>
      <c r="B13" s="231">
        <f>B11-B12</f>
        <v/>
      </c>
      <c r="C13" s="231">
        <f>C11-C12</f>
        <v/>
      </c>
      <c r="D13" s="231">
        <f>D11-D12</f>
        <v/>
      </c>
    </row>
    <row r="14">
      <c r="A14" s="106" t="inlineStr">
        <is>
          <t>Note</t>
        </is>
      </c>
      <c r="B14" s="43" t="inlineStr">
        <is>
          <t>P&amp;L revenue is based on net contract values. The tax reserve is a planning restriction, not a tax assessment.</t>
        </is>
      </c>
      <c r="C14" s="238" t="n"/>
      <c r="D14" s="239" t="n"/>
    </row>
    <row r="15">
      <c r="A15" s="33" t="n"/>
      <c r="B15" s="33" t="n"/>
      <c r="C15" s="33" t="n"/>
      <c r="D15" s="33" t="n"/>
    </row>
  </sheetData>
  <mergeCells count="2">
    <mergeCell ref="A1:D1"/>
    <mergeCell ref="B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6" customWidth="1" min="5" max="5"/>
    <col width="31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14" t="inlineStr">
        <is>
          <t>AMAVIO | Transparente Jahres-Szenarien mit Steuerungsmaßnahmen</t>
        </is>
      </c>
    </row>
    <row r="2">
      <c r="A2" s="173" t="inlineStr">
        <is>
          <t>Umsatzfaktoren und Steuerreserve werden aus Assumptions bezogen; fixe Kosten bleiben konservativ unverändert.</t>
        </is>
      </c>
    </row>
    <row r="3">
      <c r="A3" s="99" t="inlineStr">
        <is>
          <t>Scenario</t>
        </is>
      </c>
      <c r="B3" s="99" t="inlineStr">
        <is>
          <t>Year</t>
        </is>
      </c>
      <c r="C3" s="99" t="inlineStr">
        <is>
          <t>Revenue factor</t>
        </is>
      </c>
      <c r="D3" s="99" t="inlineStr">
        <is>
          <t>Revenue</t>
        </is>
      </c>
      <c r="E3" s="99" t="inlineStr">
        <is>
          <t>Variable costs</t>
        </is>
      </c>
      <c r="F3" s="99" t="inlineStr">
        <is>
          <t>Fixed costs incl. founder/staff/depr.</t>
        </is>
      </c>
      <c r="G3" s="99" t="inlineStr">
        <is>
          <t>EBT</t>
        </is>
      </c>
      <c r="H3" s="99" t="inlineStr">
        <is>
          <t>Tax reserve</t>
        </is>
      </c>
      <c r="I3" s="99" t="inlineStr">
        <is>
          <t>Prioritäre Maßnahmen bei Eintritt</t>
        </is>
      </c>
    </row>
    <row r="4">
      <c r="A4" s="174" t="inlineStr">
        <is>
          <t>Downside</t>
        </is>
      </c>
      <c r="B4" s="175" t="n">
        <v>1</v>
      </c>
      <c r="C4" s="240">
        <f>'Assumptions'!B14</f>
        <v/>
      </c>
      <c r="D4" s="241">
        <f>'Annual_P&amp;L'!B4*C4</f>
        <v/>
      </c>
      <c r="E4" s="241">
        <f>D4*'Assumptions'!B7</f>
        <v/>
      </c>
      <c r="F4" s="241">
        <f>'Annual_P&amp;L'!B6+'Annual_P&amp;L'!B7+'Annual_P&amp;L'!B8+'Annual_P&amp;L'!B10</f>
        <v/>
      </c>
      <c r="G4" s="241">
        <f>D4-E4-F4</f>
        <v/>
      </c>
      <c r="H4" s="241">
        <f>MAX(0,G4*'Assumptions'!B19)</f>
        <v/>
      </c>
      <c r="I4" s="242" t="inlineStr">
        <is>
          <t>1. Neueinstellungen stoppen
2. GF-Bezug auf min. reduzieren
3. Externe Kosten einfrieren
4. Pipeline-ICP schärfen</t>
        </is>
      </c>
    </row>
    <row r="5">
      <c r="A5" s="179" t="inlineStr">
        <is>
          <t>Downside</t>
        </is>
      </c>
      <c r="B5" s="180" t="n">
        <v>2</v>
      </c>
      <c r="C5" s="243">
        <f>'Assumptions'!C14</f>
        <v/>
      </c>
      <c r="D5" s="244">
        <f>'Annual_P&amp;L'!C4*C5</f>
        <v/>
      </c>
      <c r="E5" s="244">
        <f>D5*'Assumptions'!C7</f>
        <v/>
      </c>
      <c r="F5" s="244">
        <f>'Annual_P&amp;L'!C6+'Annual_P&amp;L'!C7+'Annual_P&amp;L'!C8+'Annual_P&amp;L'!C10</f>
        <v/>
      </c>
      <c r="G5" s="244">
        <f>D5-E5-F5</f>
        <v/>
      </c>
      <c r="H5" s="244">
        <f>MAX(0,G5*'Assumptions'!C19)</f>
        <v/>
      </c>
      <c r="I5" s="245" t="inlineStr">
        <is>
          <t>1. Personalausbau stoppen
2. Office-Verträge prüfen
3. Scope-Reduktion bei lfd. Mandaten
4. 13-Wochen-Forecast täglich</t>
        </is>
      </c>
    </row>
    <row r="6">
      <c r="A6" s="179" t="inlineStr">
        <is>
          <t>Downside</t>
        </is>
      </c>
      <c r="B6" s="180" t="n">
        <v>3</v>
      </c>
      <c r="C6" s="243">
        <f>'Assumptions'!D14</f>
        <v/>
      </c>
      <c r="D6" s="244">
        <f>'Annual_P&amp;L'!D4*C6</f>
        <v/>
      </c>
      <c r="E6" s="244">
        <f>D6*'Assumptions'!D7</f>
        <v/>
      </c>
      <c r="F6" s="244">
        <f>'Annual_P&amp;L'!D6+'Annual_P&amp;L'!D7+'Annual_P&amp;L'!D8+'Annual_P&amp;L'!D10</f>
        <v/>
      </c>
      <c r="G6" s="244">
        <f>D6-E6-F6</f>
        <v/>
      </c>
      <c r="H6" s="244">
        <f>MAX(0,G6*'Assumptions'!D19)</f>
        <v/>
      </c>
      <c r="I6" s="245" t="inlineStr">
        <is>
          <t>1. Alle neuen Fixkosten-Bindungen stoppen
2. Objektpilot ausschließen
3. Partnernetz kostenfrei halten
4. Break-even-Reset</t>
        </is>
      </c>
    </row>
    <row r="7">
      <c r="A7" s="184" t="inlineStr">
        <is>
          <t>Base</t>
        </is>
      </c>
      <c r="B7" s="185" t="n">
        <v>1</v>
      </c>
      <c r="C7" s="246">
        <f>1</f>
        <v/>
      </c>
      <c r="D7" s="234">
        <f>'Annual_P&amp;L'!B4*C7</f>
        <v/>
      </c>
      <c r="E7" s="234">
        <f>D7*'Assumptions'!B7</f>
        <v/>
      </c>
      <c r="F7" s="234">
        <f>'Annual_P&amp;L'!B6+'Annual_P&amp;L'!B7+'Annual_P&amp;L'!B8+'Annual_P&amp;L'!B10</f>
        <v/>
      </c>
      <c r="G7" s="234">
        <f>D7-E7-F7</f>
        <v/>
      </c>
      <c r="H7" s="234">
        <f>MAX(0,G7*'Assumptions'!B19)</f>
        <v/>
      </c>
      <c r="I7" s="247" t="inlineStr">
        <is>
          <t>Basiscase: Plan einhalten, Vertriebstakt prüfen</t>
        </is>
      </c>
    </row>
    <row r="8">
      <c r="A8" s="184" t="inlineStr">
        <is>
          <t>Base</t>
        </is>
      </c>
      <c r="B8" s="185" t="n">
        <v>2</v>
      </c>
      <c r="C8" s="246">
        <f>1</f>
        <v/>
      </c>
      <c r="D8" s="234">
        <f>'Annual_P&amp;L'!C4*C8</f>
        <v/>
      </c>
      <c r="E8" s="234">
        <f>D8*'Assumptions'!C7</f>
        <v/>
      </c>
      <c r="F8" s="234">
        <f>'Annual_P&amp;L'!C6+'Annual_P&amp;L'!C7+'Annual_P&amp;L'!C8+'Annual_P&amp;L'!C10</f>
        <v/>
      </c>
      <c r="G8" s="234">
        <f>D8-E8-F8</f>
        <v/>
      </c>
      <c r="H8" s="234">
        <f>MAX(0,G8*'Assumptions'!C19)</f>
        <v/>
      </c>
      <c r="I8" s="247" t="inlineStr">
        <is>
          <t>Basiscase: Personal-Gate prüfen; 2. Ankerkunde aktiv</t>
        </is>
      </c>
    </row>
    <row r="9">
      <c r="A9" s="184" t="inlineStr">
        <is>
          <t>Base</t>
        </is>
      </c>
      <c r="B9" s="185" t="n">
        <v>3</v>
      </c>
      <c r="C9" s="246">
        <f>1</f>
        <v/>
      </c>
      <c r="D9" s="234">
        <f>'Annual_P&amp;L'!D4*C9</f>
        <v/>
      </c>
      <c r="E9" s="234">
        <f>D9*'Assumptions'!D7</f>
        <v/>
      </c>
      <c r="F9" s="234">
        <f>'Annual_P&amp;L'!D6+'Annual_P&amp;L'!D7+'Annual_P&amp;L'!D8+'Annual_P&amp;L'!D10</f>
        <v/>
      </c>
      <c r="G9" s="234">
        <f>D9-E9-F9</f>
        <v/>
      </c>
      <c r="H9" s="234">
        <f>MAX(0,G9*'Assumptions'!D19)</f>
        <v/>
      </c>
      <c r="I9" s="247" t="inlineStr">
        <is>
          <t>Basiscase: Objekt-/Produktentscheidung nach Gate</t>
        </is>
      </c>
    </row>
    <row r="10">
      <c r="A10" s="188" t="inlineStr">
        <is>
          <t>Growth</t>
        </is>
      </c>
      <c r="B10" s="189" t="n">
        <v>1</v>
      </c>
      <c r="C10" s="248">
        <f>'Assumptions'!B15</f>
        <v/>
      </c>
      <c r="D10" s="249">
        <f>'Annual_P&amp;L'!B4*C10</f>
        <v/>
      </c>
      <c r="E10" s="249">
        <f>D10*'Assumptions'!B7</f>
        <v/>
      </c>
      <c r="F10" s="249">
        <f>'Annual_P&amp;L'!B6+'Annual_P&amp;L'!B7+'Annual_P&amp;L'!B8+'Annual_P&amp;L'!B10</f>
        <v/>
      </c>
      <c r="G10" s="249">
        <f>D10-E10-F10</f>
        <v/>
      </c>
      <c r="H10" s="249">
        <f>MAX(0,G10*'Assumptions'!B19)</f>
        <v/>
      </c>
      <c r="I10" s="250" t="inlineStr">
        <is>
          <t>Growth: Delivery-Kapazität sofort prüfen; kein ungeplanter Personalaufbau</t>
        </is>
      </c>
    </row>
    <row r="11">
      <c r="A11" s="188" t="inlineStr">
        <is>
          <t>Growth</t>
        </is>
      </c>
      <c r="B11" s="189" t="n">
        <v>2</v>
      </c>
      <c r="C11" s="248">
        <f>'Assumptions'!C15</f>
        <v/>
      </c>
      <c r="D11" s="249">
        <f>'Annual_P&amp;L'!C4*C11</f>
        <v/>
      </c>
      <c r="E11" s="249">
        <f>D11*'Assumptions'!C7</f>
        <v/>
      </c>
      <c r="F11" s="249">
        <f>'Annual_P&amp;L'!C6+'Annual_P&amp;L'!C7+'Annual_P&amp;L'!C8+'Annual_P&amp;L'!C10</f>
        <v/>
      </c>
      <c r="G11" s="249">
        <f>D11-E11-F11</f>
        <v/>
      </c>
      <c r="H11" s="249">
        <f>MAX(0,G11*'Assumptions'!C19)</f>
        <v/>
      </c>
      <c r="I11" s="250" t="inlineStr">
        <is>
          <t>Growth: Zusatzkapazität vor Scope-Erweiterung sichern</t>
        </is>
      </c>
    </row>
    <row r="12">
      <c r="A12" s="188" t="inlineStr">
        <is>
          <t>Growth</t>
        </is>
      </c>
      <c r="B12" s="189" t="n">
        <v>3</v>
      </c>
      <c r="C12" s="248">
        <f>'Assumptions'!D15</f>
        <v/>
      </c>
      <c r="D12" s="249">
        <f>'Annual_P&amp;L'!D4*C12</f>
        <v/>
      </c>
      <c r="E12" s="249">
        <f>D12*'Assumptions'!D7</f>
        <v/>
      </c>
      <c r="F12" s="249">
        <f>'Annual_P&amp;L'!D6+'Annual_P&amp;L'!D7+'Annual_P&amp;L'!D8+'Annual_P&amp;L'!D10</f>
        <v/>
      </c>
      <c r="G12" s="249">
        <f>D12-E12-F12</f>
        <v/>
      </c>
      <c r="H12" s="249">
        <f>MAX(0,G12*'Assumptions'!D19)</f>
        <v/>
      </c>
      <c r="I12" s="250" t="inlineStr">
        <is>
          <t>Growth: Investitionsentscheidung mit separatem Business Case</t>
        </is>
      </c>
    </row>
    <row r="13">
      <c r="A13" s="27" t="n"/>
      <c r="B13" s="27" t="n"/>
      <c r="C13" s="27" t="n"/>
      <c r="D13" s="27" t="n"/>
      <c r="E13" s="27" t="n"/>
      <c r="F13" s="27" t="n"/>
    </row>
    <row r="14">
      <c r="A14" s="27" t="n"/>
      <c r="B14" s="27" t="n"/>
      <c r="C14" s="27" t="n"/>
      <c r="D14" s="27" t="n"/>
      <c r="E14" s="27" t="n"/>
      <c r="F14" s="27" t="n"/>
    </row>
    <row r="15">
      <c r="A15" s="27" t="n"/>
      <c r="B15" s="27" t="n"/>
      <c r="C15" s="27" t="n"/>
      <c r="D15" s="27" t="n"/>
      <c r="E15" s="27" t="n"/>
      <c r="F15" s="27" t="n"/>
    </row>
  </sheetData>
  <mergeCells count="3">
    <mergeCell ref="A1:I1"/>
    <mergeCell ref="A1:F1"/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40" customWidth="1" min="6" max="6"/>
  </cols>
  <sheetData>
    <row r="1" ht="28" customHeight="1">
      <c r="A1" s="114" t="inlineStr">
        <is>
          <t>AMAVIO | Modellchecks und Freigabestatus</t>
        </is>
      </c>
    </row>
    <row r="2">
      <c r="A2" s="173" t="inlineStr">
        <is>
          <t>PASS setzt fehlerfreie Formeln sowie dokumentierte Startfinanzierung voraus; andernfalls bleibt das Modell CONDITIONAL.</t>
        </is>
      </c>
    </row>
    <row r="3">
      <c r="A3" s="99" t="inlineStr">
        <is>
          <t>Check</t>
        </is>
      </c>
      <c r="B3" s="99" t="inlineStr">
        <is>
          <t>Actual</t>
        </is>
      </c>
      <c r="C3" s="99" t="inlineStr">
        <is>
          <t>Expected</t>
        </is>
      </c>
      <c r="D3" s="99" t="inlineStr">
        <is>
          <t>Difference</t>
        </is>
      </c>
      <c r="E3" s="99" t="inlineStr">
        <is>
          <t>Status</t>
        </is>
      </c>
      <c r="F3" s="99" t="inlineStr">
        <is>
          <t>Note</t>
        </is>
      </c>
    </row>
    <row r="4">
      <c r="A4" s="200" t="inlineStr">
        <is>
          <t>Y1 revenue</t>
        </is>
      </c>
      <c r="B4" s="251">
        <f>'Annual_P&amp;L'!B4</f>
        <v/>
      </c>
      <c r="C4" s="251" t="n">
        <v>93500</v>
      </c>
      <c r="D4" s="251">
        <f>B4-C4</f>
        <v/>
      </c>
      <c r="E4" s="202">
        <f>IF(ABS(D4)&lt;0.01,"OK","FAIL")</f>
        <v/>
      </c>
      <c r="F4" s="210" t="inlineStr">
        <is>
          <t>Contract values</t>
        </is>
      </c>
    </row>
    <row r="5">
      <c r="A5" s="204" t="inlineStr">
        <is>
          <t>Y2 revenue</t>
        </is>
      </c>
      <c r="B5" s="233">
        <f>'Annual_P&amp;L'!C4</f>
        <v/>
      </c>
      <c r="C5" s="233" t="n">
        <v>269000</v>
      </c>
      <c r="D5" s="233">
        <f>B5-C5</f>
        <v/>
      </c>
      <c r="E5" s="79">
        <f>IF(ABS(D5)&lt;0.01,"OK","FAIL")</f>
        <v/>
      </c>
      <c r="F5" s="211" t="inlineStr">
        <is>
          <t>Contract values</t>
        </is>
      </c>
    </row>
    <row r="6">
      <c r="A6" s="204" t="inlineStr">
        <is>
          <t>Y3 revenue</t>
        </is>
      </c>
      <c r="B6" s="233">
        <f>'Annual_P&amp;L'!D4</f>
        <v/>
      </c>
      <c r="C6" s="233" t="n">
        <v>442000</v>
      </c>
      <c r="D6" s="233">
        <f>B6-C6</f>
        <v/>
      </c>
      <c r="E6" s="79">
        <f>IF(ABS(D6)&lt;0.01,"OK","FAIL")</f>
        <v/>
      </c>
      <c r="F6" s="211" t="inlineStr">
        <is>
          <t>Contract values</t>
        </is>
      </c>
    </row>
    <row r="7">
      <c r="A7" s="204" t="inlineStr">
        <is>
          <t>Contract schedule total</t>
        </is>
      </c>
      <c r="B7" s="233">
        <f>SUM('Contract_Cash'!E28:AN28)</f>
        <v/>
      </c>
      <c r="C7" s="233">
        <f>'Contract_Cash'!C28</f>
        <v/>
      </c>
      <c r="D7" s="233">
        <f>B7-C7</f>
        <v/>
      </c>
      <c r="E7" s="79">
        <f>IF(ABS(D7)&lt;0.01,"OK","FAIL")</f>
        <v/>
      </c>
      <c r="F7" s="211" t="inlineStr">
        <is>
          <t>Every instalment schedule ties to contract value</t>
        </is>
      </c>
    </row>
    <row r="8">
      <c r="A8" s="204" t="inlineStr">
        <is>
          <t>Office Setup schedule</t>
        </is>
      </c>
      <c r="B8" s="233">
        <f>SUM('Contract_Cash'!E7:AN7)+SUM('Contract_Cash'!E15:AN15)+SUM('Contract_Cash'!E24:AN25)</f>
        <v/>
      </c>
      <c r="C8" s="233">
        <f>'Contract_Cash'!C7+'Contract_Cash'!C15+'Contract_Cash'!C24+'Contract_Cash'!C25</f>
        <v/>
      </c>
      <c r="D8" s="233">
        <f>B8-C8</f>
        <v/>
      </c>
      <c r="E8" s="79">
        <f>IF(ABS(D8)&lt;0.01,"OK","FAIL")</f>
        <v/>
      </c>
      <c r="F8" s="211" t="inlineStr">
        <is>
          <t>50/30/20 for all Office Setup contracts</t>
        </is>
      </c>
    </row>
    <row r="9">
      <c r="A9" s="204" t="inlineStr">
        <is>
          <t>Planned funding applied</t>
        </is>
      </c>
      <c r="B9" s="233">
        <f>'Monthly_Cash'!B14</f>
        <v/>
      </c>
      <c r="C9" s="233">
        <f>'Assumptions'!B4</f>
        <v/>
      </c>
      <c r="D9" s="233">
        <f>B9-C9</f>
        <v/>
      </c>
      <c r="E9" s="79">
        <f>IF(ABS(D9)&lt;0.01,"OK","FAIL")</f>
        <v/>
      </c>
      <c r="F9" s="211" t="inlineStr">
        <is>
          <t>Plan view</t>
        </is>
      </c>
    </row>
    <row r="10">
      <c r="A10" s="204" t="inlineStr">
        <is>
          <t>Received funding applied</t>
        </is>
      </c>
      <c r="B10" s="233">
        <f>'Monthly_Cash'!B15</f>
        <v/>
      </c>
      <c r="C10" s="233">
        <f>'Assumptions'!B5</f>
        <v/>
      </c>
      <c r="D10" s="233">
        <f>B10-C10</f>
        <v/>
      </c>
      <c r="E10" s="79">
        <f>IF(ABS(D10)&lt;0.01,"OK","FAIL")</f>
        <v/>
      </c>
      <c r="F10" s="211" t="inlineStr">
        <is>
          <t>Live view</t>
        </is>
      </c>
    </row>
    <row r="11">
      <c r="A11" s="204" t="inlineStr">
        <is>
          <t>Standard day rate</t>
        </is>
      </c>
      <c r="B11" s="233">
        <f>'Assumptions'!B17</f>
        <v/>
      </c>
      <c r="C11" s="233" t="n">
        <v>900</v>
      </c>
      <c r="D11" s="233">
        <f>B11-C11</f>
        <v/>
      </c>
      <c r="E11" s="79">
        <f>IF(ABS(D11)&lt;0.01,"OK","FAIL")</f>
        <v/>
      </c>
      <c r="F11" s="211" t="inlineStr">
        <is>
          <t>Accepted master baseline</t>
        </is>
      </c>
    </row>
    <row r="12">
      <c r="A12" s="204" t="inlineStr">
        <is>
          <t>Downside factor</t>
        </is>
      </c>
      <c r="B12" s="252">
        <f>'Scenarios'!C4</f>
        <v/>
      </c>
      <c r="C12" s="252">
        <f>'Assumptions'!B14</f>
        <v/>
      </c>
      <c r="D12" s="252">
        <f>B12-C12</f>
        <v/>
      </c>
      <c r="E12" s="79">
        <f>IF(ABS(D12)&lt;0.0001,"OK","FAIL")</f>
        <v/>
      </c>
      <c r="F12" s="211" t="inlineStr">
        <is>
          <t>No embedded factor</t>
        </is>
      </c>
    </row>
    <row r="13">
      <c r="A13" s="204" t="inlineStr">
        <is>
          <t>Growth factor</t>
        </is>
      </c>
      <c r="B13" s="252">
        <f>'Scenarios'!C10</f>
        <v/>
      </c>
      <c r="C13" s="252">
        <f>'Assumptions'!B15</f>
        <v/>
      </c>
      <c r="D13" s="252">
        <f>B13-C13</f>
        <v/>
      </c>
      <c r="E13" s="79">
        <f>IF(ABS(D13)&lt;0.0001,"OK","FAIL")</f>
        <v/>
      </c>
      <c r="F13" s="211" t="inlineStr">
        <is>
          <t>No embedded factor</t>
        </is>
      </c>
    </row>
    <row r="14">
      <c r="A14" s="204" t="inlineStr">
        <is>
          <t>Tax reserve link</t>
        </is>
      </c>
      <c r="B14" s="233">
        <f>'Annual_P&amp;L'!B12</f>
        <v/>
      </c>
      <c r="C14" s="233">
        <f>'Annual_P&amp;L'!B11*'Assumptions'!B19</f>
        <v/>
      </c>
      <c r="D14" s="233">
        <f>B14-C14</f>
        <v/>
      </c>
      <c r="E14" s="79">
        <f>IF(ABS(D14)&lt;0.01,"OK","FAIL")</f>
        <v/>
      </c>
      <c r="F14" s="211" t="inlineStr">
        <is>
          <t>Planning reserve</t>
        </is>
      </c>
    </row>
    <row r="15">
      <c r="A15" s="204" t="inlineStr">
        <is>
          <t>Plan cash roll-forward</t>
        </is>
      </c>
      <c r="B15" s="233">
        <f>'Monthly_Cash'!AK17</f>
        <v/>
      </c>
      <c r="C15" s="233">
        <f>SUM('Monthly_Cash'!B13:AK13)+'Assumptions'!B4</f>
        <v/>
      </c>
      <c r="D15" s="233">
        <f>ROUND(B15-C15,4)</f>
        <v/>
      </c>
      <c r="E15" s="79">
        <f>IF(ABS(D15)&lt;0.01,"OK","FAIL")</f>
        <v/>
      </c>
      <c r="F15" s="211" t="inlineStr">
        <is>
          <t>Closing cash</t>
        </is>
      </c>
    </row>
    <row r="16">
      <c r="A16" s="204" t="inlineStr">
        <is>
          <t>Live cash roll-forward</t>
        </is>
      </c>
      <c r="B16" s="233">
        <f>'Monthly_Cash'!AK19</f>
        <v/>
      </c>
      <c r="C16" s="233">
        <f>SUM('Monthly_Cash'!B13:AK13)+'Assumptions'!B5</f>
        <v/>
      </c>
      <c r="D16" s="233">
        <f>ROUND(B16-C16,4)</f>
        <v/>
      </c>
      <c r="E16" s="79">
        <f>IF(ABS(D16)&lt;0.01,"OK","FAIL")</f>
        <v/>
      </c>
      <c r="F16" s="211" t="inlineStr">
        <is>
          <t>Closing cash</t>
        </is>
      </c>
    </row>
    <row r="17">
      <c r="A17" s="204" t="inlineStr">
        <is>
          <t>Formula error scan</t>
        </is>
      </c>
      <c r="B17" s="79" t="n">
        <v>0</v>
      </c>
      <c r="C17" s="79" t="n">
        <v>0</v>
      </c>
      <c r="D17" s="79">
        <f>B17-C17</f>
        <v/>
      </c>
      <c r="E17" s="79">
        <f>IF(D17=0,"OK","FAIL")</f>
        <v/>
      </c>
      <c r="F17" s="211" t="inlineStr">
        <is>
          <t>Final external scan required</t>
        </is>
      </c>
    </row>
    <row r="18">
      <c r="A18" s="207" t="inlineStr">
        <is>
          <t>Model release</t>
        </is>
      </c>
      <c r="B18" s="208">
        <f>IF(COUNTIF(E4:E17,"FAIL")&gt;0,"FAIL",IF('Assumptions'!B5&gt;0,"PASS","CONDITIONAL"))</f>
        <v/>
      </c>
      <c r="C18" s="208" t="inlineStr">
        <is>
          <t>PASS</t>
        </is>
      </c>
      <c r="D18" s="208">
        <f>IF(B18=C18,0,1)</f>
        <v/>
      </c>
      <c r="E18" s="208">
        <f>B18</f>
        <v/>
      </c>
      <c r="F18" s="212" t="inlineStr">
        <is>
          <t>Documented received funding remains the live-use gate</t>
        </is>
      </c>
    </row>
  </sheetData>
  <mergeCells count="2">
    <mergeCell ref="A2:F2"/>
    <mergeCell ref="A1:F1"/>
  </mergeCells>
  <conditionalFormatting sqref="E4:E13">
    <cfRule type="containsText" priority="1" operator="containsText" dxfId="1" text="OK"/>
    <cfRule type="containsText" priority="2" operator="containsText" dxfId="0" text="FAIL"/>
  </conditionalFormatting>
  <conditionalFormatting sqref="E4:E18">
    <cfRule type="containsText" priority="3" operator="containsText" dxfId="4" text="OK"/>
    <cfRule type="containsText" priority="4" operator="containsText" dxfId="7" text="PASS"/>
    <cfRule type="containsText" priority="5" operator="containsText" dxfId="8" text="FAIL"/>
    <cfRule type="containsText" priority="6" operator="containsText" dxfId="9" text="CONDITIONAL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7" customWidth="1" min="3" max="3"/>
    <col width="16" customWidth="1" min="4" max="4"/>
    <col width="16" customWidth="1" min="5" max="5"/>
    <col width="30" customWidth="1" min="6" max="6"/>
  </cols>
  <sheetData>
    <row r="1" ht="28" customHeight="1">
      <c r="A1" s="97" t="inlineStr">
        <is>
          <t>AMAVIO | Zahlungssteuerung – Timing und Profil</t>
        </is>
      </c>
    </row>
    <row r="2">
      <c r="A2" s="98" t="inlineStr">
        <is>
          <t>Blaue Zellen steuern Startmonat, Zahlungsprofil, Anzahl und Intervall. Vertragswerte bleiben im Sheet Contract_Cash.</t>
        </is>
      </c>
    </row>
    <row r="3">
      <c r="A3" s="99" t="inlineStr">
        <is>
          <t>Contract / package</t>
        </is>
      </c>
      <c r="B3" s="99" t="inlineStr">
        <is>
          <t>Start month</t>
        </is>
      </c>
      <c r="C3" s="99" t="inlineStr">
        <is>
          <t>Profile</t>
        </is>
      </c>
      <c r="D3" s="99" t="inlineStr">
        <is>
          <t>Payment count</t>
        </is>
      </c>
      <c r="E3" s="99" t="inlineStr">
        <is>
          <t>Interval (months)</t>
        </is>
      </c>
      <c r="F3" s="99" t="inlineStr">
        <is>
          <t>Control note</t>
        </is>
      </c>
    </row>
    <row r="4">
      <c r="A4" s="100" t="inlineStr">
        <is>
          <t>Blueprint 01</t>
        </is>
      </c>
      <c r="B4" s="253" t="n">
        <v>3</v>
      </c>
      <c r="C4" s="102" t="inlineStr">
        <is>
          <t>Blueprint</t>
        </is>
      </c>
      <c r="D4" s="253" t="n">
        <v>3</v>
      </c>
      <c r="E4" s="253" t="n">
        <v>1</v>
      </c>
      <c r="F4" s="81" t="inlineStr">
        <is>
          <t>40/40/20</t>
        </is>
      </c>
    </row>
    <row r="5">
      <c r="A5" s="103" t="inlineStr">
        <is>
          <t>Blueprint 02</t>
        </is>
      </c>
      <c r="B5" s="254" t="n">
        <v>6</v>
      </c>
      <c r="C5" s="105" t="inlineStr">
        <is>
          <t>Blueprint</t>
        </is>
      </c>
      <c r="D5" s="254" t="n">
        <v>3</v>
      </c>
      <c r="E5" s="254" t="n">
        <v>1</v>
      </c>
      <c r="F5" s="83" t="inlineStr">
        <is>
          <t>40/40/20</t>
        </is>
      </c>
    </row>
    <row r="6">
      <c r="A6" s="103" t="inlineStr">
        <is>
          <t>Launch 01</t>
        </is>
      </c>
      <c r="B6" s="254" t="n">
        <v>7</v>
      </c>
      <c r="C6" s="105" t="inlineStr">
        <is>
          <t>Launch</t>
        </is>
      </c>
      <c r="D6" s="254" t="n">
        <v>4</v>
      </c>
      <c r="E6" s="254" t="n">
        <v>1</v>
      </c>
      <c r="F6" s="83" t="inlineStr">
        <is>
          <t>30/30/30/10</t>
        </is>
      </c>
    </row>
    <row r="7">
      <c r="A7" s="103" t="inlineStr">
        <is>
          <t>Office Setup 01</t>
        </is>
      </c>
      <c r="B7" s="254" t="n">
        <v>10</v>
      </c>
      <c r="C7" s="105" t="inlineStr">
        <is>
          <t>Office Setup</t>
        </is>
      </c>
      <c r="D7" s="254" t="n">
        <v>3</v>
      </c>
      <c r="E7" s="254" t="n">
        <v>1</v>
      </c>
      <c r="F7" s="83" t="inlineStr">
        <is>
          <t>50/30/20</t>
        </is>
      </c>
    </row>
    <row r="8">
      <c r="A8" s="103" t="inlineStr">
        <is>
          <t>Retainer 01</t>
        </is>
      </c>
      <c r="B8" s="254" t="n">
        <v>10</v>
      </c>
      <c r="C8" s="105" t="inlineStr">
        <is>
          <t>Monthly</t>
        </is>
      </c>
      <c r="D8" s="254" t="n">
        <v>3</v>
      </c>
      <c r="E8" s="254" t="n">
        <v>1</v>
      </c>
      <c r="F8" s="83" t="inlineStr">
        <is>
          <t>3 months in advance</t>
        </is>
      </c>
    </row>
    <row r="9">
      <c r="A9" s="103" t="inlineStr">
        <is>
          <t>Add-ons 01</t>
        </is>
      </c>
      <c r="B9" s="254" t="n">
        <v>10</v>
      </c>
      <c r="C9" s="105" t="inlineStr">
        <is>
          <t>Periodic</t>
        </is>
      </c>
      <c r="D9" s="254" t="n">
        <v>3</v>
      </c>
      <c r="E9" s="254" t="n">
        <v>1</v>
      </c>
      <c r="F9" s="83" t="inlineStr">
        <is>
          <t>3 equal monthly amounts</t>
        </is>
      </c>
    </row>
    <row r="10">
      <c r="A10" s="103" t="inlineStr">
        <is>
          <t>Blueprint 03</t>
        </is>
      </c>
      <c r="B10" s="254" t="n">
        <v>13</v>
      </c>
      <c r="C10" s="105" t="inlineStr">
        <is>
          <t>Blueprint</t>
        </is>
      </c>
      <c r="D10" s="254" t="n">
        <v>3</v>
      </c>
      <c r="E10" s="254" t="n">
        <v>1</v>
      </c>
      <c r="F10" s="83" t="inlineStr">
        <is>
          <t>40/40/20</t>
        </is>
      </c>
    </row>
    <row r="11">
      <c r="A11" s="103" t="inlineStr">
        <is>
          <t>Blueprint 04</t>
        </is>
      </c>
      <c r="B11" s="254" t="n">
        <v>16</v>
      </c>
      <c r="C11" s="105" t="inlineStr">
        <is>
          <t>Blueprint</t>
        </is>
      </c>
      <c r="D11" s="254" t="n">
        <v>3</v>
      </c>
      <c r="E11" s="254" t="n">
        <v>1</v>
      </c>
      <c r="F11" s="83" t="inlineStr">
        <is>
          <t>40/40/20</t>
        </is>
      </c>
    </row>
    <row r="12">
      <c r="A12" s="103" t="inlineStr">
        <is>
          <t>Blueprint 05</t>
        </is>
      </c>
      <c r="B12" s="254" t="n">
        <v>19</v>
      </c>
      <c r="C12" s="105" t="inlineStr">
        <is>
          <t>Blueprint</t>
        </is>
      </c>
      <c r="D12" s="254" t="n">
        <v>3</v>
      </c>
      <c r="E12" s="254" t="n">
        <v>1</v>
      </c>
      <c r="F12" s="83" t="inlineStr">
        <is>
          <t>40/40/20</t>
        </is>
      </c>
    </row>
    <row r="13">
      <c r="A13" s="103" t="inlineStr">
        <is>
          <t>Launch 02</t>
        </is>
      </c>
      <c r="B13" s="254" t="n">
        <v>14</v>
      </c>
      <c r="C13" s="105" t="inlineStr">
        <is>
          <t>Launch</t>
        </is>
      </c>
      <c r="D13" s="254" t="n">
        <v>4</v>
      </c>
      <c r="E13" s="254" t="n">
        <v>1</v>
      </c>
      <c r="F13" s="83" t="inlineStr">
        <is>
          <t>30/30/30/10</t>
        </is>
      </c>
    </row>
    <row r="14">
      <c r="A14" s="103" t="inlineStr">
        <is>
          <t>Launch 03</t>
        </is>
      </c>
      <c r="B14" s="254" t="n">
        <v>18</v>
      </c>
      <c r="C14" s="105" t="inlineStr">
        <is>
          <t>Launch</t>
        </is>
      </c>
      <c r="D14" s="254" t="n">
        <v>4</v>
      </c>
      <c r="E14" s="254" t="n">
        <v>1</v>
      </c>
      <c r="F14" s="83" t="inlineStr">
        <is>
          <t>30/30/30/10</t>
        </is>
      </c>
    </row>
    <row r="15">
      <c r="A15" s="103" t="inlineStr">
        <is>
          <t>Office Setup 02</t>
        </is>
      </c>
      <c r="B15" s="254" t="n">
        <v>18</v>
      </c>
      <c r="C15" s="105" t="inlineStr">
        <is>
          <t>Office Setup</t>
        </is>
      </c>
      <c r="D15" s="254" t="n">
        <v>3</v>
      </c>
      <c r="E15" s="254" t="n">
        <v>1</v>
      </c>
      <c r="F15" s="83" t="inlineStr">
        <is>
          <t>50/30/20</t>
        </is>
      </c>
    </row>
    <row r="16">
      <c r="A16" s="103" t="inlineStr">
        <is>
          <t>Retainer 02</t>
        </is>
      </c>
      <c r="B16" s="254" t="n">
        <v>13</v>
      </c>
      <c r="C16" s="105" t="inlineStr">
        <is>
          <t>Monthly</t>
        </is>
      </c>
      <c r="D16" s="254" t="n">
        <v>12</v>
      </c>
      <c r="E16" s="254" t="n">
        <v>1</v>
      </c>
      <c r="F16" s="83" t="inlineStr">
        <is>
          <t>12 months in advance</t>
        </is>
      </c>
    </row>
    <row r="17">
      <c r="A17" s="103" t="inlineStr">
        <is>
          <t>Add-ons 02</t>
        </is>
      </c>
      <c r="B17" s="254" t="n">
        <v>17</v>
      </c>
      <c r="C17" s="105" t="inlineStr">
        <is>
          <t>Periodic</t>
        </is>
      </c>
      <c r="D17" s="254" t="n">
        <v>3</v>
      </c>
      <c r="E17" s="254" t="n">
        <v>3</v>
      </c>
      <c r="F17" s="83" t="inlineStr">
        <is>
          <t>3 equal amounts, quarterly</t>
        </is>
      </c>
    </row>
    <row r="18">
      <c r="A18" s="103" t="inlineStr">
        <is>
          <t>Blueprint 06</t>
        </is>
      </c>
      <c r="B18" s="254" t="n">
        <v>25</v>
      </c>
      <c r="C18" s="105" t="inlineStr">
        <is>
          <t>Blueprint</t>
        </is>
      </c>
      <c r="D18" s="254" t="n">
        <v>3</v>
      </c>
      <c r="E18" s="254" t="n">
        <v>1</v>
      </c>
      <c r="F18" s="83" t="inlineStr">
        <is>
          <t>40/40/20</t>
        </is>
      </c>
    </row>
    <row r="19">
      <c r="A19" s="103" t="inlineStr">
        <is>
          <t>Blueprint 07</t>
        </is>
      </c>
      <c r="B19" s="254" t="n">
        <v>27</v>
      </c>
      <c r="C19" s="105" t="inlineStr">
        <is>
          <t>Blueprint</t>
        </is>
      </c>
      <c r="D19" s="254" t="n">
        <v>3</v>
      </c>
      <c r="E19" s="254" t="n">
        <v>1</v>
      </c>
      <c r="F19" s="83" t="inlineStr">
        <is>
          <t>40/40/20</t>
        </is>
      </c>
    </row>
    <row r="20">
      <c r="A20" s="103" t="inlineStr">
        <is>
          <t>Blueprint 08</t>
        </is>
      </c>
      <c r="B20" s="254" t="n">
        <v>29</v>
      </c>
      <c r="C20" s="105" t="inlineStr">
        <is>
          <t>Blueprint</t>
        </is>
      </c>
      <c r="D20" s="254" t="n">
        <v>3</v>
      </c>
      <c r="E20" s="254" t="n">
        <v>1</v>
      </c>
      <c r="F20" s="83" t="inlineStr">
        <is>
          <t>40/40/20</t>
        </is>
      </c>
    </row>
    <row r="21">
      <c r="A21" s="103" t="inlineStr">
        <is>
          <t>Blueprint 09</t>
        </is>
      </c>
      <c r="B21" s="254" t="n">
        <v>31</v>
      </c>
      <c r="C21" s="105" t="inlineStr">
        <is>
          <t>Blueprint</t>
        </is>
      </c>
      <c r="D21" s="254" t="n">
        <v>3</v>
      </c>
      <c r="E21" s="254" t="n">
        <v>1</v>
      </c>
      <c r="F21" s="83" t="inlineStr">
        <is>
          <t>40/40/20</t>
        </is>
      </c>
    </row>
    <row r="22">
      <c r="A22" s="103" t="inlineStr">
        <is>
          <t>Launch 04</t>
        </is>
      </c>
      <c r="B22" s="254" t="n">
        <v>25</v>
      </c>
      <c r="C22" s="105" t="inlineStr">
        <is>
          <t>Launch</t>
        </is>
      </c>
      <c r="D22" s="254" t="n">
        <v>4</v>
      </c>
      <c r="E22" s="254" t="n">
        <v>1</v>
      </c>
      <c r="F22" s="83" t="inlineStr">
        <is>
          <t>30/30/30/10</t>
        </is>
      </c>
    </row>
    <row r="23">
      <c r="A23" s="103" t="inlineStr">
        <is>
          <t>Launch 05</t>
        </is>
      </c>
      <c r="B23" s="254" t="n">
        <v>30</v>
      </c>
      <c r="C23" s="105" t="inlineStr">
        <is>
          <t>Launch</t>
        </is>
      </c>
      <c r="D23" s="254" t="n">
        <v>4</v>
      </c>
      <c r="E23" s="254" t="n">
        <v>1</v>
      </c>
      <c r="F23" s="83" t="inlineStr">
        <is>
          <t>30/30/30/10</t>
        </is>
      </c>
    </row>
    <row r="24">
      <c r="A24" s="103" t="inlineStr">
        <is>
          <t>Office Setup 03</t>
        </is>
      </c>
      <c r="B24" s="254" t="n">
        <v>27</v>
      </c>
      <c r="C24" s="105" t="inlineStr">
        <is>
          <t>Office Setup</t>
        </is>
      </c>
      <c r="D24" s="254" t="n">
        <v>3</v>
      </c>
      <c r="E24" s="254" t="n">
        <v>1</v>
      </c>
      <c r="F24" s="83" t="inlineStr">
        <is>
          <t>50/30/20</t>
        </is>
      </c>
    </row>
    <row r="25">
      <c r="A25" s="103" t="inlineStr">
        <is>
          <t>Office Setup 04</t>
        </is>
      </c>
      <c r="B25" s="254" t="n">
        <v>32</v>
      </c>
      <c r="C25" s="105" t="inlineStr">
        <is>
          <t>Office Setup</t>
        </is>
      </c>
      <c r="D25" s="254" t="n">
        <v>3</v>
      </c>
      <c r="E25" s="254" t="n">
        <v>1</v>
      </c>
      <c r="F25" s="83" t="inlineStr">
        <is>
          <t>50/30/20</t>
        </is>
      </c>
    </row>
    <row r="26">
      <c r="A26" s="103" t="inlineStr">
        <is>
          <t>Retainer 03</t>
        </is>
      </c>
      <c r="B26" s="254" t="n">
        <v>25</v>
      </c>
      <c r="C26" s="105" t="inlineStr">
        <is>
          <t>Monthly</t>
        </is>
      </c>
      <c r="D26" s="254" t="n">
        <v>12</v>
      </c>
      <c r="E26" s="254" t="n">
        <v>1</v>
      </c>
      <c r="F26" s="83" t="inlineStr">
        <is>
          <t>12 months in advance</t>
        </is>
      </c>
    </row>
    <row r="27">
      <c r="A27" s="103" t="inlineStr">
        <is>
          <t>Add-ons 03</t>
        </is>
      </c>
      <c r="B27" s="254" t="n">
        <v>25</v>
      </c>
      <c r="C27" s="105" t="inlineStr">
        <is>
          <t>Periodic</t>
        </is>
      </c>
      <c r="D27" s="254" t="n">
        <v>12</v>
      </c>
      <c r="E27" s="254" t="n">
        <v>1</v>
      </c>
      <c r="F27" s="83" t="inlineStr">
        <is>
          <t>12 equal monthly amounts</t>
        </is>
      </c>
    </row>
  </sheetData>
  <mergeCells count="2">
    <mergeCell ref="A2:F2"/>
    <mergeCell ref="A1:F1"/>
  </mergeCells>
  <dataValidations count="3">
    <dataValidation sqref="B4:B27" showDropDown="0" showInputMessage="0" showErrorMessage="0" allowBlank="0" type="whole" operator="between">
      <formula1>1</formula1>
      <formula2>36</formula2>
    </dataValidation>
    <dataValidation sqref="C4:C27" showDropDown="0" showInputMessage="0" showErrorMessage="0" allowBlank="0" type="list">
      <formula1>"Blueprint,Launch,Office Setup,Monthly,Periodic"</formula1>
    </dataValidation>
    <dataValidation sqref="D4:E27" showDropDown="0" showInputMessage="0" showErrorMessage="0" allowBlank="0" type="whole" operator="between">
      <formula1>1</formula1>
      <formula2>36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0" customWidth="1" min="4" max="4"/>
    <col width="42" customWidth="1" min="5" max="5"/>
    <col width="40" customWidth="1" min="6" max="6"/>
  </cols>
  <sheetData>
    <row r="1" ht="28" customHeight="1">
      <c r="A1" s="97" t="inlineStr">
        <is>
          <t>AMAVIO | Quellen- und Annahmenprotokoll</t>
        </is>
      </c>
    </row>
    <row r="2">
      <c r="A2" s="115" t="n"/>
      <c r="B2" s="115" t="n"/>
      <c r="C2" s="115" t="n"/>
      <c r="D2" s="115" t="n"/>
      <c r="E2" s="115" t="n"/>
      <c r="F2" s="115" t="n"/>
    </row>
    <row r="3">
      <c r="A3" s="99" t="inlineStr">
        <is>
          <t>Item</t>
        </is>
      </c>
      <c r="B3" s="99" t="inlineStr">
        <is>
          <t>Value / purpose</t>
        </is>
      </c>
      <c r="C3" s="99" t="inlineStr">
        <is>
          <t>Units / period</t>
        </is>
      </c>
      <c r="D3" s="99" t="inlineStr">
        <is>
          <t>Source type</t>
        </is>
      </c>
      <c r="E3" s="99" t="inlineStr">
        <is>
          <t>Source / reference</t>
        </is>
      </c>
      <c r="F3" s="99" t="inlineStr">
        <is>
          <t>Notes</t>
        </is>
      </c>
    </row>
    <row r="4">
      <c r="A4" s="100" t="inlineStr">
        <is>
          <t>Plan revenue</t>
        </is>
      </c>
      <c r="B4" s="73" t="inlineStr">
        <is>
          <t>93,500 / 269,000 / 442,000</t>
        </is>
      </c>
      <c r="C4" s="73" t="inlineStr">
        <is>
          <t>EUR / Plan years 1–3</t>
        </is>
      </c>
      <c r="D4" s="73" t="inlineStr">
        <is>
          <t>Internal baseline</t>
        </is>
      </c>
      <c r="E4" s="213" t="inlineStr">
        <is>
          <t>Businessplan Kernfassung v1.7, chapter 9</t>
        </is>
      </c>
      <c r="F4" s="81" t="inlineStr">
        <is>
          <t>Accepted master baseline</t>
        </is>
      </c>
    </row>
    <row r="5">
      <c r="A5" s="103" t="inlineStr">
        <is>
          <t>Launch 01</t>
        </is>
      </c>
      <c r="B5" s="233" t="n">
        <v>29500</v>
      </c>
      <c r="C5" s="79" t="inlineStr">
        <is>
          <t>EUR net</t>
        </is>
      </c>
      <c r="D5" s="79" t="inlineStr">
        <is>
          <t>Internal baseline</t>
        </is>
      </c>
      <c r="E5" s="214" t="inlineStr">
        <is>
          <t>Businessplan v1.7; P0 Commercial Architecture</t>
        </is>
      </c>
      <c r="F5" s="83" t="inlineStr">
        <is>
          <t>29,500 EUR is the binding Launch baseline; no reduced Launch price is used in the model</t>
        </is>
      </c>
    </row>
    <row r="6">
      <c r="A6" s="103" t="inlineStr">
        <is>
          <t>Standard day rate</t>
        </is>
      </c>
      <c r="B6" s="233" t="n">
        <v>900</v>
      </c>
      <c r="C6" s="79" t="inlineStr">
        <is>
          <t>EUR/day</t>
        </is>
      </c>
      <c r="D6" s="79" t="inlineStr">
        <is>
          <t>Internal calibration</t>
        </is>
      </c>
      <c r="E6" s="214" t="inlineStr">
        <is>
          <t>Businessplan v1.7, chapters 1 and 8</t>
        </is>
      </c>
      <c r="F6" s="83" t="inlineStr">
        <is>
          <t>Not a market statistic</t>
        </is>
      </c>
    </row>
    <row r="7">
      <c r="A7" s="103" t="inlineStr">
        <is>
          <t>Office Setup payment</t>
        </is>
      </c>
      <c r="B7" s="79" t="inlineStr">
        <is>
          <t>50 / 30 / 20</t>
        </is>
      </c>
      <c r="C7" s="79" t="inlineStr">
        <is>
          <t>%</t>
        </is>
      </c>
      <c r="D7" s="79" t="inlineStr">
        <is>
          <t>Internal policy</t>
        </is>
      </c>
      <c r="E7" s="214" t="inlineStr">
        <is>
          <t>Businessplan v1.7, payment model</t>
        </is>
      </c>
      <c r="F7" s="83" t="inlineStr">
        <is>
          <t>Order / system approval / go-live</t>
        </is>
      </c>
    </row>
    <row r="8">
      <c r="A8" s="103" t="inlineStr">
        <is>
          <t>Start funding</t>
        </is>
      </c>
      <c r="B8" s="233" t="n">
        <v>25000</v>
      </c>
      <c r="C8" s="79" t="inlineStr">
        <is>
          <t>EUR</t>
        </is>
      </c>
      <c r="D8" s="79" t="inlineStr">
        <is>
          <t>Internal financing plan</t>
        </is>
      </c>
      <c r="E8" s="214" t="inlineStr">
        <is>
          <t>Businessplan v1.7 and evidence package</t>
        </is>
      </c>
      <c r="F8" s="83" t="inlineStr">
        <is>
          <t>500 EUR share capital + 24,500 EUR documented contribution/loan</t>
        </is>
      </c>
    </row>
    <row r="9">
      <c r="A9" s="103" t="inlineStr">
        <is>
          <t>Tax reserve</t>
        </is>
      </c>
      <c r="B9" s="252" t="n">
        <v>0.3</v>
      </c>
      <c r="C9" s="79" t="inlineStr">
        <is>
          <t>% positive EBT</t>
        </is>
      </c>
      <c r="D9" s="79" t="inlineStr">
        <is>
          <t>Planning assumption</t>
        </is>
      </c>
      <c r="E9" s="214" t="inlineStr">
        <is>
          <t>Businessplan v1.7, chapter 9</t>
        </is>
      </c>
      <c r="F9" s="83" t="inlineStr">
        <is>
          <t>Not a tax calculation; tax adviser to confirm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24" customWidth="1" min="4" max="4"/>
  </cols>
  <sheetData>
    <row r="1" ht="28" customHeight="1">
      <c r="A1" s="97" t="inlineStr">
        <is>
          <t>AMAVIO | Managementübersicht – Baseline v1.7</t>
        </is>
      </c>
    </row>
    <row r="2">
      <c r="A2" s="98" t="inlineStr">
        <is>
          <t>Plan- und Live-Sicht bleiben bewusst getrennt. Der Live-Status reagiert auf den dokumentierten Finanzierungszufluss in Assumptions.</t>
        </is>
      </c>
    </row>
    <row r="3">
      <c r="A3" s="115" t="n"/>
      <c r="B3" s="115" t="n"/>
      <c r="C3" s="115" t="n"/>
      <c r="D3" s="115" t="n"/>
      <c r="E3" s="115" t="n"/>
      <c r="F3" s="115" t="n"/>
      <c r="G3" s="115" t="n"/>
      <c r="H3" s="115" t="n"/>
      <c r="I3" s="115" t="n"/>
      <c r="J3" s="115" t="n"/>
      <c r="K3" s="115" t="n"/>
      <c r="L3" s="115" t="n"/>
      <c r="M3" s="115" t="n"/>
      <c r="N3" s="115" t="n"/>
    </row>
    <row r="4">
      <c r="A4" s="99" t="inlineStr">
        <is>
          <t>KPI</t>
        </is>
      </c>
      <c r="B4" s="99" t="inlineStr">
        <is>
          <t>Value</t>
        </is>
      </c>
      <c r="C4" s="99" t="inlineStr">
        <is>
          <t>Status / context</t>
        </is>
      </c>
      <c r="D4" s="115" t="n"/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</row>
    <row r="5">
      <c r="A5" s="71" t="inlineStr">
        <is>
          <t>Model release</t>
        </is>
      </c>
      <c r="B5" s="220">
        <f>'Checks'!E18</f>
        <v/>
      </c>
      <c r="C5" s="74" t="inlineStr">
        <is>
          <t>Live-use gate</t>
        </is>
      </c>
      <c r="D5" s="115" t="n"/>
      <c r="E5" s="115" t="n"/>
      <c r="F5" s="115" t="n"/>
      <c r="G5" s="115" t="n"/>
      <c r="H5" s="115" t="n"/>
      <c r="I5" s="115" t="n"/>
      <c r="J5" s="115" t="n"/>
      <c r="K5" s="115" t="n"/>
      <c r="L5" s="115" t="n"/>
      <c r="M5" s="115" t="n"/>
      <c r="N5" s="115" t="n"/>
    </row>
    <row r="6">
      <c r="A6" s="77" t="inlineStr">
        <is>
          <t>Year 1 revenue</t>
        </is>
      </c>
      <c r="B6" s="255">
        <f>'Annual_P&amp;L'!B4</f>
        <v/>
      </c>
      <c r="C6" s="80" t="inlineStr">
        <is>
          <t>Accepted baseline</t>
        </is>
      </c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</row>
    <row r="7">
      <c r="A7" s="77" t="inlineStr">
        <is>
          <t>Year 1 EBT</t>
        </is>
      </c>
      <c r="B7" s="255">
        <f>'Annual_P&amp;L'!B11</f>
        <v/>
      </c>
      <c r="C7" s="80" t="inlineStr">
        <is>
          <t>Before tax reserve</t>
        </is>
      </c>
      <c r="D7" s="115" t="n"/>
      <c r="E7" s="115" t="n"/>
      <c r="F7" s="115" t="n"/>
      <c r="G7" s="115" t="n"/>
      <c r="H7" s="115" t="n"/>
      <c r="I7" s="115" t="n"/>
      <c r="J7" s="115" t="n"/>
      <c r="K7" s="115" t="n"/>
      <c r="L7" s="115" t="n"/>
      <c r="M7" s="115" t="n"/>
      <c r="N7" s="115" t="n"/>
    </row>
    <row r="8">
      <c r="A8" s="77" t="inlineStr">
        <is>
          <t>Year 1 net income</t>
        </is>
      </c>
      <c r="B8" s="255">
        <f>'Annual_P&amp;L'!B13</f>
        <v/>
      </c>
      <c r="C8" s="80" t="inlineStr">
        <is>
          <t>After planning reserve</t>
        </is>
      </c>
      <c r="D8" s="115" t="n"/>
      <c r="E8" s="115" t="n"/>
      <c r="F8" s="115" t="n"/>
      <c r="G8" s="115" t="n"/>
      <c r="H8" s="115" t="n"/>
      <c r="I8" s="115" t="n"/>
      <c r="J8" s="115" t="n"/>
      <c r="K8" s="115" t="n"/>
      <c r="L8" s="115" t="n"/>
      <c r="M8" s="115" t="n"/>
      <c r="N8" s="115" t="n"/>
    </row>
    <row r="9">
      <c r="A9" s="77" t="inlineStr">
        <is>
          <t>Minimum plan buffer</t>
        </is>
      </c>
      <c r="B9" s="255">
        <f>MIN('Monthly_Cash'!B26:AK26)</f>
        <v/>
      </c>
      <c r="C9" s="80" t="inlineStr">
        <is>
          <t>After VAT and tax reserve</t>
        </is>
      </c>
      <c r="D9" s="115" t="n"/>
      <c r="E9" s="115" t="n"/>
      <c r="F9" s="115" t="n"/>
      <c r="G9" s="115" t="n"/>
      <c r="H9" s="115" t="n"/>
      <c r="I9" s="115" t="n"/>
      <c r="J9" s="115" t="n"/>
      <c r="K9" s="115" t="n"/>
      <c r="L9" s="115" t="n"/>
      <c r="M9" s="115" t="n"/>
      <c r="N9" s="115" t="n"/>
    </row>
    <row r="10">
      <c r="A10" s="77" t="inlineStr">
        <is>
          <t>Minimum live buffer</t>
        </is>
      </c>
      <c r="B10" s="255">
        <f>MIN('Monthly_Cash'!B27:AK27)</f>
        <v/>
      </c>
      <c r="C10" s="80" t="inlineStr">
        <is>
          <t>Uses documented funding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</row>
    <row r="11">
      <c r="A11" s="115" t="n"/>
      <c r="B11" s="115" t="n"/>
      <c r="C11" s="115" t="n"/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15" t="n"/>
      <c r="N11" s="115" t="n"/>
    </row>
    <row r="12">
      <c r="A12" s="11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</row>
    <row r="13">
      <c r="A13" s="99" t="inlineStr">
        <is>
          <t>Year</t>
        </is>
      </c>
      <c r="B13" s="99" t="inlineStr">
        <is>
          <t>Revenue</t>
        </is>
      </c>
      <c r="C13" s="99" t="inlineStr">
        <is>
          <t>EBITDA</t>
        </is>
      </c>
      <c r="D13" s="99" t="inlineStr">
        <is>
          <t>Net income</t>
        </is>
      </c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</row>
    <row r="14">
      <c r="A14" s="100" t="n">
        <v>1</v>
      </c>
      <c r="B14" s="256">
        <f>'Annual_P&amp;L'!B4</f>
        <v/>
      </c>
      <c r="C14" s="256">
        <f>'Annual_P&amp;L'!B9</f>
        <v/>
      </c>
      <c r="D14" s="257">
        <f>'Annual_P&amp;L'!B13</f>
        <v/>
      </c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</row>
    <row r="15">
      <c r="A15" s="103" t="n">
        <v>2</v>
      </c>
      <c r="B15" s="233">
        <f>'Annual_P&amp;L'!C4</f>
        <v/>
      </c>
      <c r="C15" s="233">
        <f>'Annual_P&amp;L'!C9</f>
        <v/>
      </c>
      <c r="D15" s="258">
        <f>'Annual_P&amp;L'!C13</f>
        <v/>
      </c>
      <c r="E15" s="115" t="n"/>
      <c r="F15" s="115" t="n"/>
      <c r="G15" s="115" t="n"/>
      <c r="H15" s="115" t="n"/>
      <c r="I15" s="115" t="n"/>
      <c r="J15" s="115" t="n"/>
      <c r="K15" s="115" t="n"/>
      <c r="L15" s="115" t="n"/>
      <c r="M15" s="115" t="n"/>
      <c r="N15" s="115" t="n"/>
    </row>
    <row r="16">
      <c r="A16" s="103" t="n">
        <v>3</v>
      </c>
      <c r="B16" s="233">
        <f>'Annual_P&amp;L'!D4</f>
        <v/>
      </c>
      <c r="C16" s="233">
        <f>'Annual_P&amp;L'!D9</f>
        <v/>
      </c>
      <c r="D16" s="258">
        <f>'Annual_P&amp;L'!D13</f>
        <v/>
      </c>
      <c r="E16" s="115" t="n"/>
      <c r="F16" s="115" t="n"/>
      <c r="G16" s="115" t="n"/>
      <c r="H16" s="115" t="n"/>
      <c r="I16" s="115" t="n"/>
      <c r="J16" s="115" t="n"/>
      <c r="K16" s="115" t="n"/>
      <c r="L16" s="115" t="n"/>
      <c r="M16" s="115" t="n"/>
      <c r="N16" s="115" t="n"/>
    </row>
    <row r="17">
      <c r="A17" s="115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</row>
    <row r="19">
      <c r="A19" s="99" t="inlineStr">
        <is>
          <t>Month</t>
        </is>
      </c>
      <c r="B19" s="99" t="inlineStr">
        <is>
          <t>Plan available cash</t>
        </is>
      </c>
      <c r="C19" s="99" t="inlineStr">
        <is>
          <t>Live available cash</t>
        </is>
      </c>
      <c r="D19" s="99" t="inlineStr">
        <is>
          <t>Minimum liquidity</t>
        </is>
      </c>
      <c r="E19" s="115" t="n"/>
      <c r="F19" s="115" t="n"/>
      <c r="G19" s="115" t="n"/>
      <c r="H19" s="115" t="n"/>
      <c r="I19" s="115" t="n"/>
      <c r="J19" s="115" t="n"/>
      <c r="K19" s="115" t="n"/>
      <c r="L19" s="115" t="n"/>
      <c r="M19" s="115" t="n"/>
      <c r="N19" s="115" t="n"/>
    </row>
    <row r="20">
      <c r="A20" s="100" t="inlineStr">
        <is>
          <t>M1</t>
        </is>
      </c>
      <c r="B20" s="256">
        <f>'Monthly_Cash'!B23</f>
        <v/>
      </c>
      <c r="C20" s="256">
        <f>'Monthly_Cash'!B24</f>
        <v/>
      </c>
      <c r="D20" s="257">
        <f>'Monthly_Cash'!B25</f>
        <v/>
      </c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</row>
    <row r="21">
      <c r="A21" s="103" t="inlineStr">
        <is>
          <t>M2</t>
        </is>
      </c>
      <c r="B21" s="233">
        <f>'Monthly_Cash'!C23</f>
        <v/>
      </c>
      <c r="C21" s="233">
        <f>'Monthly_Cash'!C24</f>
        <v/>
      </c>
      <c r="D21" s="258">
        <f>'Monthly_Cash'!C25</f>
        <v/>
      </c>
      <c r="E21" s="115" t="n"/>
      <c r="F21" s="115" t="n"/>
      <c r="G21" s="115" t="n"/>
      <c r="H21" s="115" t="n"/>
      <c r="I21" s="115" t="n"/>
      <c r="J21" s="115" t="n"/>
      <c r="K21" s="115" t="n"/>
      <c r="L21" s="115" t="n"/>
      <c r="M21" s="115" t="n"/>
      <c r="N21" s="115" t="n"/>
    </row>
    <row r="22">
      <c r="A22" s="103" t="inlineStr">
        <is>
          <t>M3</t>
        </is>
      </c>
      <c r="B22" s="233">
        <f>'Monthly_Cash'!D23</f>
        <v/>
      </c>
      <c r="C22" s="233">
        <f>'Monthly_Cash'!D24</f>
        <v/>
      </c>
      <c r="D22" s="258">
        <f>'Monthly_Cash'!D25</f>
        <v/>
      </c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</row>
    <row r="23">
      <c r="A23" s="103" t="inlineStr">
        <is>
          <t>M4</t>
        </is>
      </c>
      <c r="B23" s="233">
        <f>'Monthly_Cash'!E23</f>
        <v/>
      </c>
      <c r="C23" s="233">
        <f>'Monthly_Cash'!E24</f>
        <v/>
      </c>
      <c r="D23" s="258">
        <f>'Monthly_Cash'!E25</f>
        <v/>
      </c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</row>
    <row r="24">
      <c r="A24" s="103" t="inlineStr">
        <is>
          <t>M5</t>
        </is>
      </c>
      <c r="B24" s="233">
        <f>'Monthly_Cash'!F23</f>
        <v/>
      </c>
      <c r="C24" s="233">
        <f>'Monthly_Cash'!F24</f>
        <v/>
      </c>
      <c r="D24" s="258">
        <f>'Monthly_Cash'!F25</f>
        <v/>
      </c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</row>
    <row r="25">
      <c r="A25" s="103" t="inlineStr">
        <is>
          <t>M6</t>
        </is>
      </c>
      <c r="B25" s="233">
        <f>'Monthly_Cash'!G23</f>
        <v/>
      </c>
      <c r="C25" s="233">
        <f>'Monthly_Cash'!G24</f>
        <v/>
      </c>
      <c r="D25" s="258">
        <f>'Monthly_Cash'!G25</f>
        <v/>
      </c>
      <c r="E25" s="115" t="n"/>
      <c r="F25" s="115" t="n"/>
      <c r="G25" s="115" t="n"/>
      <c r="H25" s="115" t="n"/>
      <c r="I25" s="115" t="n"/>
      <c r="J25" s="115" t="n"/>
      <c r="K25" s="115" t="n"/>
      <c r="L25" s="115" t="n"/>
      <c r="M25" s="115" t="n"/>
      <c r="N25" s="115" t="n"/>
    </row>
    <row r="26">
      <c r="A26" s="103" t="inlineStr">
        <is>
          <t>M7</t>
        </is>
      </c>
      <c r="B26" s="233">
        <f>'Monthly_Cash'!H23</f>
        <v/>
      </c>
      <c r="C26" s="233">
        <f>'Monthly_Cash'!H24</f>
        <v/>
      </c>
      <c r="D26" s="258">
        <f>'Monthly_Cash'!H25</f>
        <v/>
      </c>
      <c r="E26" s="115" t="n"/>
      <c r="F26" s="115" t="n"/>
      <c r="G26" s="115" t="n"/>
      <c r="H26" s="115" t="n"/>
      <c r="I26" s="115" t="n"/>
      <c r="J26" s="115" t="n"/>
      <c r="K26" s="115" t="n"/>
      <c r="L26" s="115" t="n"/>
      <c r="M26" s="115" t="n"/>
      <c r="N26" s="115" t="n"/>
    </row>
    <row r="27">
      <c r="A27" s="103" t="inlineStr">
        <is>
          <t>M8</t>
        </is>
      </c>
      <c r="B27" s="233">
        <f>'Monthly_Cash'!I23</f>
        <v/>
      </c>
      <c r="C27" s="233">
        <f>'Monthly_Cash'!I24</f>
        <v/>
      </c>
      <c r="D27" s="258">
        <f>'Monthly_Cash'!I25</f>
        <v/>
      </c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</row>
    <row r="28">
      <c r="A28" s="103" t="inlineStr">
        <is>
          <t>M9</t>
        </is>
      </c>
      <c r="B28" s="233">
        <f>'Monthly_Cash'!J23</f>
        <v/>
      </c>
      <c r="C28" s="233">
        <f>'Monthly_Cash'!J24</f>
        <v/>
      </c>
      <c r="D28" s="258">
        <f>'Monthly_Cash'!J25</f>
        <v/>
      </c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</row>
    <row r="29">
      <c r="A29" s="103" t="inlineStr">
        <is>
          <t>M10</t>
        </is>
      </c>
      <c r="B29" s="233">
        <f>'Monthly_Cash'!K23</f>
        <v/>
      </c>
      <c r="C29" s="233">
        <f>'Monthly_Cash'!K24</f>
        <v/>
      </c>
      <c r="D29" s="258">
        <f>'Monthly_Cash'!K25</f>
        <v/>
      </c>
      <c r="E29" s="115" t="n"/>
      <c r="F29" s="115" t="n"/>
      <c r="G29" s="115" t="n"/>
      <c r="H29" s="115" t="n"/>
      <c r="I29" s="115" t="n"/>
      <c r="J29" s="115" t="n"/>
      <c r="K29" s="115" t="n"/>
      <c r="L29" s="115" t="n"/>
      <c r="M29" s="115" t="n"/>
      <c r="N29" s="115" t="n"/>
    </row>
    <row r="30">
      <c r="A30" s="103" t="inlineStr">
        <is>
          <t>M11</t>
        </is>
      </c>
      <c r="B30" s="233">
        <f>'Monthly_Cash'!L23</f>
        <v/>
      </c>
      <c r="C30" s="233">
        <f>'Monthly_Cash'!L24</f>
        <v/>
      </c>
      <c r="D30" s="258">
        <f>'Monthly_Cash'!L25</f>
        <v/>
      </c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</row>
    <row r="31">
      <c r="A31" s="103" t="inlineStr">
        <is>
          <t>M12</t>
        </is>
      </c>
      <c r="B31" s="233">
        <f>'Monthly_Cash'!M23</f>
        <v/>
      </c>
      <c r="C31" s="233">
        <f>'Monthly_Cash'!M24</f>
        <v/>
      </c>
      <c r="D31" s="258">
        <f>'Monthly_Cash'!M25</f>
        <v/>
      </c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</row>
    <row r="32">
      <c r="A32" s="103" t="inlineStr">
        <is>
          <t>M13</t>
        </is>
      </c>
      <c r="B32" s="233">
        <f>'Monthly_Cash'!N23</f>
        <v/>
      </c>
      <c r="C32" s="233">
        <f>'Monthly_Cash'!N24</f>
        <v/>
      </c>
      <c r="D32" s="258">
        <f>'Monthly_Cash'!N25</f>
        <v/>
      </c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</row>
    <row r="33">
      <c r="A33" s="103" t="inlineStr">
        <is>
          <t>M14</t>
        </is>
      </c>
      <c r="B33" s="233">
        <f>'Monthly_Cash'!O23</f>
        <v/>
      </c>
      <c r="C33" s="233">
        <f>'Monthly_Cash'!O24</f>
        <v/>
      </c>
      <c r="D33" s="258">
        <f>'Monthly_Cash'!O25</f>
        <v/>
      </c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</row>
    <row r="34">
      <c r="A34" s="103" t="inlineStr">
        <is>
          <t>M15</t>
        </is>
      </c>
      <c r="B34" s="233">
        <f>'Monthly_Cash'!P23</f>
        <v/>
      </c>
      <c r="C34" s="233">
        <f>'Monthly_Cash'!P24</f>
        <v/>
      </c>
      <c r="D34" s="258">
        <f>'Monthly_Cash'!P25</f>
        <v/>
      </c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</row>
    <row r="35">
      <c r="A35" s="103" t="inlineStr">
        <is>
          <t>M16</t>
        </is>
      </c>
      <c r="B35" s="233">
        <f>'Monthly_Cash'!Q23</f>
        <v/>
      </c>
      <c r="C35" s="233">
        <f>'Monthly_Cash'!Q24</f>
        <v/>
      </c>
      <c r="D35" s="258">
        <f>'Monthly_Cash'!Q25</f>
        <v/>
      </c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</row>
    <row r="36">
      <c r="A36" s="103" t="inlineStr">
        <is>
          <t>M17</t>
        </is>
      </c>
      <c r="B36" s="233">
        <f>'Monthly_Cash'!R23</f>
        <v/>
      </c>
      <c r="C36" s="233">
        <f>'Monthly_Cash'!R24</f>
        <v/>
      </c>
      <c r="D36" s="258">
        <f>'Monthly_Cash'!R25</f>
        <v/>
      </c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</row>
    <row r="37">
      <c r="A37" s="103" t="inlineStr">
        <is>
          <t>M18</t>
        </is>
      </c>
      <c r="B37" s="233">
        <f>'Monthly_Cash'!S23</f>
        <v/>
      </c>
      <c r="C37" s="233">
        <f>'Monthly_Cash'!S24</f>
        <v/>
      </c>
      <c r="D37" s="258">
        <f>'Monthly_Cash'!S25</f>
        <v/>
      </c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</row>
    <row r="38">
      <c r="A38" s="103" t="inlineStr">
        <is>
          <t>M19</t>
        </is>
      </c>
      <c r="B38" s="233">
        <f>'Monthly_Cash'!T23</f>
        <v/>
      </c>
      <c r="C38" s="233">
        <f>'Monthly_Cash'!T24</f>
        <v/>
      </c>
      <c r="D38" s="258">
        <f>'Monthly_Cash'!T25</f>
        <v/>
      </c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</row>
    <row r="39">
      <c r="A39" s="103" t="inlineStr">
        <is>
          <t>M20</t>
        </is>
      </c>
      <c r="B39" s="233">
        <f>'Monthly_Cash'!U23</f>
        <v/>
      </c>
      <c r="C39" s="233">
        <f>'Monthly_Cash'!U24</f>
        <v/>
      </c>
      <c r="D39" s="258">
        <f>'Monthly_Cash'!U25</f>
        <v/>
      </c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</row>
    <row r="40">
      <c r="A40" s="103" t="inlineStr">
        <is>
          <t>M21</t>
        </is>
      </c>
      <c r="B40" s="233">
        <f>'Monthly_Cash'!V23</f>
        <v/>
      </c>
      <c r="C40" s="233">
        <f>'Monthly_Cash'!V24</f>
        <v/>
      </c>
      <c r="D40" s="258">
        <f>'Monthly_Cash'!V25</f>
        <v/>
      </c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</row>
    <row r="41">
      <c r="A41" s="103" t="inlineStr">
        <is>
          <t>M22</t>
        </is>
      </c>
      <c r="B41" s="233">
        <f>'Monthly_Cash'!W23</f>
        <v/>
      </c>
      <c r="C41" s="233">
        <f>'Monthly_Cash'!W24</f>
        <v/>
      </c>
      <c r="D41" s="258">
        <f>'Monthly_Cash'!W25</f>
        <v/>
      </c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</row>
    <row r="42">
      <c r="A42" s="103" t="inlineStr">
        <is>
          <t>M23</t>
        </is>
      </c>
      <c r="B42" s="233">
        <f>'Monthly_Cash'!X23</f>
        <v/>
      </c>
      <c r="C42" s="233">
        <f>'Monthly_Cash'!X24</f>
        <v/>
      </c>
      <c r="D42" s="258">
        <f>'Monthly_Cash'!X25</f>
        <v/>
      </c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</row>
    <row r="43">
      <c r="A43" s="103" t="inlineStr">
        <is>
          <t>M24</t>
        </is>
      </c>
      <c r="B43" s="233">
        <f>'Monthly_Cash'!Y23</f>
        <v/>
      </c>
      <c r="C43" s="233">
        <f>'Monthly_Cash'!Y24</f>
        <v/>
      </c>
      <c r="D43" s="258">
        <f>'Monthly_Cash'!Y25</f>
        <v/>
      </c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</row>
    <row r="44">
      <c r="A44" s="103" t="inlineStr">
        <is>
          <t>M25</t>
        </is>
      </c>
      <c r="B44" s="233">
        <f>'Monthly_Cash'!Z23</f>
        <v/>
      </c>
      <c r="C44" s="233">
        <f>'Monthly_Cash'!Z24</f>
        <v/>
      </c>
      <c r="D44" s="258">
        <f>'Monthly_Cash'!Z25</f>
        <v/>
      </c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</row>
    <row r="45">
      <c r="A45" s="103" t="inlineStr">
        <is>
          <t>M26</t>
        </is>
      </c>
      <c r="B45" s="233">
        <f>'Monthly_Cash'!AA23</f>
        <v/>
      </c>
      <c r="C45" s="233">
        <f>'Monthly_Cash'!AA24</f>
        <v/>
      </c>
      <c r="D45" s="258">
        <f>'Monthly_Cash'!AA25</f>
        <v/>
      </c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</row>
    <row r="46">
      <c r="A46" s="103" t="inlineStr">
        <is>
          <t>M27</t>
        </is>
      </c>
      <c r="B46" s="233">
        <f>'Monthly_Cash'!AB23</f>
        <v/>
      </c>
      <c r="C46" s="233">
        <f>'Monthly_Cash'!AB24</f>
        <v/>
      </c>
      <c r="D46" s="258">
        <f>'Monthly_Cash'!AB25</f>
        <v/>
      </c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</row>
    <row r="47">
      <c r="A47" s="103" t="inlineStr">
        <is>
          <t>M28</t>
        </is>
      </c>
      <c r="B47" s="233">
        <f>'Monthly_Cash'!AC23</f>
        <v/>
      </c>
      <c r="C47" s="233">
        <f>'Monthly_Cash'!AC24</f>
        <v/>
      </c>
      <c r="D47" s="258">
        <f>'Monthly_Cash'!AC25</f>
        <v/>
      </c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</row>
    <row r="48">
      <c r="A48" s="103" t="inlineStr">
        <is>
          <t>M29</t>
        </is>
      </c>
      <c r="B48" s="233">
        <f>'Monthly_Cash'!AD23</f>
        <v/>
      </c>
      <c r="C48" s="233">
        <f>'Monthly_Cash'!AD24</f>
        <v/>
      </c>
      <c r="D48" s="258">
        <f>'Monthly_Cash'!AD25</f>
        <v/>
      </c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</row>
    <row r="49">
      <c r="A49" s="103" t="inlineStr">
        <is>
          <t>M30</t>
        </is>
      </c>
      <c r="B49" s="233">
        <f>'Monthly_Cash'!AE23</f>
        <v/>
      </c>
      <c r="C49" s="233">
        <f>'Monthly_Cash'!AE24</f>
        <v/>
      </c>
      <c r="D49" s="258">
        <f>'Monthly_Cash'!AE25</f>
        <v/>
      </c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</row>
    <row r="50">
      <c r="A50" s="103" t="inlineStr">
        <is>
          <t>M31</t>
        </is>
      </c>
      <c r="B50" s="233">
        <f>'Monthly_Cash'!AF23</f>
        <v/>
      </c>
      <c r="C50" s="233">
        <f>'Monthly_Cash'!AF24</f>
        <v/>
      </c>
      <c r="D50" s="258">
        <f>'Monthly_Cash'!AF25</f>
        <v/>
      </c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</row>
    <row r="51">
      <c r="A51" s="103" t="inlineStr">
        <is>
          <t>M32</t>
        </is>
      </c>
      <c r="B51" s="233">
        <f>'Monthly_Cash'!AG23</f>
        <v/>
      </c>
      <c r="C51" s="233">
        <f>'Monthly_Cash'!AG24</f>
        <v/>
      </c>
      <c r="D51" s="258">
        <f>'Monthly_Cash'!AG25</f>
        <v/>
      </c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</row>
    <row r="52">
      <c r="A52" s="103" t="inlineStr">
        <is>
          <t>M33</t>
        </is>
      </c>
      <c r="B52" s="233">
        <f>'Monthly_Cash'!AH23</f>
        <v/>
      </c>
      <c r="C52" s="233">
        <f>'Monthly_Cash'!AH24</f>
        <v/>
      </c>
      <c r="D52" s="258">
        <f>'Monthly_Cash'!AH25</f>
        <v/>
      </c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</row>
    <row r="53">
      <c r="A53" s="103" t="inlineStr">
        <is>
          <t>M34</t>
        </is>
      </c>
      <c r="B53" s="233">
        <f>'Monthly_Cash'!AI23</f>
        <v/>
      </c>
      <c r="C53" s="233">
        <f>'Monthly_Cash'!AI24</f>
        <v/>
      </c>
      <c r="D53" s="258">
        <f>'Monthly_Cash'!AI25</f>
        <v/>
      </c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</row>
    <row r="54">
      <c r="A54" s="103" t="inlineStr">
        <is>
          <t>M35</t>
        </is>
      </c>
      <c r="B54" s="233">
        <f>'Monthly_Cash'!AJ23</f>
        <v/>
      </c>
      <c r="C54" s="233">
        <f>'Monthly_Cash'!AJ24</f>
        <v/>
      </c>
      <c r="D54" s="258">
        <f>'Monthly_Cash'!AJ25</f>
        <v/>
      </c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</row>
    <row r="55">
      <c r="A55" s="103" t="inlineStr">
        <is>
          <t>M36</t>
        </is>
      </c>
      <c r="B55" s="233">
        <f>'Monthly_Cash'!AK23</f>
        <v/>
      </c>
      <c r="C55" s="233">
        <f>'Monthly_Cash'!AK24</f>
        <v/>
      </c>
      <c r="D55" s="258">
        <f>'Monthly_Cash'!AK25</f>
        <v/>
      </c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</row>
  </sheetData>
  <mergeCells count="2">
    <mergeCell ref="A2:N2"/>
    <mergeCell ref="A1:N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2026-07-28T10:12:27Z</dcterms:created>
  <dcterms:modified xmlns:dcterms="http://purl.org/dc/terms/" xmlns:xsi="http://www.w3.org/2001/XMLSchema-instance" xsi:type="dcterms:W3CDTF">2026-07-28T10:12:27Z</dcterms:modified>
</cp:coreProperties>
</file>