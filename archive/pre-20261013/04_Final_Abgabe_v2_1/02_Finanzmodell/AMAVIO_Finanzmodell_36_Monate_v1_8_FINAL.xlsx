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f1f35f86780e4cd/Desktop/04_Final_Abgabe_v2_1/02_Finanzmodell/"/>
    </mc:Choice>
  </mc:AlternateContent>
  <xr:revisionPtr revIDLastSave="35" documentId="8_{73665839-8173-4CFE-80B2-2EA4ABA11D90}" xr6:coauthVersionLast="47" xr6:coauthVersionMax="47" xr10:uidLastSave="{2240AA1F-F1B3-4E00-B78D-1E5C3214B9D6}"/>
  <bookViews>
    <workbookView xWindow="-110" yWindow="-110" windowWidth="22780" windowHeight="14540" xr2:uid="{00000000-000D-0000-FFFF-FFFF00000000}"/>
  </bookViews>
  <sheets>
    <sheet name="Cover" sheetId="1" r:id="rId1"/>
    <sheet name="Source_of_Truth" sheetId="2" r:id="rId2"/>
    <sheet name="Funding_Scenarios" sheetId="3" r:id="rId3"/>
    <sheet name="Cash_Timing_Stress" sheetId="4" r:id="rId4"/>
    <sheet name="P1_Gates" sheetId="5" r:id="rId5"/>
    <sheet name="Assumptions" sheetId="6" r:id="rId6"/>
    <sheet name="Contract_Cash" sheetId="7" r:id="rId7"/>
    <sheet name="Monthly_Cash" sheetId="8" r:id="rId8"/>
    <sheet name="Annual_P&amp;L" sheetId="9" r:id="rId9"/>
    <sheet name="Scenarios" sheetId="10" r:id="rId10"/>
    <sheet name="Checks" sheetId="11" r:id="rId11"/>
    <sheet name="Schedule_Inputs" sheetId="12" r:id="rId12"/>
    <sheet name="Sources" sheetId="13" r:id="rId13"/>
    <sheet name="Dashboard" sheetId="14" r:id="rId1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2" i="8" l="1"/>
  <c r="AA12" i="8"/>
  <c r="Z12" i="8"/>
  <c r="P12" i="8"/>
  <c r="O12" i="8"/>
  <c r="N12" i="8"/>
  <c r="C12" i="8"/>
  <c r="B12" i="8"/>
  <c r="AC12" i="8"/>
  <c r="AD12" i="8"/>
  <c r="AE12" i="8"/>
  <c r="AF12" i="8"/>
  <c r="AG12" i="8"/>
  <c r="AH12" i="8"/>
  <c r="AI12" i="8"/>
  <c r="AJ12" i="8"/>
  <c r="AK12" i="8"/>
  <c r="Q12" i="8"/>
  <c r="R12" i="8"/>
  <c r="S12" i="8"/>
  <c r="T12" i="8"/>
  <c r="U12" i="8"/>
  <c r="V12" i="8"/>
  <c r="W12" i="8"/>
  <c r="X12" i="8"/>
  <c r="Y12" i="8"/>
  <c r="D12" i="8"/>
  <c r="E12" i="8"/>
  <c r="F12" i="8"/>
  <c r="G12" i="8"/>
  <c r="H12" i="8"/>
  <c r="I12" i="8"/>
  <c r="J12" i="8"/>
  <c r="K12" i="8"/>
  <c r="L12" i="8"/>
  <c r="M12" i="8"/>
  <c r="C13" i="11"/>
  <c r="C12" i="11"/>
  <c r="B11" i="11"/>
  <c r="D11" i="11" s="1"/>
  <c r="E11" i="11" s="1"/>
  <c r="C10" i="11"/>
  <c r="C9" i="11"/>
  <c r="C8" i="11"/>
  <c r="C12" i="10"/>
  <c r="C11" i="10"/>
  <c r="C10" i="10"/>
  <c r="B13" i="11" s="1"/>
  <c r="C9" i="10"/>
  <c r="C8" i="10"/>
  <c r="C7" i="10"/>
  <c r="C6" i="10"/>
  <c r="C5" i="10"/>
  <c r="C4" i="10"/>
  <c r="B12" i="11" s="1"/>
  <c r="D10" i="9"/>
  <c r="C10" i="9"/>
  <c r="B10" i="9"/>
  <c r="D8" i="9"/>
  <c r="C8" i="9"/>
  <c r="B8" i="9"/>
  <c r="D7" i="9"/>
  <c r="C7" i="9"/>
  <c r="B7" i="9"/>
  <c r="D6" i="9"/>
  <c r="C6" i="9"/>
  <c r="B6" i="9"/>
  <c r="D4" i="9"/>
  <c r="B16" i="14" s="1"/>
  <c r="C4" i="9"/>
  <c r="C5" i="9" s="1"/>
  <c r="B4" i="9"/>
  <c r="B4" i="11" s="1"/>
  <c r="D4" i="11" s="1"/>
  <c r="E4" i="11" s="1"/>
  <c r="AK25" i="8"/>
  <c r="D55" i="14" s="1"/>
  <c r="AJ25" i="8"/>
  <c r="D54" i="14" s="1"/>
  <c r="AI25" i="8"/>
  <c r="D53" i="14" s="1"/>
  <c r="AH25" i="8"/>
  <c r="D52" i="14" s="1"/>
  <c r="AG25" i="8"/>
  <c r="D51" i="14" s="1"/>
  <c r="AF25" i="8"/>
  <c r="D50" i="14" s="1"/>
  <c r="AE25" i="8"/>
  <c r="D49" i="14" s="1"/>
  <c r="AD25" i="8"/>
  <c r="D48" i="14" s="1"/>
  <c r="AC25" i="8"/>
  <c r="D47" i="14" s="1"/>
  <c r="AB25" i="8"/>
  <c r="D46" i="14" s="1"/>
  <c r="AA25" i="8"/>
  <c r="D45" i="14" s="1"/>
  <c r="Z25" i="8"/>
  <c r="D44" i="14" s="1"/>
  <c r="Y25" i="8"/>
  <c r="D43" i="14" s="1"/>
  <c r="X25" i="8"/>
  <c r="D42" i="14" s="1"/>
  <c r="W25" i="8"/>
  <c r="D41" i="14" s="1"/>
  <c r="V25" i="8"/>
  <c r="D40" i="14" s="1"/>
  <c r="U25" i="8"/>
  <c r="D39" i="14" s="1"/>
  <c r="T25" i="8"/>
  <c r="D38" i="14" s="1"/>
  <c r="S25" i="8"/>
  <c r="D37" i="14" s="1"/>
  <c r="R25" i="8"/>
  <c r="D36" i="14" s="1"/>
  <c r="Q25" i="8"/>
  <c r="D35" i="14" s="1"/>
  <c r="P25" i="8"/>
  <c r="D34" i="14" s="1"/>
  <c r="O25" i="8"/>
  <c r="D33" i="14" s="1"/>
  <c r="N25" i="8"/>
  <c r="D32" i="14" s="1"/>
  <c r="M25" i="8"/>
  <c r="D31" i="14" s="1"/>
  <c r="L25" i="8"/>
  <c r="D30" i="14" s="1"/>
  <c r="K25" i="8"/>
  <c r="D29" i="14" s="1"/>
  <c r="J25" i="8"/>
  <c r="D28" i="14" s="1"/>
  <c r="I25" i="8"/>
  <c r="D27" i="14" s="1"/>
  <c r="H25" i="8"/>
  <c r="D26" i="14" s="1"/>
  <c r="G25" i="8"/>
  <c r="D25" i="14" s="1"/>
  <c r="F25" i="8"/>
  <c r="D24" i="14" s="1"/>
  <c r="E25" i="8"/>
  <c r="D23" i="14" s="1"/>
  <c r="D25" i="8"/>
  <c r="D22" i="14" s="1"/>
  <c r="C25" i="8"/>
  <c r="D21" i="14" s="1"/>
  <c r="B25" i="8"/>
  <c r="D20" i="14" s="1"/>
  <c r="B18" i="8"/>
  <c r="B16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B10" i="11" s="1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B9" i="11" s="1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B6" i="8"/>
  <c r="C28" i="7"/>
  <c r="C7" i="11" s="1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R28" i="7" l="1"/>
  <c r="O4" i="8" s="1"/>
  <c r="O5" i="8" s="1"/>
  <c r="J28" i="7"/>
  <c r="G4" i="8" s="1"/>
  <c r="G5" i="8" s="1"/>
  <c r="Z28" i="7"/>
  <c r="W4" i="8" s="1"/>
  <c r="W5" i="8" s="1"/>
  <c r="AH28" i="7"/>
  <c r="AE4" i="8" s="1"/>
  <c r="AE8" i="8" s="1"/>
  <c r="H28" i="7"/>
  <c r="E4" i="8" s="1"/>
  <c r="E8" i="8" s="1"/>
  <c r="P28" i="7"/>
  <c r="M4" i="8" s="1"/>
  <c r="M5" i="8" s="1"/>
  <c r="X28" i="7"/>
  <c r="U4" i="8" s="1"/>
  <c r="U8" i="8" s="1"/>
  <c r="AN28" i="7"/>
  <c r="AK4" i="8" s="1"/>
  <c r="AK8" i="8" s="1"/>
  <c r="V28" i="7"/>
  <c r="S4" i="8" s="1"/>
  <c r="S8" i="8" s="1"/>
  <c r="I28" i="7"/>
  <c r="F4" i="8" s="1"/>
  <c r="F8" i="8" s="1"/>
  <c r="Q28" i="7"/>
  <c r="N4" i="8" s="1"/>
  <c r="N5" i="8" s="1"/>
  <c r="D9" i="11"/>
  <c r="E9" i="11" s="1"/>
  <c r="U28" i="7"/>
  <c r="R4" i="8" s="1"/>
  <c r="R5" i="8" s="1"/>
  <c r="F8" i="10"/>
  <c r="D10" i="11"/>
  <c r="E10" i="11" s="1"/>
  <c r="D12" i="10"/>
  <c r="E12" i="10" s="1"/>
  <c r="D12" i="11"/>
  <c r="E12" i="11" s="1"/>
  <c r="D13" i="11"/>
  <c r="E13" i="11" s="1"/>
  <c r="D5" i="10"/>
  <c r="E5" i="10" s="1"/>
  <c r="K28" i="7"/>
  <c r="H4" i="8" s="1"/>
  <c r="H5" i="8" s="1"/>
  <c r="AI28" i="7"/>
  <c r="AF4" i="8" s="1"/>
  <c r="AF8" i="8" s="1"/>
  <c r="S28" i="7"/>
  <c r="P4" i="8" s="1"/>
  <c r="P8" i="8" s="1"/>
  <c r="AA28" i="7"/>
  <c r="X4" i="8" s="1"/>
  <c r="X5" i="8" s="1"/>
  <c r="L28" i="7"/>
  <c r="I4" i="8" s="1"/>
  <c r="I5" i="8" s="1"/>
  <c r="T28" i="7"/>
  <c r="Q4" i="8" s="1"/>
  <c r="Q5" i="8" s="1"/>
  <c r="AB28" i="7"/>
  <c r="Y4" i="8" s="1"/>
  <c r="Y8" i="8" s="1"/>
  <c r="AJ28" i="7"/>
  <c r="AG4" i="8" s="1"/>
  <c r="AG8" i="8" s="1"/>
  <c r="F7" i="10"/>
  <c r="F9" i="10"/>
  <c r="AF28" i="7"/>
  <c r="AC4" i="8" s="1"/>
  <c r="AC8" i="8" s="1"/>
  <c r="E28" i="7"/>
  <c r="B4" i="8" s="1"/>
  <c r="AK28" i="7"/>
  <c r="AH4" i="8" s="1"/>
  <c r="AH5" i="8" s="1"/>
  <c r="AC28" i="7"/>
  <c r="Z4" i="8" s="1"/>
  <c r="Z5" i="8" s="1"/>
  <c r="N28" i="7"/>
  <c r="K4" i="8" s="1"/>
  <c r="K5" i="8" s="1"/>
  <c r="AD28" i="7"/>
  <c r="AA4" i="8" s="1"/>
  <c r="AA8" i="8" s="1"/>
  <c r="D6" i="10"/>
  <c r="E6" i="10" s="1"/>
  <c r="D4" i="10"/>
  <c r="E4" i="10" s="1"/>
  <c r="D9" i="10"/>
  <c r="E9" i="10" s="1"/>
  <c r="F28" i="7"/>
  <c r="C4" i="8" s="1"/>
  <c r="C8" i="8" s="1"/>
  <c r="AL28" i="7"/>
  <c r="AI4" i="8" s="1"/>
  <c r="AI8" i="8" s="1"/>
  <c r="G28" i="7"/>
  <c r="D4" i="8" s="1"/>
  <c r="D8" i="8" s="1"/>
  <c r="AM28" i="7"/>
  <c r="AJ4" i="8" s="1"/>
  <c r="AJ5" i="8" s="1"/>
  <c r="AJ20" i="8" s="1"/>
  <c r="M28" i="7"/>
  <c r="J4" i="8" s="1"/>
  <c r="J8" i="8" s="1"/>
  <c r="O28" i="7"/>
  <c r="L4" i="8" s="1"/>
  <c r="L8" i="8" s="1"/>
  <c r="W28" i="7"/>
  <c r="T4" i="8" s="1"/>
  <c r="T5" i="8" s="1"/>
  <c r="AE28" i="7"/>
  <c r="AB4" i="8" s="1"/>
  <c r="AB8" i="8" s="1"/>
  <c r="D5" i="9"/>
  <c r="D9" i="9" s="1"/>
  <c r="AG28" i="7"/>
  <c r="AD4" i="8" s="1"/>
  <c r="B8" i="11"/>
  <c r="D8" i="11" s="1"/>
  <c r="E8" i="11" s="1"/>
  <c r="F12" i="10"/>
  <c r="F11" i="10"/>
  <c r="F5" i="10"/>
  <c r="F10" i="10"/>
  <c r="F4" i="10"/>
  <c r="Y28" i="7"/>
  <c r="V4" i="8" s="1"/>
  <c r="F6" i="10"/>
  <c r="D10" i="10"/>
  <c r="B5" i="9"/>
  <c r="B6" i="14"/>
  <c r="B14" i="14"/>
  <c r="D7" i="10"/>
  <c r="B15" i="14"/>
  <c r="D8" i="10"/>
  <c r="C9" i="9"/>
  <c r="D11" i="10"/>
  <c r="B5" i="11"/>
  <c r="D5" i="11" s="1"/>
  <c r="E5" i="11" s="1"/>
  <c r="B6" i="11"/>
  <c r="D6" i="11" s="1"/>
  <c r="E6" i="11" s="1"/>
  <c r="AE5" i="8" l="1"/>
  <c r="AE20" i="8" s="1"/>
  <c r="W8" i="8"/>
  <c r="B9" i="9"/>
  <c r="C14" i="14" s="1"/>
  <c r="E5" i="8"/>
  <c r="E20" i="8" s="1"/>
  <c r="R8" i="8"/>
  <c r="AF5" i="8"/>
  <c r="AG6" i="8" s="1"/>
  <c r="H8" i="8"/>
  <c r="G8" i="8"/>
  <c r="AK5" i="8"/>
  <c r="AK20" i="8" s="1"/>
  <c r="U5" i="8"/>
  <c r="V6" i="8" s="1"/>
  <c r="O8" i="8"/>
  <c r="M8" i="8"/>
  <c r="F5" i="8"/>
  <c r="F20" i="8" s="1"/>
  <c r="S5" i="8"/>
  <c r="S20" i="8" s="1"/>
  <c r="Y5" i="8"/>
  <c r="Y20" i="8" s="1"/>
  <c r="P5" i="8"/>
  <c r="Q6" i="8" s="1"/>
  <c r="Q7" i="8" s="1"/>
  <c r="AC5" i="8"/>
  <c r="AC20" i="8" s="1"/>
  <c r="N8" i="8"/>
  <c r="AH8" i="8"/>
  <c r="C5" i="8"/>
  <c r="C20" i="8" s="1"/>
  <c r="Q8" i="8"/>
  <c r="AB5" i="8"/>
  <c r="AC6" i="8" s="1"/>
  <c r="G12" i="10"/>
  <c r="H12" i="10" s="1"/>
  <c r="I8" i="8"/>
  <c r="X8" i="8"/>
  <c r="AG5" i="8"/>
  <c r="AG20" i="8" s="1"/>
  <c r="AJ8" i="8"/>
  <c r="T8" i="8"/>
  <c r="G9" i="10"/>
  <c r="H9" i="10" s="1"/>
  <c r="AI5" i="8"/>
  <c r="AI20" i="8" s="1"/>
  <c r="Z8" i="8"/>
  <c r="G4" i="10"/>
  <c r="H4" i="10" s="1"/>
  <c r="J5" i="8"/>
  <c r="J20" i="8" s="1"/>
  <c r="B7" i="11"/>
  <c r="D7" i="11" s="1"/>
  <c r="E7" i="11" s="1"/>
  <c r="AA5" i="8"/>
  <c r="AA20" i="8" s="1"/>
  <c r="L5" i="8"/>
  <c r="L20" i="8" s="1"/>
  <c r="G5" i="10"/>
  <c r="H5" i="10" s="1"/>
  <c r="G6" i="10"/>
  <c r="H6" i="10" s="1"/>
  <c r="D5" i="8"/>
  <c r="D20" i="8" s="1"/>
  <c r="AK6" i="8"/>
  <c r="K8" i="8"/>
  <c r="V5" i="8"/>
  <c r="V8" i="8"/>
  <c r="M20" i="8"/>
  <c r="N6" i="8"/>
  <c r="N7" i="8" s="1"/>
  <c r="T20" i="8"/>
  <c r="U6" i="8"/>
  <c r="P6" i="8"/>
  <c r="P7" i="8" s="1"/>
  <c r="P13" i="8" s="1"/>
  <c r="O20" i="8"/>
  <c r="E8" i="10"/>
  <c r="G8" i="10" s="1"/>
  <c r="H8" i="10" s="1"/>
  <c r="E7" i="10"/>
  <c r="G7" i="10" s="1"/>
  <c r="H7" i="10" s="1"/>
  <c r="X20" i="8"/>
  <c r="Y6" i="8"/>
  <c r="H20" i="8"/>
  <c r="I6" i="8"/>
  <c r="I7" i="8" s="1"/>
  <c r="R6" i="8"/>
  <c r="R7" i="8" s="1"/>
  <c r="Q20" i="8"/>
  <c r="C15" i="14"/>
  <c r="C11" i="9"/>
  <c r="C16" i="14"/>
  <c r="D11" i="9"/>
  <c r="R20" i="8"/>
  <c r="S6" i="8"/>
  <c r="H6" i="8"/>
  <c r="H7" i="8" s="1"/>
  <c r="G20" i="8"/>
  <c r="X6" i="8"/>
  <c r="X7" i="8" s="1"/>
  <c r="W20" i="8"/>
  <c r="I20" i="8"/>
  <c r="J6" i="8"/>
  <c r="O6" i="8"/>
  <c r="O7" i="8" s="1"/>
  <c r="N20" i="8"/>
  <c r="L6" i="8"/>
  <c r="K20" i="8"/>
  <c r="Z20" i="8"/>
  <c r="AA6" i="8"/>
  <c r="AH20" i="8"/>
  <c r="AI6" i="8"/>
  <c r="E11" i="10"/>
  <c r="G11" i="10" s="1"/>
  <c r="H11" i="10" s="1"/>
  <c r="E10" i="10"/>
  <c r="G10" i="10" s="1"/>
  <c r="H10" i="10" s="1"/>
  <c r="AD5" i="8"/>
  <c r="AD8" i="8"/>
  <c r="B8" i="8"/>
  <c r="B5" i="8"/>
  <c r="B7" i="8" s="1"/>
  <c r="AF6" i="8" l="1"/>
  <c r="AF7" i="8" s="1"/>
  <c r="AF13" i="8" s="1"/>
  <c r="F6" i="8"/>
  <c r="F7" i="8" s="1"/>
  <c r="F13" i="8" s="1"/>
  <c r="B11" i="9"/>
  <c r="B12" i="9" s="1"/>
  <c r="B13" i="9" s="1"/>
  <c r="R13" i="8"/>
  <c r="AK7" i="8"/>
  <c r="AK13" i="8" s="1"/>
  <c r="H13" i="8"/>
  <c r="AF20" i="8"/>
  <c r="O13" i="8"/>
  <c r="S7" i="8"/>
  <c r="S13" i="8" s="1"/>
  <c r="Q13" i="8"/>
  <c r="U20" i="8"/>
  <c r="U7" i="8"/>
  <c r="U13" i="8" s="1"/>
  <c r="P20" i="8"/>
  <c r="AB20" i="8"/>
  <c r="Z6" i="8"/>
  <c r="Z7" i="8" s="1"/>
  <c r="Z13" i="8" s="1"/>
  <c r="AC7" i="8"/>
  <c r="AC13" i="8" s="1"/>
  <c r="G6" i="8"/>
  <c r="G7" i="8" s="1"/>
  <c r="G13" i="8" s="1"/>
  <c r="I13" i="8"/>
  <c r="T6" i="8"/>
  <c r="T7" i="8" s="1"/>
  <c r="T13" i="8" s="1"/>
  <c r="AD6" i="8"/>
  <c r="AD7" i="8" s="1"/>
  <c r="AD13" i="8" s="1"/>
  <c r="Y7" i="8"/>
  <c r="Y13" i="8" s="1"/>
  <c r="N13" i="8"/>
  <c r="B13" i="8"/>
  <c r="B19" i="8" s="1"/>
  <c r="D6" i="8"/>
  <c r="D7" i="8" s="1"/>
  <c r="D13" i="8" s="1"/>
  <c r="AG7" i="8"/>
  <c r="AG13" i="8" s="1"/>
  <c r="AA7" i="8"/>
  <c r="AA13" i="8" s="1"/>
  <c r="X13" i="8"/>
  <c r="AH6" i="8"/>
  <c r="AH7" i="8" s="1"/>
  <c r="AH13" i="8" s="1"/>
  <c r="AJ6" i="8"/>
  <c r="AJ7" i="8" s="1"/>
  <c r="AJ13" i="8" s="1"/>
  <c r="V7" i="8"/>
  <c r="V13" i="8" s="1"/>
  <c r="AI7" i="8"/>
  <c r="AI13" i="8" s="1"/>
  <c r="J7" i="8"/>
  <c r="J13" i="8" s="1"/>
  <c r="K6" i="8"/>
  <c r="K7" i="8" s="1"/>
  <c r="K13" i="8" s="1"/>
  <c r="E6" i="8"/>
  <c r="E7" i="8" s="1"/>
  <c r="E13" i="8" s="1"/>
  <c r="AB6" i="8"/>
  <c r="AB7" i="8" s="1"/>
  <c r="AB13" i="8" s="1"/>
  <c r="L7" i="8"/>
  <c r="L13" i="8" s="1"/>
  <c r="M6" i="8"/>
  <c r="M7" i="8" s="1"/>
  <c r="M13" i="8" s="1"/>
  <c r="C12" i="9"/>
  <c r="C13" i="9" s="1"/>
  <c r="D15" i="14" s="1"/>
  <c r="V20" i="8"/>
  <c r="W6" i="8"/>
  <c r="W7" i="8" s="1"/>
  <c r="W13" i="8" s="1"/>
  <c r="B20" i="8"/>
  <c r="C6" i="8"/>
  <c r="C7" i="8" s="1"/>
  <c r="C13" i="8" s="1"/>
  <c r="AD20" i="8"/>
  <c r="AE6" i="8"/>
  <c r="AE7" i="8" s="1"/>
  <c r="AE13" i="8" s="1"/>
  <c r="D12" i="9"/>
  <c r="C14" i="11" l="1"/>
  <c r="B7" i="14"/>
  <c r="B17" i="8"/>
  <c r="C16" i="8" s="1"/>
  <c r="C17" i="8" s="1"/>
  <c r="C15" i="11"/>
  <c r="C16" i="11"/>
  <c r="B8" i="14"/>
  <c r="D14" i="14"/>
  <c r="AG21" i="8"/>
  <c r="AK21" i="8"/>
  <c r="AB21" i="8"/>
  <c r="AJ21" i="8"/>
  <c r="Z21" i="8"/>
  <c r="AI21" i="8"/>
  <c r="AF21" i="8"/>
  <c r="AA21" i="8"/>
  <c r="AE21" i="8"/>
  <c r="AH21" i="8"/>
  <c r="AD21" i="8"/>
  <c r="AC21" i="8"/>
  <c r="D13" i="9"/>
  <c r="D16" i="14" s="1"/>
  <c r="Y21" i="8"/>
  <c r="Q21" i="8"/>
  <c r="S21" i="8"/>
  <c r="O21" i="8"/>
  <c r="X21" i="8"/>
  <c r="N21" i="8"/>
  <c r="V21" i="8"/>
  <c r="W21" i="8"/>
  <c r="P21" i="8"/>
  <c r="U21" i="8"/>
  <c r="T21" i="8"/>
  <c r="R21" i="8"/>
  <c r="I21" i="8"/>
  <c r="J21" i="8"/>
  <c r="E21" i="8"/>
  <c r="D21" i="8"/>
  <c r="B14" i="11"/>
  <c r="L21" i="8"/>
  <c r="B21" i="8"/>
  <c r="B22" i="8" s="1"/>
  <c r="H21" i="8"/>
  <c r="G21" i="8"/>
  <c r="F21" i="8"/>
  <c r="C21" i="8"/>
  <c r="M21" i="8"/>
  <c r="K21" i="8"/>
  <c r="C18" i="8"/>
  <c r="C19" i="8" s="1"/>
  <c r="D14" i="11" l="1"/>
  <c r="E14" i="11" s="1"/>
  <c r="C22" i="8"/>
  <c r="D22" i="8" s="1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AH22" i="8" s="1"/>
  <c r="AI22" i="8" s="1"/>
  <c r="AJ22" i="8" s="1"/>
  <c r="AK22" i="8" s="1"/>
  <c r="D18" i="8"/>
  <c r="D19" i="8" s="1"/>
  <c r="B24" i="8"/>
  <c r="D16" i="8"/>
  <c r="D17" i="8" s="1"/>
  <c r="B23" i="8"/>
  <c r="C24" i="8" l="1"/>
  <c r="C21" i="14" s="1"/>
  <c r="C23" i="8"/>
  <c r="B21" i="14" s="1"/>
  <c r="E18" i="8"/>
  <c r="E19" i="8" s="1"/>
  <c r="D24" i="8"/>
  <c r="B26" i="8"/>
  <c r="B20" i="14"/>
  <c r="C20" i="14"/>
  <c r="B27" i="8"/>
  <c r="D23" i="8"/>
  <c r="E16" i="8"/>
  <c r="E17" i="8" l="1"/>
  <c r="F16" i="8" s="1"/>
  <c r="F17" i="8" s="1"/>
  <c r="C26" i="8"/>
  <c r="C28" i="8" s="1"/>
  <c r="C27" i="8"/>
  <c r="C29" i="8" s="1"/>
  <c r="C22" i="14"/>
  <c r="D27" i="8"/>
  <c r="D29" i="8" s="1"/>
  <c r="B22" i="14"/>
  <c r="D26" i="8"/>
  <c r="D28" i="8" s="1"/>
  <c r="B29" i="8"/>
  <c r="E24" i="8"/>
  <c r="F18" i="8"/>
  <c r="F19" i="8" s="1"/>
  <c r="B28" i="8"/>
  <c r="E23" i="8" l="1"/>
  <c r="G18" i="8"/>
  <c r="G19" i="8" s="1"/>
  <c r="F24" i="8"/>
  <c r="C23" i="14"/>
  <c r="E27" i="8"/>
  <c r="E29" i="8" s="1"/>
  <c r="F23" i="8"/>
  <c r="G16" i="8"/>
  <c r="G17" i="8" s="1"/>
  <c r="E26" i="8"/>
  <c r="B23" i="14"/>
  <c r="F26" i="8" l="1"/>
  <c r="F28" i="8" s="1"/>
  <c r="B24" i="14"/>
  <c r="C24" i="14"/>
  <c r="F27" i="8"/>
  <c r="F29" i="8" s="1"/>
  <c r="E28" i="8"/>
  <c r="H16" i="8"/>
  <c r="H17" i="8" s="1"/>
  <c r="G23" i="8"/>
  <c r="H18" i="8"/>
  <c r="H19" i="8" s="1"/>
  <c r="G24" i="8"/>
  <c r="B25" i="14" l="1"/>
  <c r="G26" i="8"/>
  <c r="G28" i="8" s="1"/>
  <c r="H23" i="8"/>
  <c r="I16" i="8"/>
  <c r="I17" i="8" s="1"/>
  <c r="I18" i="8"/>
  <c r="I19" i="8" s="1"/>
  <c r="H24" i="8"/>
  <c r="C25" i="14"/>
  <c r="G27" i="8"/>
  <c r="C26" i="14" l="1"/>
  <c r="H27" i="8"/>
  <c r="H29" i="8" s="1"/>
  <c r="G29" i="8"/>
  <c r="I24" i="8"/>
  <c r="J18" i="8"/>
  <c r="J19" i="8" s="1"/>
  <c r="I23" i="8"/>
  <c r="J16" i="8"/>
  <c r="J17" i="8" s="1"/>
  <c r="B26" i="14"/>
  <c r="H26" i="8"/>
  <c r="H28" i="8" s="1"/>
  <c r="I27" i="8" l="1"/>
  <c r="I29" i="8" s="1"/>
  <c r="C27" i="14"/>
  <c r="K16" i="8"/>
  <c r="K17" i="8" s="1"/>
  <c r="J23" i="8"/>
  <c r="B27" i="14"/>
  <c r="I26" i="8"/>
  <c r="J24" i="8"/>
  <c r="K18" i="8"/>
  <c r="K19" i="8" s="1"/>
  <c r="K24" i="8" l="1"/>
  <c r="L18" i="8"/>
  <c r="L19" i="8" s="1"/>
  <c r="J27" i="8"/>
  <c r="J29" i="8" s="1"/>
  <c r="C28" i="14"/>
  <c r="J26" i="8"/>
  <c r="J28" i="8" s="1"/>
  <c r="B28" i="14"/>
  <c r="K23" i="8"/>
  <c r="L16" i="8"/>
  <c r="L17" i="8" s="1"/>
  <c r="I28" i="8"/>
  <c r="M16" i="8" l="1"/>
  <c r="M17" i="8" s="1"/>
  <c r="L23" i="8"/>
  <c r="B29" i="14"/>
  <c r="K26" i="8"/>
  <c r="K28" i="8" s="1"/>
  <c r="M18" i="8"/>
  <c r="M19" i="8" s="1"/>
  <c r="L24" i="8"/>
  <c r="C29" i="14"/>
  <c r="K27" i="8"/>
  <c r="K29" i="8" s="1"/>
  <c r="L27" i="8" l="1"/>
  <c r="L29" i="8" s="1"/>
  <c r="C30" i="14"/>
  <c r="M24" i="8"/>
  <c r="N18" i="8"/>
  <c r="N19" i="8" s="1"/>
  <c r="L26" i="8"/>
  <c r="L28" i="8" s="1"/>
  <c r="B30" i="14"/>
  <c r="M23" i="8"/>
  <c r="N16" i="8"/>
  <c r="N17" i="8" s="1"/>
  <c r="N23" i="8" l="1"/>
  <c r="O16" i="8"/>
  <c r="O17" i="8" s="1"/>
  <c r="M26" i="8"/>
  <c r="M28" i="8" s="1"/>
  <c r="B31" i="14"/>
  <c r="O18" i="8"/>
  <c r="O19" i="8" s="1"/>
  <c r="N24" i="8"/>
  <c r="C31" i="14"/>
  <c r="M27" i="8"/>
  <c r="M29" i="8" s="1"/>
  <c r="C32" i="14" l="1"/>
  <c r="N27" i="8"/>
  <c r="N29" i="8" s="1"/>
  <c r="O23" i="8"/>
  <c r="P16" i="8"/>
  <c r="P17" i="8" s="1"/>
  <c r="B32" i="14"/>
  <c r="N26" i="8"/>
  <c r="N28" i="8" s="1"/>
  <c r="O24" i="8"/>
  <c r="P18" i="8"/>
  <c r="P19" i="8" s="1"/>
  <c r="B33" i="14" l="1"/>
  <c r="O26" i="8"/>
  <c r="O28" i="8" s="1"/>
  <c r="Q18" i="8"/>
  <c r="Q19" i="8" s="1"/>
  <c r="P24" i="8"/>
  <c r="P23" i="8"/>
  <c r="Q16" i="8"/>
  <c r="Q17" i="8" s="1"/>
  <c r="C33" i="14"/>
  <c r="O27" i="8"/>
  <c r="O29" i="8" s="1"/>
  <c r="B34" i="14" l="1"/>
  <c r="P26" i="8"/>
  <c r="P28" i="8" s="1"/>
  <c r="R18" i="8"/>
  <c r="R19" i="8" s="1"/>
  <c r="Q24" i="8"/>
  <c r="Q23" i="8"/>
  <c r="R16" i="8"/>
  <c r="R17" i="8" s="1"/>
  <c r="C34" i="14"/>
  <c r="P27" i="8"/>
  <c r="P29" i="8" s="1"/>
  <c r="S16" i="8" l="1"/>
  <c r="S17" i="8" s="1"/>
  <c r="R23" i="8"/>
  <c r="Q26" i="8"/>
  <c r="Q28" i="8" s="1"/>
  <c r="B35" i="14"/>
  <c r="Q27" i="8"/>
  <c r="Q29" i="8" s="1"/>
  <c r="C35" i="14"/>
  <c r="S18" i="8"/>
  <c r="S19" i="8" s="1"/>
  <c r="R24" i="8"/>
  <c r="B36" i="14" l="1"/>
  <c r="R26" i="8"/>
  <c r="R28" i="8" s="1"/>
  <c r="T16" i="8"/>
  <c r="T17" i="8" s="1"/>
  <c r="S23" i="8"/>
  <c r="C36" i="14"/>
  <c r="R27" i="8"/>
  <c r="R29" i="8" s="1"/>
  <c r="S24" i="8"/>
  <c r="T18" i="8"/>
  <c r="T19" i="8" s="1"/>
  <c r="B37" i="14" l="1"/>
  <c r="S26" i="8"/>
  <c r="S28" i="8" s="1"/>
  <c r="U18" i="8"/>
  <c r="U19" i="8" s="1"/>
  <c r="T24" i="8"/>
  <c r="S27" i="8"/>
  <c r="S29" i="8" s="1"/>
  <c r="C37" i="14"/>
  <c r="T23" i="8"/>
  <c r="U16" i="8"/>
  <c r="U17" i="8" s="1"/>
  <c r="V16" i="8" l="1"/>
  <c r="V17" i="8" s="1"/>
  <c r="U23" i="8"/>
  <c r="B38" i="14"/>
  <c r="T26" i="8"/>
  <c r="T28" i="8" s="1"/>
  <c r="C38" i="14"/>
  <c r="T27" i="8"/>
  <c r="T29" i="8" s="1"/>
  <c r="U24" i="8"/>
  <c r="V18" i="8"/>
  <c r="V19" i="8" s="1"/>
  <c r="V24" i="8" l="1"/>
  <c r="W18" i="8"/>
  <c r="W19" i="8" s="1"/>
  <c r="W16" i="8"/>
  <c r="W17" i="8" s="1"/>
  <c r="V23" i="8"/>
  <c r="C39" i="14"/>
  <c r="U27" i="8"/>
  <c r="U29" i="8" s="1"/>
  <c r="U26" i="8"/>
  <c r="U28" i="8" s="1"/>
  <c r="B39" i="14"/>
  <c r="C40" i="14" l="1"/>
  <c r="V27" i="8"/>
  <c r="V29" i="8" s="1"/>
  <c r="B40" i="14"/>
  <c r="V26" i="8"/>
  <c r="V28" i="8" s="1"/>
  <c r="W23" i="8"/>
  <c r="X16" i="8"/>
  <c r="X17" i="8" s="1"/>
  <c r="W24" i="8"/>
  <c r="X18" i="8"/>
  <c r="X19" i="8" s="1"/>
  <c r="W26" i="8" l="1"/>
  <c r="W28" i="8" s="1"/>
  <c r="B41" i="14"/>
  <c r="C41" i="14"/>
  <c r="W27" i="8"/>
  <c r="W29" i="8" s="1"/>
  <c r="Y18" i="8"/>
  <c r="Y19" i="8" s="1"/>
  <c r="X24" i="8"/>
  <c r="X23" i="8"/>
  <c r="Y16" i="8"/>
  <c r="Y17" i="8" s="1"/>
  <c r="C42" i="14" l="1"/>
  <c r="X27" i="8"/>
  <c r="X29" i="8" s="1"/>
  <c r="Y23" i="8"/>
  <c r="Z16" i="8"/>
  <c r="Z17" i="8" s="1"/>
  <c r="Z18" i="8"/>
  <c r="Z19" i="8" s="1"/>
  <c r="Y24" i="8"/>
  <c r="B42" i="14"/>
  <c r="X26" i="8"/>
  <c r="X28" i="8" s="1"/>
  <c r="Y27" i="8" l="1"/>
  <c r="Y29" i="8" s="1"/>
  <c r="C43" i="14"/>
  <c r="B43" i="14"/>
  <c r="Y26" i="8"/>
  <c r="Y28" i="8" s="1"/>
  <c r="Z24" i="8"/>
  <c r="AA18" i="8"/>
  <c r="AA19" i="8" s="1"/>
  <c r="AA16" i="8"/>
  <c r="AA17" i="8" s="1"/>
  <c r="Z23" i="8"/>
  <c r="Z26" i="8" l="1"/>
  <c r="Z28" i="8" s="1"/>
  <c r="B44" i="14"/>
  <c r="AB18" i="8"/>
  <c r="AB19" i="8" s="1"/>
  <c r="AA24" i="8"/>
  <c r="AA23" i="8"/>
  <c r="AB16" i="8"/>
  <c r="AB17" i="8" s="1"/>
  <c r="Z27" i="8"/>
  <c r="Z29" i="8" s="1"/>
  <c r="C44" i="14"/>
  <c r="B45" i="14" l="1"/>
  <c r="AA26" i="8"/>
  <c r="AA28" i="8" s="1"/>
  <c r="AC18" i="8"/>
  <c r="AC19" i="8" s="1"/>
  <c r="AB24" i="8"/>
  <c r="AC16" i="8"/>
  <c r="AC17" i="8" s="1"/>
  <c r="AB23" i="8"/>
  <c r="AA27" i="8"/>
  <c r="AA29" i="8" s="1"/>
  <c r="C45" i="14"/>
  <c r="AB27" i="8" l="1"/>
  <c r="AB29" i="8" s="1"/>
  <c r="C46" i="14"/>
  <c r="B46" i="14"/>
  <c r="AB26" i="8"/>
  <c r="AB28" i="8" s="1"/>
  <c r="AC23" i="8"/>
  <c r="AD16" i="8"/>
  <c r="AD17" i="8" s="1"/>
  <c r="AC24" i="8"/>
  <c r="AD18" i="8"/>
  <c r="AD19" i="8" s="1"/>
  <c r="AC26" i="8" l="1"/>
  <c r="AC28" i="8" s="1"/>
  <c r="B47" i="14"/>
  <c r="AD24" i="8"/>
  <c r="AE18" i="8"/>
  <c r="AE19" i="8" s="1"/>
  <c r="C47" i="14"/>
  <c r="AC27" i="8"/>
  <c r="AC29" i="8" s="1"/>
  <c r="AD23" i="8"/>
  <c r="AE16" i="8"/>
  <c r="AE17" i="8" s="1"/>
  <c r="AF16" i="8" l="1"/>
  <c r="AF17" i="8" s="1"/>
  <c r="AE23" i="8"/>
  <c r="B48" i="14"/>
  <c r="AD26" i="8"/>
  <c r="AD28" i="8" s="1"/>
  <c r="AE24" i="8"/>
  <c r="AF18" i="8"/>
  <c r="AF19" i="8" s="1"/>
  <c r="C48" i="14"/>
  <c r="AD27" i="8"/>
  <c r="AD29" i="8" s="1"/>
  <c r="C49" i="14" l="1"/>
  <c r="AE27" i="8"/>
  <c r="AE29" i="8" s="1"/>
  <c r="AF24" i="8"/>
  <c r="AG18" i="8"/>
  <c r="AG19" i="8" s="1"/>
  <c r="B49" i="14"/>
  <c r="AE26" i="8"/>
  <c r="AE28" i="8" s="1"/>
  <c r="AG16" i="8"/>
  <c r="AG17" i="8" s="1"/>
  <c r="AF23" i="8"/>
  <c r="B50" i="14" l="1"/>
  <c r="AF26" i="8"/>
  <c r="AF28" i="8" s="1"/>
  <c r="AG23" i="8"/>
  <c r="AH16" i="8"/>
  <c r="AH17" i="8" s="1"/>
  <c r="AG24" i="8"/>
  <c r="AH18" i="8"/>
  <c r="AH19" i="8" s="1"/>
  <c r="C50" i="14"/>
  <c r="AF27" i="8"/>
  <c r="AF29" i="8" s="1"/>
  <c r="AI18" i="8" l="1"/>
  <c r="AI19" i="8" s="1"/>
  <c r="AH24" i="8"/>
  <c r="AG27" i="8"/>
  <c r="AG29" i="8" s="1"/>
  <c r="C51" i="14"/>
  <c r="AI16" i="8"/>
  <c r="AI17" i="8" s="1"/>
  <c r="AH23" i="8"/>
  <c r="B51" i="14"/>
  <c r="AG26" i="8"/>
  <c r="AG28" i="8" s="1"/>
  <c r="AI23" i="8" l="1"/>
  <c r="AJ16" i="8"/>
  <c r="AJ17" i="8" s="1"/>
  <c r="B52" i="14"/>
  <c r="AH26" i="8"/>
  <c r="AH28" i="8" s="1"/>
  <c r="C52" i="14"/>
  <c r="AH27" i="8"/>
  <c r="AH29" i="8" s="1"/>
  <c r="AJ18" i="8"/>
  <c r="AJ19" i="8" s="1"/>
  <c r="AI24" i="8"/>
  <c r="C53" i="14" l="1"/>
  <c r="AI27" i="8"/>
  <c r="AI29" i="8" s="1"/>
  <c r="AJ23" i="8"/>
  <c r="AK16" i="8"/>
  <c r="AK17" i="8" s="1"/>
  <c r="AK18" i="8"/>
  <c r="AK19" i="8" s="1"/>
  <c r="AJ24" i="8"/>
  <c r="B53" i="14"/>
  <c r="AI26" i="8"/>
  <c r="AI28" i="8" s="1"/>
  <c r="C54" i="14" l="1"/>
  <c r="AJ27" i="8"/>
  <c r="AJ29" i="8" s="1"/>
  <c r="AK24" i="8"/>
  <c r="B16" i="11"/>
  <c r="D16" i="11" s="1"/>
  <c r="E16" i="11" s="1"/>
  <c r="AK23" i="8"/>
  <c r="B15" i="11"/>
  <c r="D15" i="11" s="1"/>
  <c r="E15" i="11" s="1"/>
  <c r="B54" i="14"/>
  <c r="AJ26" i="8"/>
  <c r="AJ28" i="8" s="1"/>
  <c r="AK26" i="8" l="1"/>
  <c r="B55" i="14"/>
  <c r="C55" i="14"/>
  <c r="AK27" i="8"/>
  <c r="AK29" i="8" l="1"/>
  <c r="B10" i="14"/>
  <c r="AK28" i="8"/>
  <c r="B9" i="14"/>
  <c r="B17" i="11" l="1"/>
  <c r="D17" i="11" s="1"/>
  <c r="E17" i="11" l="1"/>
  <c r="B18" i="11" s="1"/>
  <c r="D18" i="11" s="1"/>
  <c r="E18" i="11" l="1"/>
  <c r="B5" i="14" s="1"/>
  <c r="B4" i="1" l="1"/>
</calcChain>
</file>

<file path=xl/sharedStrings.xml><?xml version="1.0" encoding="utf-8"?>
<sst xmlns="http://schemas.openxmlformats.org/spreadsheetml/2006/main" count="641" uniqueCount="415">
  <si>
    <t>Finale Baseline: dynamische Zahlungspläne, Plan-/Live-Liquidität, Steuerreserven, Szenarien und Modellchecks</t>
  </si>
  <si>
    <t>Status</t>
  </si>
  <si>
    <t>Model purpose</t>
  </si>
  <si>
    <t>36-Monats-Planung für ein kapitalarmes B2B-Projekt- und Servicemodell</t>
  </si>
  <si>
    <t>Capital convention</t>
  </si>
  <si>
    <t>25.000 € geplante Startfinanzierung: 500 € Stammkapital + 24.500 € gesondert dokumentierte Zuführung/Darlehen</t>
  </si>
  <si>
    <t>Cash convention</t>
  </si>
  <si>
    <t>Plan- und Live-Sicht getrennt; verfügbare Liquidität nach Umsatzsteuer- und Ertragsteuerreserve</t>
  </si>
  <si>
    <t>Limit</t>
  </si>
  <si>
    <t>No object operation, tenant deposits, customer funds, receivables financing or input-VAT recovery modelled.</t>
  </si>
  <si>
    <t>Gate</t>
  </si>
  <si>
    <t>Live-Freigabe erst nach Eintrag des dokumentiert eingegangenen Finanzierungsbetrags</t>
  </si>
  <si>
    <t>Source</t>
  </si>
  <si>
    <t>Zahlungsprofile: Blueprint 40/40/20; Launch 30/30/30/10; Office Setup 50/30/20; laufende Leistungen im Voraus</t>
  </si>
  <si>
    <t>Owner</t>
  </si>
  <si>
    <t>Zaki Amawi / finance review required before use for commitments</t>
  </si>
  <si>
    <t>Version date</t>
  </si>
  <si>
    <t>28. Juli 2026</t>
  </si>
  <si>
    <t>Item</t>
  </si>
  <si>
    <t>Value</t>
  </si>
  <si>
    <t>Use</t>
  </si>
  <si>
    <t>Startfinanzierung</t>
  </si>
  <si>
    <t>Startkapitalbedarf; nicht Produktpreis</t>
  </si>
  <si>
    <t>Stammkapital</t>
  </si>
  <si>
    <t>Teil der Startfinanzierung</t>
  </si>
  <si>
    <t>Zuführung / Darlehen</t>
  </si>
  <si>
    <t>Vor Live-Freigabe dokumentieren</t>
  </si>
  <si>
    <t>Launch-Preis netto</t>
  </si>
  <si>
    <t>Produktpreis zzgl. Fremdkosten</t>
  </si>
  <si>
    <t>Umsatz Jahr 1</t>
  </si>
  <si>
    <t>Basiscase</t>
  </si>
  <si>
    <t>Umsatz Jahr 2</t>
  </si>
  <si>
    <t>Umsatz Jahr 3</t>
  </si>
  <si>
    <t>EBITDA Jahr 1</t>
  </si>
  <si>
    <t>Recomputed audit</t>
  </si>
  <si>
    <t>EBITDA Jahr 2</t>
  </si>
  <si>
    <t>EBITDA Jahr 3</t>
  </si>
  <si>
    <t>Baustein</t>
  </si>
  <si>
    <t>Modellbehandlung</t>
  </si>
  <si>
    <t>Relevanz</t>
  </si>
  <si>
    <t>Voraussetzung</t>
  </si>
  <si>
    <t>Risiko/Limit</t>
  </si>
  <si>
    <t>Quelle</t>
  </si>
  <si>
    <t>KfW 266 Gewerbe zu Wohnen</t>
  </si>
  <si>
    <t>0 EUR Basiscase; Zuschuss-Szenario</t>
  </si>
  <si>
    <t>Umnutzung Gewerbe zu Wohnen</t>
  </si>
  <si>
    <t>Antrag vor Beginn; Energieeffizienz-Experte; 10 Jahre Wohnnutzung</t>
  </si>
  <si>
    <t>De-minimis, nicht für Kaufpreis/Grundstück</t>
  </si>
  <si>
    <t>KfW 266</t>
  </si>
  <si>
    <t>KfW KFN 297/298</t>
  </si>
  <si>
    <t>Fremdkapital-Szenario</t>
  </si>
  <si>
    <t>Klimafreundlicher Neubau</t>
  </si>
  <si>
    <t>KFN/QNG-Standards; Antrag vor Beginn</t>
  </si>
  <si>
    <t>Haushaltsmittel/technische Anforderungen</t>
  </si>
  <si>
    <t>KfW 297/298</t>
  </si>
  <si>
    <t>KfW KNN 296</t>
  </si>
  <si>
    <t>Niedrigpreissegment</t>
  </si>
  <si>
    <t>Flächen-/Kosten-/Effizienzanforderungen</t>
  </si>
  <si>
    <t>Objektabhängig</t>
  </si>
  <si>
    <t>KfW 296</t>
  </si>
  <si>
    <t>BEG Sanierung/Einzelmaßnahmen</t>
  </si>
  <si>
    <t>CAPEX-/Tilgungs-Szenario</t>
  </si>
  <si>
    <t>Bestand/Sanierung/Heizung/Gebäudehülle</t>
  </si>
  <si>
    <t>Technische Mindestanforderungen</t>
  </si>
  <si>
    <t>Nicht pauschal planbar</t>
  </si>
  <si>
    <t>BMWE/KfW/BAFA</t>
  </si>
  <si>
    <t>Landeswohnraumförderung</t>
  </si>
  <si>
    <t>Objekt-Szenario</t>
  </si>
  <si>
    <t>Sozialer/gebundener Wohnraum</t>
  </si>
  <si>
    <t>Standort, Miet-/Belegungsbindung</t>
  </si>
  <si>
    <t>Kann Flexibilität Arbeitgeberwohnen begrenzen</t>
  </si>
  <si>
    <t>Landesförderbanken</t>
  </si>
  <si>
    <t>AfA / §7b EStG</t>
  </si>
  <si>
    <t>Investor-Cashflow-Hinweis</t>
  </si>
  <si>
    <t>Neubau/Mietwohnungsbau</t>
  </si>
  <si>
    <t>Steuerprüfung und Nutzungsart</t>
  </si>
  <si>
    <t>Temporäre Beherbergung kritisch</t>
  </si>
  <si>
    <t>EStG/BMF</t>
  </si>
  <si>
    <t>Arbeitgeberwohnung</t>
  </si>
  <si>
    <t>Kundenargument; kein UG-Zufluss</t>
  </si>
  <si>
    <t>Lohnsteuerlich strukturierbare Wohnlösung</t>
  </si>
  <si>
    <t>Payroll-/Steuerprüfung Arbeitgeber</t>
  </si>
  <si>
    <t>Sachbezug, ortsübliche Miete, SvEV</t>
  </si>
  <si>
    <t>BMF LStH/SvEV</t>
  </si>
  <si>
    <t>Stress</t>
  </si>
  <si>
    <t>Annahme</t>
  </si>
  <si>
    <t>Wirkung</t>
  </si>
  <si>
    <t>Management-Reaktion</t>
  </si>
  <si>
    <t>Payment delay +60 days</t>
  </si>
  <si>
    <t>Gleicher Umsatz, aber Zahlung 60 Tage später</t>
  </si>
  <si>
    <t>Belastet freie Liquidität und USt-/Steuerreserve</t>
  </si>
  <si>
    <t>Forderungseinzug, Abschlagszahlung, GF-Bezug prüfen</t>
  </si>
  <si>
    <t>Zu modellieren in 13-Wochen-Forecast</t>
  </si>
  <si>
    <t>Payment delay +90 days</t>
  </si>
  <si>
    <t>Gleicher Umsatz, aber Zahlung 90 Tage später</t>
  </si>
  <si>
    <t>Live-Puffer kann trotz Jahresgewinn kritisch werden</t>
  </si>
  <si>
    <t>Keine neuen Fixkosten, Vorauszahlung verhandeln</t>
  </si>
  <si>
    <t>Launch shift +3 months</t>
  </si>
  <si>
    <t>Launch-Auftrag verschiebt sich um 3 Monate</t>
  </si>
  <si>
    <t>Umsatzpfad und Beleglogik verzögert</t>
  </si>
  <si>
    <t>Kostenstopp, Pipeline schärfen, Downside-Regel aktivieren</t>
  </si>
  <si>
    <t>P1 Gate</t>
  </si>
  <si>
    <t>Funding not documented</t>
  </si>
  <si>
    <t>24.500 EUR nicht eingebracht</t>
  </si>
  <si>
    <t>Model release bleibt CONDITIONAL</t>
  </si>
  <si>
    <t>Keine Verpflichtungen vor Mittelzufluss</t>
  </si>
  <si>
    <t>Aktueller Live-Gate</t>
  </si>
  <si>
    <t>AMAVIO P1 Gates vor externer Abgabe</t>
  </si>
  <si>
    <t>Benötigter Nachweis</t>
  </si>
  <si>
    <t>Geschäftskonto, Mittelzufluss, Darlehen/Zuführung, Beschluss</t>
  </si>
  <si>
    <t>Gründer / Steuerberatung</t>
  </si>
  <si>
    <t>Offen bis Nachweis</t>
  </si>
  <si>
    <t>Nachfragebeweis</t>
  </si>
  <si>
    <t>Pipeline, LOI, Angebot oder bezahltes Pilotmandat</t>
  </si>
  <si>
    <t>Gründer</t>
  </si>
  <si>
    <t>Offen</t>
  </si>
  <si>
    <t>§34c / Leistungsabgrenzung</t>
  </si>
  <si>
    <t>Kurzvermerk erlaubte/ausgeschlossene Tätigkeiten</t>
  </si>
  <si>
    <t>Rechtsprüfung</t>
  </si>
  <si>
    <t>Unternehmensgegenstand</t>
  </si>
  <si>
    <t>Satzungsabgleich / Zieltext</t>
  </si>
  <si>
    <t>Rechts-/Notarprüfung</t>
  </si>
  <si>
    <t>Cash Forecast</t>
  </si>
  <si>
    <t>13-Wochen-Forecast mit Zahlungszielen und Steuerterminen</t>
  </si>
  <si>
    <t>Gründer / Buchhaltung</t>
  </si>
  <si>
    <t>AMAVIO | Inputs – edit blue cells only</t>
  </si>
  <si>
    <t>Parameter</t>
  </si>
  <si>
    <t>Year 1</t>
  </si>
  <si>
    <t>Year 2</t>
  </si>
  <si>
    <t>Year 3</t>
  </si>
  <si>
    <t>Unit</t>
  </si>
  <si>
    <t>Note</t>
  </si>
  <si>
    <t>Planned total start funding</t>
  </si>
  <si>
    <t>EUR</t>
  </si>
  <si>
    <t>€500 share capital + €24,500 documented contribution/loan; do not double count</t>
  </si>
  <si>
    <t>Documented received start funding</t>
  </si>
  <si>
    <t>Set to actual received amount before live use</t>
  </si>
  <si>
    <t>VAT rate</t>
  </si>
  <si>
    <t>%</t>
  </si>
  <si>
    <t>VAT timing only; input VAT excluded</t>
  </si>
  <si>
    <t>Variable external cost rate</t>
  </si>
  <si>
    <t>% revenue</t>
  </si>
  <si>
    <t>Non-recharged service external costs</t>
  </si>
  <si>
    <t>Monthly overhead</t>
  </si>
  <si>
    <t>EUR/month</t>
  </si>
  <si>
    <t>Software, insurance, marketing, advisers</t>
  </si>
  <si>
    <t>Founder gross compensation</t>
  </si>
  <si>
    <t>Only after GF agreement + resolution + cash gate. HINWEIS: Gründungszuschuss BA prüfen (ggf. +€1.200-2.000/Monat persönlich für 6 Monate).</t>
  </si>
  <si>
    <t>Project coordination staff</t>
  </si>
  <si>
    <t>Only after personnel gate</t>
  </si>
  <si>
    <t>Depreciation</t>
  </si>
  <si>
    <t>EUR/year</t>
  </si>
  <si>
    <t>P&amp;L only</t>
  </si>
  <si>
    <t>Capex</t>
  </si>
  <si>
    <t>Cash use</t>
  </si>
  <si>
    <t>Minimum liquidity</t>
  </si>
  <si>
    <t>Management threshold</t>
  </si>
  <si>
    <t>Downside revenue factor</t>
  </si>
  <si>
    <t>% of Base</t>
  </si>
  <si>
    <t>Corrected to 45%</t>
  </si>
  <si>
    <t>Growth revenue factor</t>
  </si>
  <si>
    <t>Planning sensitivity</t>
  </si>
  <si>
    <t>Start-year billable founder days</t>
  </si>
  <si>
    <t>days</t>
  </si>
  <si>
    <t>Year 1 launch capacity; years 2–3 mature target capacity</t>
  </si>
  <si>
    <t>Standard day rate</t>
  </si>
  <si>
    <t>EUR/day</t>
  </si>
  <si>
    <t>Interne Kalibrierung gemäß Businessplan; client-facing Preise bleiben paketbasiert</t>
  </si>
  <si>
    <t>P0 finance status</t>
  </si>
  <si>
    <t>CONDITIONAL</t>
  </si>
  <si>
    <t>status</t>
  </si>
  <si>
    <t>Requires documented funding + legal/data/brand gates before commitments. Gate §34c GewO: Maklertätigkeit vor erstem Launch rechtlich klären.</t>
  </si>
  <si>
    <t>Tax reserve rate</t>
  </si>
  <si>
    <t>% of positive EBT</t>
  </si>
  <si>
    <t>Vorsichtige Planreserve; keine Steuerberechnung</t>
  </si>
  <si>
    <t>Payment profile</t>
  </si>
  <si>
    <t>Editierbare Ratenprofile für Vertrags-Cashflow</t>
  </si>
  <si>
    <t>Blueprint instalments</t>
  </si>
  <si>
    <t>Auftrag / Optionsfreigabe / Übergabe</t>
  </si>
  <si>
    <t>Launch instalments</t>
  </si>
  <si>
    <t>Auftrag / Entscheidung / Bezugsfertigkeit</t>
  </si>
  <si>
    <t>Launch final instalment</t>
  </si>
  <si>
    <t>Stabilisierung</t>
  </si>
  <si>
    <t>Office Setup instalments</t>
  </si>
  <si>
    <t>Auftrag / Systemfreigabe / Go-live</t>
  </si>
  <si>
    <t>Model baseline</t>
  </si>
  <si>
    <t>93,500 / 269,000 / 442,000</t>
  </si>
  <si>
    <t>Planumsatz Jahre 1–3</t>
  </si>
  <si>
    <t>AMAVIO | Contract value and planned cash collection schedule</t>
  </si>
  <si>
    <t>Contract / package</t>
  </si>
  <si>
    <t>Year</t>
  </si>
  <si>
    <t>Net contract value</t>
  </si>
  <si>
    <t>Payment logic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</si>
  <si>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</si>
  <si>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</si>
  <si>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</si>
  <si>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</si>
  <si>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</si>
  <si>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</si>
  <si>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</si>
  <si>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</si>
  <si>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</si>
  <si>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</si>
  <si>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</si>
  <si>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</si>
  <si>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</si>
  <si>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</si>
  <si>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</si>
  <si>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</si>
  <si>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</si>
  <si>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</si>
  <si>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</si>
  <si>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</si>
  <si>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</si>
  <si>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</si>
  <si>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</si>
  <si>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</si>
  <si>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</si>
  <si>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</si>
  <si>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</si>
  <si>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</si>
  <si>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</si>
  <si>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</si>
  <si>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</si>
  <si>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</si>
  <si>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</si>
  <si>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</si>
  <si>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</si>
  <si>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</si>
  <si>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Blueprint 01</t>
  </si>
  <si>
    <t>40 / 40 / 20</t>
  </si>
  <si>
    <t>Blueprint 02</t>
  </si>
  <si>
    <t>Launch 01</t>
  </si>
  <si>
    <t>30 / 30 / 30 / 10</t>
  </si>
  <si>
    <t>Office Setup 01</t>
  </si>
  <si>
    <t>50 / 30 / 20</t>
  </si>
  <si>
    <t>Retainer 01</t>
  </si>
  <si>
    <t>monthly in advance</t>
  </si>
  <si>
    <t>Add-ons 01</t>
  </si>
  <si>
    <t>approved scope</t>
  </si>
  <si>
    <t>Blueprint 03</t>
  </si>
  <si>
    <t>Blueprint 04</t>
  </si>
  <si>
    <t>Blueprint 05</t>
  </si>
  <si>
    <t>Launch 02</t>
  </si>
  <si>
    <t>Launch 03</t>
  </si>
  <si>
    <t>Office Setup 02</t>
  </si>
  <si>
    <t>Retainer 02</t>
  </si>
  <si>
    <t>Add-ons 02</t>
  </si>
  <si>
    <t>Blueprint 06</t>
  </si>
  <si>
    <t>Blueprint 07</t>
  </si>
  <si>
    <t>Blueprint 08</t>
  </si>
  <si>
    <t>Blueprint 09</t>
  </si>
  <si>
    <t>Launch 04</t>
  </si>
  <si>
    <t>Launch 05</t>
  </si>
  <si>
    <t>Office Setup 03</t>
  </si>
  <si>
    <t>Office Setup 04</t>
  </si>
  <si>
    <t>Retainer 03</t>
  </si>
  <si>
    <t>Add-ons 03</t>
  </si>
  <si>
    <t>TOTAL NET CASH COLLECTION</t>
  </si>
  <si>
    <t>AMAVIO | 36-Monats-Cash-Plan – Plan-/Live-Liquidität und Steuerreserven</t>
  </si>
  <si>
    <t>Position</t>
  </si>
  <si>
    <t>Net cash collections</t>
  </si>
  <si>
    <t>VAT collected</t>
  </si>
  <si>
    <t>VAT paid from prior-month reserve</t>
  </si>
  <si>
    <t>Gross cash receipts</t>
  </si>
  <si>
    <t>Variable external cash costs</t>
  </si>
  <si>
    <t>Overhead</t>
  </si>
  <si>
    <t>Founder compensation</t>
  </si>
  <si>
    <t>Project coordination</t>
  </si>
  <si>
    <t>Operating net cashflow</t>
  </si>
  <si>
    <t>Planned start funding</t>
  </si>
  <si>
    <t>Documented start funding</t>
  </si>
  <si>
    <t>Plan opening cash</t>
  </si>
  <si>
    <t>Plan closing cash</t>
  </si>
  <si>
    <t>Live opening cash</t>
  </si>
  <si>
    <t>Live closing cash</t>
  </si>
  <si>
    <t>VAT reserve closing</t>
  </si>
  <si>
    <t>Tax reserve allocation</t>
  </si>
  <si>
    <t>Restricted tax reserve closing</t>
  </si>
  <si>
    <t>Plan available cash</t>
  </si>
  <si>
    <t>Live available cash</t>
  </si>
  <si>
    <t>Plan liquidity buffer</t>
  </si>
  <si>
    <t>Live liquidity buffer</t>
  </si>
  <si>
    <t>Plan cash status</t>
  </si>
  <si>
    <t>Live cash status</t>
  </si>
  <si>
    <t>Verfügbare Liquidität = Brutto-Cash abzüglich noch nicht abgeführter Umsatzsteuer und kumulierter Ertragsteuerreserve. Steuertermine sind mit der Steuerberatung zu konkretisieren.</t>
  </si>
  <si>
    <t>AMAVIO | Annual P&amp;L (net service revenue)</t>
  </si>
  <si>
    <t>Net revenue</t>
  </si>
  <si>
    <t>Variable external costs</t>
  </si>
  <si>
    <t>EBITDA</t>
  </si>
  <si>
    <t>EBT</t>
  </si>
  <si>
    <t>Tax reserve</t>
  </si>
  <si>
    <t>Net income after reserve</t>
  </si>
  <si>
    <t>P&amp;L revenue is based on net contract values. The tax reserve is a planning restriction, not a tax assessment.</t>
  </si>
  <si>
    <t>AMAVIO | Transparente Jahres-Szenarien mit Steuerungsmaßnahmen</t>
  </si>
  <si>
    <t>Umsatzfaktoren und Steuerreserve werden aus Assumptions bezogen; fixe Kosten bleiben konservativ unverändert.</t>
  </si>
  <si>
    <t>Scenario</t>
  </si>
  <si>
    <t>Revenue factor</t>
  </si>
  <si>
    <t>Revenue</t>
  </si>
  <si>
    <t>Variable costs</t>
  </si>
  <si>
    <t>Fixed costs incl. founder/staff/depr.</t>
  </si>
  <si>
    <t>Prioritäre Maßnahmen bei Eintritt</t>
  </si>
  <si>
    <t>Downside</t>
  </si>
  <si>
    <t>1. Neueinstellungen stoppen
2. GF-Bezug auf min. reduzieren
3. Externe Kosten einfrieren
4. Pipeline-ICP schärfen</t>
  </si>
  <si>
    <t>1. Personalausbau stoppen
2. Office-Verträge prüfen
3. Scope-Reduktion bei lfd. Mandaten
4. 13-Wochen-Forecast täglich</t>
  </si>
  <si>
    <t>1. Alle neuen Fixkosten-Bindungen stoppen
2. Objektpilot ausschließen
3. Partnernetz kostenfrei halten
4. Break-even-Reset</t>
  </si>
  <si>
    <t>Base</t>
  </si>
  <si>
    <t>Basiscase: Plan einhalten, Vertriebstakt prüfen</t>
  </si>
  <si>
    <t>Basiscase: Personal-Gate prüfen; 2. Ankerkunde aktiv</t>
  </si>
  <si>
    <t>Basiscase: Objekt-/Produktentscheidung nach Gate</t>
  </si>
  <si>
    <t>Growth</t>
  </si>
  <si>
    <t>Growth: Delivery-Kapazität sofort prüfen; kein ungeplanter Personalaufbau</t>
  </si>
  <si>
    <t>Growth: Zusatzkapazität vor Scope-Erweiterung sichern</t>
  </si>
  <si>
    <t>Growth: Investitionsentscheidung mit separatem Business Case</t>
  </si>
  <si>
    <t>AMAVIO | Modellchecks und Freigabestatus</t>
  </si>
  <si>
    <t>Check</t>
  </si>
  <si>
    <t>Actual</t>
  </si>
  <si>
    <t>Expected</t>
  </si>
  <si>
    <t>Difference</t>
  </si>
  <si>
    <t>Y1 revenue</t>
  </si>
  <si>
    <t>Contract values</t>
  </si>
  <si>
    <t>Y2 revenue</t>
  </si>
  <si>
    <t>Y3 revenue</t>
  </si>
  <si>
    <t>Contract schedule total</t>
  </si>
  <si>
    <t>Every instalment schedule ties to contract value</t>
  </si>
  <si>
    <t>Office Setup schedule</t>
  </si>
  <si>
    <t>50/30/20 for all Office Setup contracts</t>
  </si>
  <si>
    <t>Planned funding applied</t>
  </si>
  <si>
    <t>Plan view</t>
  </si>
  <si>
    <t>Received funding applied</t>
  </si>
  <si>
    <t>Live view</t>
  </si>
  <si>
    <t>Accepted master baseline</t>
  </si>
  <si>
    <t>Downside factor</t>
  </si>
  <si>
    <t>No embedded factor</t>
  </si>
  <si>
    <t>Growth factor</t>
  </si>
  <si>
    <t>Tax reserve link</t>
  </si>
  <si>
    <t>Planning reserve</t>
  </si>
  <si>
    <t>Plan cash roll-forward</t>
  </si>
  <si>
    <t>Closing cash</t>
  </si>
  <si>
    <t>Live cash roll-forward</t>
  </si>
  <si>
    <t>Final external scan required</t>
  </si>
  <si>
    <t>Model release</t>
  </si>
  <si>
    <t>PASS</t>
  </si>
  <si>
    <t>Documented received funding remains the live-use gate</t>
  </si>
  <si>
    <t>AMAVIO | Zahlungssteuerung – Timing und Profil</t>
  </si>
  <si>
    <t>Blaue Zellen steuern Startmonat, Zahlungsprofil, Anzahl und Intervall. Vertragswerte bleiben im Sheet Contract_Cash.</t>
  </si>
  <si>
    <t>Start month</t>
  </si>
  <si>
    <t>Profile</t>
  </si>
  <si>
    <t>Payment count</t>
  </si>
  <si>
    <t>Interval (months)</t>
  </si>
  <si>
    <t>Control note</t>
  </si>
  <si>
    <t>Blueprint</t>
  </si>
  <si>
    <t>40/40/20</t>
  </si>
  <si>
    <t>Launch</t>
  </si>
  <si>
    <t>30/30/30/10</t>
  </si>
  <si>
    <t>Office Setup</t>
  </si>
  <si>
    <t>50/30/20</t>
  </si>
  <si>
    <t>Monthly</t>
  </si>
  <si>
    <t>3 months in advance</t>
  </si>
  <si>
    <t>Periodic</t>
  </si>
  <si>
    <t>3 equal monthly amounts</t>
  </si>
  <si>
    <t>12 months in advance</t>
  </si>
  <si>
    <t>3 equal amounts, quarterly</t>
  </si>
  <si>
    <t>12 equal monthly amounts</t>
  </si>
  <si>
    <t>AMAVIO | Quellen- und Annahmenprotokoll</t>
  </si>
  <si>
    <t>Value / purpose</t>
  </si>
  <si>
    <t>Units / period</t>
  </si>
  <si>
    <t>Source type</t>
  </si>
  <si>
    <t>Source / reference</t>
  </si>
  <si>
    <t>Notes</t>
  </si>
  <si>
    <t>Plan revenue</t>
  </si>
  <si>
    <t>EUR / Plan years 1–3</t>
  </si>
  <si>
    <t>Internal baseline</t>
  </si>
  <si>
    <t>EUR net</t>
  </si>
  <si>
    <t>29,500 EUR is the binding Launch baseline; no reduced Launch price is used in the model</t>
  </si>
  <si>
    <t>Internal calibration</t>
  </si>
  <si>
    <t>Not a market statistic</t>
  </si>
  <si>
    <t>Office Setup payment</t>
  </si>
  <si>
    <t>Internal policy</t>
  </si>
  <si>
    <t>Order / system approval / go-live</t>
  </si>
  <si>
    <t>Start funding</t>
  </si>
  <si>
    <t>Internal financing plan</t>
  </si>
  <si>
    <t>500 EUR share capital + 24,500 EUR documented contribution/loan</t>
  </si>
  <si>
    <t>% positive EBT</t>
  </si>
  <si>
    <t>Planning assumption</t>
  </si>
  <si>
    <t>Not a tax calculation; tax adviser to confirm</t>
  </si>
  <si>
    <t>Plan- und Live-Sicht bleiben bewusst getrennt. Der Live-Status reagiert auf den dokumentierten Finanzierungszufluss in Assumptions.</t>
  </si>
  <si>
    <t>KPI</t>
  </si>
  <si>
    <t>Status / context</t>
  </si>
  <si>
    <t>Live-use gate</t>
  </si>
  <si>
    <t>Year 1 revenue</t>
  </si>
  <si>
    <t>Accepted baseline</t>
  </si>
  <si>
    <t>Year 1 EBT</t>
  </si>
  <si>
    <t>Before tax reserve</t>
  </si>
  <si>
    <t>Year 1 net income</t>
  </si>
  <si>
    <t>After planning reserve</t>
  </si>
  <si>
    <t>Minimum plan buffer</t>
  </si>
  <si>
    <t>After VAT and tax reserve</t>
  </si>
  <si>
    <t>Minimum live buffer</t>
  </si>
  <si>
    <t>Uses documented funding</t>
  </si>
  <si>
    <t>Net income</t>
  </si>
  <si>
    <t>Month</t>
  </si>
  <si>
    <t>AMAVIO | Finanzmodell 36 Monate v1.8 FINAL</t>
  </si>
  <si>
    <t>Kernfassung 1.8 · AMAVIO Living · Preis-, Cash- und Quellen-Synchronisierung · 30. Juli 2026</t>
  </si>
  <si>
    <t>AMAVIO | Managementübersicht · Baseline v1.8</t>
  </si>
  <si>
    <t>PASS setzt fehlerfreie Kernformeln, vollständige Startfinanzierung, Mindestliquidität und geschlossene P1-Gates voraus; andernfalls bleibt das Modell CONDITIONAL.</t>
  </si>
  <si>
    <t>Key formula error scan</t>
  </si>
  <si>
    <t>AMAVIO Source of Truth v2.2</t>
  </si>
  <si>
    <t>AMAVIO Förder- und Finanzierungsbausteine v2.2</t>
  </si>
  <si>
    <t>AMAVIO Cash Timing Stress v2.2</t>
  </si>
  <si>
    <t>Businessplan Master v2.2, Kapitel 9</t>
  </si>
  <si>
    <t>Businessplan Master v2.2; P0 Commercial Architecture</t>
  </si>
  <si>
    <t>Businessplan Master v2.2, Kapitel 1 und 8</t>
  </si>
  <si>
    <t>Businessplan Master v2.2, Zahlungsmodell</t>
  </si>
  <si>
    <t>Businessplan Master v2.2 und Nachweispaket v2.2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</si>
</sst>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;[Red]\(\€#,##0\);\-"/>
    <numFmt numFmtId="165" formatCode="0.0%;[Red]\(0.0%\);\-"/>
  </numFmts>
  <fonts count="12">
    <font>
      <sz val="11"/>
      <name val="Carlito"/>
    </font>
    <font>
      <b/>
      <sz val="16"/>
      <color rgb="FFFFFFFF"/>
      <name val="Arial"/>
    </font>
    <font>
      <i/>
      <sz val="11"/>
      <color rgb="FF52606D"/>
      <name val="Arial"/>
    </font>
    <font>
      <sz val="11"/>
      <name val="Arial"/>
    </font>
    <font>
      <b/>
      <sz val="11"/>
      <color rgb="FF102A43"/>
      <name val="Arial"/>
    </font>
    <font>
      <sz val="11"/>
      <color rgb="FF0000FF"/>
      <name val="Arial"/>
    </font>
    <font>
      <b/>
      <sz val="11"/>
      <color rgb="FF0000FF"/>
      <name val="Arial"/>
    </font>
    <font>
      <i/>
      <sz val="11"/>
      <color rgb="FF66788A"/>
      <name val="Arial"/>
    </font>
    <font>
      <b/>
      <sz val="12"/>
      <color rgb="FF102A43"/>
      <name val="Arial"/>
    </font>
    <font>
      <b/>
      <sz val="13"/>
      <color rgb="FFFFFFFF"/>
      <name val="Carlito"/>
    </font>
    <font>
      <b/>
      <sz val="11"/>
      <color rgb="FF0F3446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E8EEF5"/>
      </patternFill>
    </fill>
    <fill>
      <patternFill patternType="solid">
        <fgColor rgb="FFF3F6F9"/>
      </patternFill>
    </fill>
    <fill>
      <patternFill patternType="solid">
        <fgColor rgb="FF102A43"/>
      </patternFill>
    </fill>
    <fill>
      <patternFill patternType="solid">
        <fgColor rgb="FFE8EEF5"/>
      </patternFill>
    </fill>
    <fill>
      <patternFill patternType="solid">
        <fgColor rgb="FFFFF4E5"/>
      </patternFill>
    </fill>
    <fill>
      <patternFill patternType="solid">
        <fgColor rgb="FFEEF7EE"/>
      </patternFill>
    </fill>
    <fill>
      <patternFill patternType="solid">
        <fgColor rgb="FF0F3446"/>
      </patternFill>
    </fill>
    <fill>
      <patternFill patternType="solid">
        <fgColor rgb="FFF4EBDD"/>
      </patternFill>
    </fill>
    <fill>
      <patternFill patternType="solid">
        <fgColor rgb="FFF5F7F8"/>
      </patternFill>
    </fill>
  </fills>
  <borders count="1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4DCE4"/>
      </left>
      <right style="thin">
        <color rgb="FFD4DCE4"/>
      </right>
      <top style="thin">
        <color rgb="FFD4DCE4"/>
      </top>
      <bottom style="thin">
        <color rgb="FFD4DCE4"/>
      </bottom>
      <diagonal/>
    </border>
    <border>
      <left/>
      <right style="thin">
        <color rgb="FFD4DCE4"/>
      </right>
      <top/>
      <bottom style="thin">
        <color rgb="FFD4DCE4"/>
      </bottom>
      <diagonal/>
    </border>
    <border>
      <left style="thin">
        <color rgb="FFD4DCE4"/>
      </left>
      <right style="thin">
        <color rgb="FFD4DCE4"/>
      </right>
      <top/>
      <bottom style="thin">
        <color rgb="FFD4DCE4"/>
      </bottom>
      <diagonal/>
    </border>
    <border>
      <left style="thin">
        <color rgb="FFD4DCE4"/>
      </left>
      <right/>
      <top/>
      <bottom style="thin">
        <color rgb="FFD4DCE4"/>
      </bottom>
      <diagonal/>
    </border>
    <border>
      <left/>
      <right style="thin">
        <color rgb="FFD4DCE4"/>
      </right>
      <top style="thin">
        <color rgb="FFD4DCE4"/>
      </top>
      <bottom style="thin">
        <color rgb="FFD4DCE4"/>
      </bottom>
      <diagonal/>
    </border>
    <border>
      <left style="thin">
        <color rgb="FFD4DCE4"/>
      </left>
      <right/>
      <top style="thin">
        <color rgb="FFD4DCE4"/>
      </top>
      <bottom style="thin">
        <color rgb="FFD4DCE4"/>
      </bottom>
      <diagonal/>
    </border>
    <border>
      <left style="thin">
        <color rgb="FFD9D9D9"/>
      </left>
      <right style="thin">
        <color rgb="FFD4DCE4"/>
      </right>
      <top style="thin">
        <color rgb="FFD9D9D9"/>
      </top>
      <bottom style="thin">
        <color rgb="FFD4DCE4"/>
      </bottom>
      <diagonal/>
    </border>
    <border>
      <left style="thin">
        <color rgb="FFD4DCE4"/>
      </left>
      <right style="thin">
        <color rgb="FFD4DCE4"/>
      </right>
      <top style="thin">
        <color rgb="FFD9D9D9"/>
      </top>
      <bottom style="thin">
        <color rgb="FFD4DCE4"/>
      </bottom>
      <diagonal/>
    </border>
    <border>
      <left style="thin">
        <color rgb="FFD4DCE4"/>
      </left>
      <right style="thin">
        <color rgb="FFD9D9D9"/>
      </right>
      <top style="thin">
        <color rgb="FFD9D9D9"/>
      </top>
      <bottom style="thin">
        <color rgb="FFD4DCE4"/>
      </bottom>
      <diagonal/>
    </border>
    <border>
      <left style="thin">
        <color rgb="FFD9D9D9"/>
      </left>
      <right style="thin">
        <color rgb="FFD4DCE4"/>
      </right>
      <top style="thin">
        <color rgb="FFD4DCE4"/>
      </top>
      <bottom style="thin">
        <color rgb="FFD4DCE4"/>
      </bottom>
      <diagonal/>
    </border>
    <border>
      <left style="thin">
        <color rgb="FFD4DCE4"/>
      </left>
      <right style="thin">
        <color rgb="FFD9D9D9"/>
      </right>
      <top style="thin">
        <color rgb="FFD4DCE4"/>
      </top>
      <bottom style="thin">
        <color rgb="FFD4DCE4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7DEE2"/>
      </bottom>
      <diagonal/>
    </border>
  </borders>
  <cellStyleXfs count="2">
    <xf numFmtId="0" fontId="0" fillId="0" borderId="0"/>
    <xf numFmtId="0" fontId="11" fillId="0" borderId="0"/>
  </cellStyleXfs>
  <cellXfs count="95">
    <xf numFmtId="0" fontId="0" fillId="0" borderId="0" xfId="0"/>
    <xf numFmtId="0" fontId="0" fillId="0" borderId="0" xfId="1" applyFont="1" applyAlignment="1">
      <alignment vertical="center"/>
    </xf>
    <xf numFmtId="0" fontId="0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4" fillId="3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4" fillId="0" borderId="3" xfId="1" applyFont="1" applyBorder="1" applyAlignment="1">
      <alignment vertical="center"/>
    </xf>
    <xf numFmtId="165" fontId="5" fillId="0" borderId="4" xfId="1" applyNumberFormat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4" fillId="4" borderId="2" xfId="1" applyFont="1" applyFill="1" applyBorder="1" applyAlignment="1">
      <alignment vertical="center"/>
    </xf>
    <xf numFmtId="165" fontId="6" fillId="4" borderId="2" xfId="1" applyNumberFormat="1" applyFont="1" applyFill="1" applyBorder="1" applyAlignment="1">
      <alignment vertical="center"/>
    </xf>
    <xf numFmtId="0" fontId="4" fillId="0" borderId="6" xfId="1" applyFont="1" applyBorder="1" applyAlignment="1">
      <alignment vertical="center"/>
    </xf>
    <xf numFmtId="165" fontId="5" fillId="0" borderId="2" xfId="1" applyNumberFormat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 wrapText="1"/>
    </xf>
    <xf numFmtId="0" fontId="4" fillId="4" borderId="2" xfId="1" applyFont="1" applyFill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vertical="center"/>
    </xf>
    <xf numFmtId="1" fontId="5" fillId="0" borderId="4" xfId="1" applyNumberFormat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1" fontId="5" fillId="0" borderId="2" xfId="1" applyNumberFormat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164" fontId="5" fillId="0" borderId="1" xfId="1" applyNumberFormat="1" applyFont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164" fontId="4" fillId="3" borderId="1" xfId="1" applyNumberFormat="1" applyFont="1" applyFill="1" applyBorder="1" applyAlignment="1">
      <alignment vertical="center"/>
    </xf>
    <xf numFmtId="0" fontId="3" fillId="0" borderId="0" xfId="1" applyFont="1"/>
    <xf numFmtId="0" fontId="4" fillId="0" borderId="2" xfId="1" applyFont="1" applyBorder="1" applyAlignment="1">
      <alignment vertical="center"/>
    </xf>
    <xf numFmtId="164" fontId="3" fillId="0" borderId="2" xfId="1" applyNumberFormat="1" applyFont="1" applyBorder="1" applyAlignment="1">
      <alignment vertical="center"/>
    </xf>
    <xf numFmtId="164" fontId="3" fillId="4" borderId="2" xfId="1" applyNumberFormat="1" applyFont="1" applyFill="1" applyBorder="1" applyAlignment="1">
      <alignment vertical="center"/>
    </xf>
    <xf numFmtId="0" fontId="4" fillId="4" borderId="2" xfId="1" applyFont="1" applyFill="1" applyBorder="1"/>
    <xf numFmtId="164" fontId="3" fillId="4" borderId="2" xfId="1" applyNumberFormat="1" applyFont="1" applyFill="1" applyBorder="1"/>
    <xf numFmtId="0" fontId="4" fillId="0" borderId="2" xfId="1" applyFont="1" applyBorder="1"/>
    <xf numFmtId="164" fontId="3" fillId="0" borderId="2" xfId="1" applyNumberFormat="1" applyFont="1" applyBorder="1"/>
    <xf numFmtId="0" fontId="4" fillId="6" borderId="2" xfId="1" applyFont="1" applyFill="1" applyBorder="1"/>
    <xf numFmtId="164" fontId="3" fillId="6" borderId="2" xfId="1" applyNumberFormat="1" applyFont="1" applyFill="1" applyBorder="1"/>
    <xf numFmtId="0" fontId="3" fillId="0" borderId="2" xfId="1" applyFont="1" applyBorder="1"/>
    <xf numFmtId="0" fontId="3" fillId="7" borderId="8" xfId="1" applyFont="1" applyFill="1" applyBorder="1" applyAlignment="1">
      <alignment vertical="center"/>
    </xf>
    <xf numFmtId="0" fontId="3" fillId="7" borderId="9" xfId="1" applyFont="1" applyFill="1" applyBorder="1" applyAlignment="1">
      <alignment vertical="center"/>
    </xf>
    <xf numFmtId="165" fontId="3" fillId="7" borderId="9" xfId="1" applyNumberFormat="1" applyFont="1" applyFill="1" applyBorder="1" applyAlignment="1">
      <alignment vertical="center"/>
    </xf>
    <xf numFmtId="164" fontId="3" fillId="7" borderId="9" xfId="1" applyNumberFormat="1" applyFont="1" applyFill="1" applyBorder="1" applyAlignment="1">
      <alignment vertical="center"/>
    </xf>
    <xf numFmtId="164" fontId="3" fillId="7" borderId="10" xfId="1" applyNumberFormat="1" applyFont="1" applyFill="1" applyBorder="1" applyAlignment="1">
      <alignment vertical="center"/>
    </xf>
    <xf numFmtId="0" fontId="3" fillId="7" borderId="11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165" fontId="3" fillId="7" borderId="2" xfId="1" applyNumberFormat="1" applyFont="1" applyFill="1" applyBorder="1" applyAlignment="1">
      <alignment vertical="center"/>
    </xf>
    <xf numFmtId="164" fontId="3" fillId="7" borderId="2" xfId="1" applyNumberFormat="1" applyFont="1" applyFill="1" applyBorder="1" applyAlignment="1">
      <alignment vertical="center"/>
    </xf>
    <xf numFmtId="164" fontId="3" fillId="7" borderId="12" xfId="1" applyNumberFormat="1" applyFont="1" applyFill="1" applyBorder="1" applyAlignment="1">
      <alignment vertical="center"/>
    </xf>
    <xf numFmtId="0" fontId="3" fillId="4" borderId="11" xfId="1" applyFont="1" applyFill="1" applyBorder="1" applyAlignment="1">
      <alignment vertical="center"/>
    </xf>
    <xf numFmtId="0" fontId="3" fillId="4" borderId="2" xfId="1" applyFont="1" applyFill="1" applyBorder="1" applyAlignment="1">
      <alignment vertical="center"/>
    </xf>
    <xf numFmtId="165" fontId="3" fillId="4" borderId="2" xfId="1" applyNumberFormat="1" applyFont="1" applyFill="1" applyBorder="1" applyAlignment="1">
      <alignment vertical="center"/>
    </xf>
    <xf numFmtId="164" fontId="3" fillId="4" borderId="12" xfId="1" applyNumberFormat="1" applyFont="1" applyFill="1" applyBorder="1" applyAlignment="1">
      <alignment vertical="center"/>
    </xf>
    <xf numFmtId="0" fontId="3" fillId="8" borderId="11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  <xf numFmtId="165" fontId="3" fillId="8" borderId="2" xfId="1" applyNumberFormat="1" applyFont="1" applyFill="1" applyBorder="1" applyAlignment="1">
      <alignment vertical="center"/>
    </xf>
    <xf numFmtId="164" fontId="3" fillId="8" borderId="2" xfId="1" applyNumberFormat="1" applyFont="1" applyFill="1" applyBorder="1" applyAlignment="1">
      <alignment vertical="center"/>
    </xf>
    <xf numFmtId="164" fontId="3" fillId="8" borderId="12" xfId="1" applyNumberFormat="1" applyFont="1" applyFill="1" applyBorder="1" applyAlignment="1">
      <alignment vertical="center"/>
    </xf>
    <xf numFmtId="0" fontId="3" fillId="0" borderId="8" xfId="1" applyFont="1" applyBorder="1" applyAlignment="1">
      <alignment vertical="center"/>
    </xf>
    <xf numFmtId="164" fontId="3" fillId="0" borderId="9" xfId="1" applyNumberFormat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165" fontId="3" fillId="0" borderId="2" xfId="1" applyNumberFormat="1" applyFont="1" applyBorder="1" applyAlignment="1">
      <alignment vertical="center"/>
    </xf>
    <xf numFmtId="0" fontId="4" fillId="6" borderId="11" xfId="1" applyFont="1" applyFill="1" applyBorder="1" applyAlignment="1">
      <alignment vertical="center"/>
    </xf>
    <xf numFmtId="0" fontId="4" fillId="6" borderId="2" xfId="1" applyFont="1" applyFill="1" applyBorder="1" applyAlignment="1">
      <alignment vertical="center"/>
    </xf>
    <xf numFmtId="0" fontId="3" fillId="0" borderId="10" xfId="1" applyFont="1" applyBorder="1" applyAlignment="1">
      <alignment vertical="center" wrapText="1"/>
    </xf>
    <xf numFmtId="0" fontId="3" fillId="0" borderId="12" xfId="1" applyFont="1" applyBorder="1" applyAlignment="1">
      <alignment vertical="center" wrapText="1"/>
    </xf>
    <xf numFmtId="0" fontId="4" fillId="6" borderId="12" xfId="1" applyFont="1" applyFill="1" applyBorder="1" applyAlignment="1">
      <alignment vertical="center" wrapText="1"/>
    </xf>
    <xf numFmtId="0" fontId="3" fillId="0" borderId="4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8" fillId="0" borderId="4" xfId="1" applyFont="1" applyBorder="1" applyAlignment="1">
      <alignment vertical="center"/>
    </xf>
    <xf numFmtId="164" fontId="8" fillId="0" borderId="2" xfId="1" applyNumberFormat="1" applyFont="1" applyBorder="1" applyAlignment="1">
      <alignment vertical="center"/>
    </xf>
    <xf numFmtId="164" fontId="3" fillId="0" borderId="4" xfId="1" applyNumberFormat="1" applyFont="1" applyBorder="1" applyAlignment="1">
      <alignment vertical="center"/>
    </xf>
    <xf numFmtId="164" fontId="3" fillId="0" borderId="5" xfId="1" applyNumberFormat="1" applyFont="1" applyBorder="1" applyAlignment="1">
      <alignment vertical="center"/>
    </xf>
    <xf numFmtId="164" fontId="3" fillId="0" borderId="7" xfId="1" applyNumberFormat="1" applyFont="1" applyBorder="1" applyAlignment="1">
      <alignment vertical="center"/>
    </xf>
    <xf numFmtId="0" fontId="9" fillId="9" borderId="15" xfId="1" applyFont="1" applyFill="1" applyBorder="1" applyAlignment="1">
      <alignment vertical="top" wrapText="1"/>
    </xf>
    <xf numFmtId="0" fontId="10" fillId="10" borderId="15" xfId="1" applyFont="1" applyFill="1" applyBorder="1" applyAlignment="1">
      <alignment vertical="top" wrapText="1"/>
    </xf>
    <xf numFmtId="0" fontId="0" fillId="0" borderId="15" xfId="1" applyFont="1" applyBorder="1" applyAlignment="1">
      <alignment vertical="top" wrapText="1"/>
    </xf>
    <xf numFmtId="0" fontId="0" fillId="11" borderId="15" xfId="1" applyFont="1" applyFill="1" applyBorder="1" applyAlignment="1">
      <alignment vertical="top" wrapText="1"/>
    </xf>
    <xf numFmtId="0" fontId="2" fillId="3" borderId="0" xfId="1" applyFont="1" applyFill="1" applyAlignment="1">
      <alignment vertical="center" wrapText="1"/>
    </xf>
    <xf numFmtId="0" fontId="0" fillId="0" borderId="0" xfId="0"/>
    <xf numFmtId="0" fontId="1" fillId="2" borderId="0" xfId="1" applyFont="1" applyFill="1" applyAlignment="1">
      <alignment horizontal="left" vertical="center"/>
    </xf>
    <xf numFmtId="0" fontId="1" fillId="5" borderId="0" xfId="1" applyFont="1" applyFill="1" applyAlignment="1">
      <alignment horizontal="left" vertical="center"/>
    </xf>
    <xf numFmtId="0" fontId="7" fillId="0" borderId="0" xfId="1" applyFont="1" applyAlignment="1">
      <alignment wrapText="1"/>
    </xf>
    <xf numFmtId="0" fontId="3" fillId="0" borderId="1" xfId="1" applyFont="1" applyBorder="1" applyAlignment="1">
      <alignment vertical="center" wrapText="1"/>
    </xf>
    <xf numFmtId="0" fontId="0" fillId="0" borderId="13" xfId="1" applyFont="1" applyBorder="1"/>
    <xf numFmtId="0" fontId="0" fillId="0" borderId="14" xfId="1" applyFont="1" applyBorder="1"/>
    <xf numFmtId="0" fontId="7" fillId="0" borderId="0" xfId="1" applyFont="1" applyAlignment="1">
      <alignment vertical="center" wrapText="1"/>
    </xf>
    <xf numFmtId="0" fontId="1" fillId="5" borderId="0" xfId="1" applyFont="1" applyFill="1" applyAlignment="1">
      <alignment vertical="center"/>
    </xf>
  </cellXfs>
  <cellStyles count="2">
    <cellStyle name="Normal" xfId="1" xr:uid="{00000000-0005-0000-0000-000000000000}"/>
    <cellStyle name="Standard" xfId="0" builtinId="0"/>
  </cellStyles>
  <dxfs count="10">
    <dxf>
      <font>
        <b/>
        <color rgb="FF9A6700"/>
      </font>
      <fill>
        <patternFill>
          <bgColor rgb="FFFFF4CC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b/>
        <color rgb="FF008000"/>
      </font>
      <fill>
        <patternFill>
          <bgColor rgb="FFE2F0D9"/>
        </patternFill>
      </fill>
    </dxf>
    <dxf>
      <font>
        <color rgb="FF008000"/>
      </font>
      <fill>
        <patternFill>
          <bgColor rgb="FFE2F0D9"/>
        </patternFill>
      </fill>
    </dxf>
    <dxf>
      <font>
        <b/>
        <color rgb="FF9B1C1C"/>
      </font>
      <fill>
        <patternFill>
          <bgColor rgb="FFFDECEC"/>
        </patternFill>
      </fill>
    </dxf>
    <dxf>
      <font>
        <b/>
        <color rgb="FF008000"/>
      </font>
      <fill>
        <patternFill>
          <bgColor rgb="FFE6F4EA"/>
        </patternFill>
      </fill>
    </dxf>
    <dxf>
      <font>
        <color rgb="FFB91C1C"/>
      </font>
      <fill>
        <patternFill>
          <bgColor rgb="FFFCE8E6"/>
        </patternFill>
      </fill>
    </dxf>
    <dxf>
      <font>
        <color rgb="FF008000"/>
      </font>
      <fill>
        <patternFill>
          <bgColor rgb="FFE2F0D9"/>
        </patternFill>
      </fill>
    </dxf>
    <dxf>
      <font>
        <b/>
        <color rgb="FF008000"/>
      </font>
      <fill>
        <patternFill>
          <bgColor rgb="FFE6F4EA"/>
        </patternFill>
      </fill>
    </dxf>
    <dxf>
      <font>
        <b/>
        <color rgb="FF9B1C1C"/>
      </font>
      <fill>
        <patternFill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t>Umsatz, EBITDA und Jahresüberschuss (EUR)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ln>
              <a:prstDash val="solid"/>
            </a:ln>
          </c:spPr>
          <c:invertIfNegative val="1"/>
          <c:cat>
            <c:numRef>
              <c:f>Dashboard!$A$14:$A$16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Dashboard!$B$14:$B$16</c:f>
              <c:numCache>
                <c:formatCode>\€#,##0;[Red]\(\€#,##0\);\-</c:formatCode>
                <c:ptCount val="3"/>
                <c:pt idx="0">
                  <c:v>93500</c:v>
                </c:pt>
                <c:pt idx="1">
                  <c:v>269000</c:v>
                </c:pt>
                <c:pt idx="2">
                  <c:v>442000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5-4F67-BA26-3C5CB6CAB1DF}"/>
            </c:ext>
          </c:extLst>
        </c:ser>
        <c:ser>
          <c:idx val="1"/>
          <c:order val="1"/>
          <c:tx>
            <c:v>EBITDA</c:v>
          </c:tx>
          <c:spPr>
            <a:ln>
              <a:prstDash val="solid"/>
            </a:ln>
          </c:spPr>
          <c:invertIfNegative val="1"/>
          <c:cat>
            <c:numRef>
              <c:f>Dashboard!$A$14:$A$16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Dashboard!$C$14:$C$16</c:f>
              <c:numCache>
                <c:formatCode>\€#,##0;[Red]\(\€#,##0\);\-</c:formatCode>
                <c:ptCount val="3"/>
                <c:pt idx="0">
                  <c:v>34950</c:v>
                </c:pt>
                <c:pt idx="1">
                  <c:v>120320</c:v>
                </c:pt>
                <c:pt idx="2">
                  <c:v>169300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C5-4F67-BA26-3C5CB6CAB1DF}"/>
            </c:ext>
          </c:extLst>
        </c:ser>
        <c:ser>
          <c:idx val="2"/>
          <c:order val="2"/>
          <c:tx>
            <c:v>Net income</c:v>
          </c:tx>
          <c:spPr>
            <a:ln>
              <a:prstDash val="solid"/>
            </a:ln>
          </c:spPr>
          <c:invertIfNegative val="1"/>
          <c:cat>
            <c:numRef>
              <c:f>Dashboard!$A$14:$A$16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Dashboard!$D$14:$D$16</c:f>
              <c:numCache>
                <c:formatCode>\€#,##0;[Red]\(\€#,##0\);\-</c:formatCode>
                <c:ptCount val="3"/>
                <c:pt idx="0">
                  <c:v>23065</c:v>
                </c:pt>
                <c:pt idx="1">
                  <c:v>82124</c:v>
                </c:pt>
                <c:pt idx="2">
                  <c:v>115010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C5-4F67-BA26-3C5CB6CAB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€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t>Verfügbare Liquidität: Plan vs. Live (EUR)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Plan available cash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Dashboard!$A$20:$A$55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Dashboard!$B$20:$B$55</c:f>
              <c:numCache>
                <c:formatCode>\€#,##0;[Red]\(\€#,##0\);\-</c:formatCode>
                <c:ptCount val="36"/>
                <c:pt idx="0">
                  <c:v>18576.25</c:v>
                </c:pt>
                <c:pt idx="1">
                  <c:v>13152.5</c:v>
                </c:pt>
                <c:pt idx="2">
                  <c:v>12728.75</c:v>
                </c:pt>
                <c:pt idx="3">
                  <c:v>12305</c:v>
                </c:pt>
                <c:pt idx="4">
                  <c:v>9631.25</c:v>
                </c:pt>
                <c:pt idx="5">
                  <c:v>9207.5</c:v>
                </c:pt>
                <c:pt idx="6">
                  <c:v>16748.75</c:v>
                </c:pt>
                <c:pt idx="7">
                  <c:v>22040</c:v>
                </c:pt>
                <c:pt idx="8">
                  <c:v>25081.25</c:v>
                </c:pt>
                <c:pt idx="9">
                  <c:v>36762.5</c:v>
                </c:pt>
                <c:pt idx="10">
                  <c:v>43088.75</c:v>
                </c:pt>
                <c:pt idx="11">
                  <c:v>48065</c:v>
                </c:pt>
                <c:pt idx="12">
                  <c:v>44104</c:v>
                </c:pt>
                <c:pt idx="13">
                  <c:v>55343</c:v>
                </c:pt>
                <c:pt idx="14">
                  <c:v>62886</c:v>
                </c:pt>
                <c:pt idx="15">
                  <c:v>76125</c:v>
                </c:pt>
                <c:pt idx="16">
                  <c:v>83204</c:v>
                </c:pt>
                <c:pt idx="17">
                  <c:v>103747</c:v>
                </c:pt>
                <c:pt idx="18">
                  <c:v>123586</c:v>
                </c:pt>
                <c:pt idx="19">
                  <c:v>143865</c:v>
                </c:pt>
                <c:pt idx="20">
                  <c:v>144608</c:v>
                </c:pt>
                <c:pt idx="21">
                  <c:v>137255</c:v>
                </c:pt>
                <c:pt idx="22">
                  <c:v>132542</c:v>
                </c:pt>
                <c:pt idx="23">
                  <c:v>125189</c:v>
                </c:pt>
                <c:pt idx="24">
                  <c:v>133646.5</c:v>
                </c:pt>
                <c:pt idx="25">
                  <c:v>142104</c:v>
                </c:pt>
                <c:pt idx="26">
                  <c:v>166031.5</c:v>
                </c:pt>
                <c:pt idx="27">
                  <c:v>177279</c:v>
                </c:pt>
                <c:pt idx="28">
                  <c:v>185041.5</c:v>
                </c:pt>
                <c:pt idx="29">
                  <c:v>198499</c:v>
                </c:pt>
                <c:pt idx="30">
                  <c:v>215526.5</c:v>
                </c:pt>
                <c:pt idx="31">
                  <c:v>240884</c:v>
                </c:pt>
                <c:pt idx="32">
                  <c:v>248561.5</c:v>
                </c:pt>
                <c:pt idx="33">
                  <c:v>245614</c:v>
                </c:pt>
                <c:pt idx="34">
                  <c:v>237906.5</c:v>
                </c:pt>
                <c:pt idx="35">
                  <c:v>230199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2A-409C-BF38-864217E9CB81}"/>
            </c:ext>
          </c:extLst>
        </c:ser>
        <c:ser>
          <c:idx val="1"/>
          <c:order val="1"/>
          <c:tx>
            <c:v>Live available cash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Dashboard!$A$20:$A$55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Dashboard!$C$20:$C$55</c:f>
              <c:numCache>
                <c:formatCode>\€#,##0;[Red]\(\€#,##0\);\-</c:formatCode>
                <c:ptCount val="36"/>
                <c:pt idx="0">
                  <c:v>-6423.75</c:v>
                </c:pt>
                <c:pt idx="1">
                  <c:v>-11847.5</c:v>
                </c:pt>
                <c:pt idx="2">
                  <c:v>-12271.25</c:v>
                </c:pt>
                <c:pt idx="3">
                  <c:v>-12695</c:v>
                </c:pt>
                <c:pt idx="4">
                  <c:v>-15368.75</c:v>
                </c:pt>
                <c:pt idx="5">
                  <c:v>-15792.5</c:v>
                </c:pt>
                <c:pt idx="6">
                  <c:v>-8251.25</c:v>
                </c:pt>
                <c:pt idx="7">
                  <c:v>-2960</c:v>
                </c:pt>
                <c:pt idx="8">
                  <c:v>81.25</c:v>
                </c:pt>
                <c:pt idx="9">
                  <c:v>11762.5</c:v>
                </c:pt>
                <c:pt idx="10">
                  <c:v>18088.75</c:v>
                </c:pt>
                <c:pt idx="11">
                  <c:v>23065</c:v>
                </c:pt>
                <c:pt idx="12">
                  <c:v>19104</c:v>
                </c:pt>
                <c:pt idx="13">
                  <c:v>30343</c:v>
                </c:pt>
                <c:pt idx="14">
                  <c:v>37886</c:v>
                </c:pt>
                <c:pt idx="15">
                  <c:v>51125</c:v>
                </c:pt>
                <c:pt idx="16">
                  <c:v>58204</c:v>
                </c:pt>
                <c:pt idx="17">
                  <c:v>78747</c:v>
                </c:pt>
                <c:pt idx="18">
                  <c:v>98586</c:v>
                </c:pt>
                <c:pt idx="19">
                  <c:v>118865</c:v>
                </c:pt>
                <c:pt idx="20">
                  <c:v>119608</c:v>
                </c:pt>
                <c:pt idx="21">
                  <c:v>112255</c:v>
                </c:pt>
                <c:pt idx="22">
                  <c:v>107542</c:v>
                </c:pt>
                <c:pt idx="23">
                  <c:v>100189</c:v>
                </c:pt>
                <c:pt idx="24">
                  <c:v>108646.5</c:v>
                </c:pt>
                <c:pt idx="25">
                  <c:v>117104</c:v>
                </c:pt>
                <c:pt idx="26">
                  <c:v>141031.5</c:v>
                </c:pt>
                <c:pt idx="27">
                  <c:v>152279</c:v>
                </c:pt>
                <c:pt idx="28">
                  <c:v>160041.5</c:v>
                </c:pt>
                <c:pt idx="29">
                  <c:v>173499</c:v>
                </c:pt>
                <c:pt idx="30">
                  <c:v>190526.5</c:v>
                </c:pt>
                <c:pt idx="31">
                  <c:v>215884</c:v>
                </c:pt>
                <c:pt idx="32">
                  <c:v>223561.5</c:v>
                </c:pt>
                <c:pt idx="33">
                  <c:v>220614</c:v>
                </c:pt>
                <c:pt idx="34">
                  <c:v>212906.5</c:v>
                </c:pt>
                <c:pt idx="35">
                  <c:v>205199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2A-409C-BF38-864217E9CB81}"/>
            </c:ext>
          </c:extLst>
        </c:ser>
        <c:ser>
          <c:idx val="2"/>
          <c:order val="2"/>
          <c:tx>
            <c:v>Minimum liquidity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Dashboard!$A$20:$A$55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Dashboard!$D$20:$D$55</c:f>
              <c:numCache>
                <c:formatCode>\€#,##0;[Red]\(\€#,##0\);\-</c:formatCode>
                <c:ptCount val="3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15000</c:v>
                </c:pt>
                <c:pt idx="13">
                  <c:v>15000</c:v>
                </c:pt>
                <c:pt idx="14">
                  <c:v>15000</c:v>
                </c:pt>
                <c:pt idx="15">
                  <c:v>15000</c:v>
                </c:pt>
                <c:pt idx="16">
                  <c:v>15000</c:v>
                </c:pt>
                <c:pt idx="17">
                  <c:v>15000</c:v>
                </c:pt>
                <c:pt idx="18">
                  <c:v>15000</c:v>
                </c:pt>
                <c:pt idx="19">
                  <c:v>15000</c:v>
                </c:pt>
                <c:pt idx="20">
                  <c:v>15000</c:v>
                </c:pt>
                <c:pt idx="21">
                  <c:v>15000</c:v>
                </c:pt>
                <c:pt idx="22">
                  <c:v>15000</c:v>
                </c:pt>
                <c:pt idx="23">
                  <c:v>15000</c:v>
                </c:pt>
                <c:pt idx="24">
                  <c:v>25000</c:v>
                </c:pt>
                <c:pt idx="25">
                  <c:v>25000</c:v>
                </c:pt>
                <c:pt idx="26">
                  <c:v>25000</c:v>
                </c:pt>
                <c:pt idx="27">
                  <c:v>25000</c:v>
                </c:pt>
                <c:pt idx="28">
                  <c:v>25000</c:v>
                </c:pt>
                <c:pt idx="29">
                  <c:v>25000</c:v>
                </c:pt>
                <c:pt idx="30">
                  <c:v>25000</c:v>
                </c:pt>
                <c:pt idx="31">
                  <c:v>25000</c:v>
                </c:pt>
                <c:pt idx="32">
                  <c:v>25000</c:v>
                </c:pt>
                <c:pt idx="33">
                  <c:v>25000</c:v>
                </c:pt>
                <c:pt idx="34">
                  <c:v>25000</c:v>
                </c:pt>
                <c:pt idx="35">
                  <c:v>25000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32A-409C-BF38-864217E9C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de-DE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€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workbookViewId="0">
      <selection sqref="A1:H1"/>
    </sheetView>
  </sheetViews>
  <sheetFormatPr baseColWidth="10" defaultColWidth="8.6640625" defaultRowHeight="14"/>
  <cols>
    <col min="1" max="1" width="24" customWidth="1"/>
    <col min="2" max="2" width="92" customWidth="1"/>
  </cols>
  <sheetData>
    <row r="1" spans="1:8" ht="20">
      <c r="A1" s="87" t="s">
        <v>402</v>
      </c>
      <c r="B1" s="86"/>
      <c r="C1" s="86"/>
      <c r="D1" s="86"/>
      <c r="E1" s="86"/>
      <c r="F1" s="86"/>
      <c r="G1" s="86"/>
      <c r="H1" s="86"/>
    </row>
    <row r="2" spans="1:8">
      <c r="A2" s="85" t="s">
        <v>0</v>
      </c>
      <c r="B2" s="86"/>
      <c r="C2" s="86"/>
      <c r="D2" s="86"/>
      <c r="E2" s="86"/>
      <c r="F2" s="86"/>
      <c r="G2" s="86"/>
      <c r="H2" s="86"/>
    </row>
    <row r="3" spans="1:8">
      <c r="A3" s="3"/>
      <c r="B3" s="3" t="s">
        <v>403</v>
      </c>
      <c r="C3" s="3"/>
      <c r="D3" s="3"/>
      <c r="E3" s="3"/>
      <c r="F3" s="3"/>
      <c r="G3" s="3"/>
      <c r="H3" s="3"/>
    </row>
    <row r="4" spans="1:8" ht="28" customHeight="1">
      <c r="A4" s="4" t="s">
        <v>1</v>
      </c>
      <c r="B4" s="4" t="str">
        <f>Checks!E18</f>
        <v>CONDITIONAL</v>
      </c>
      <c r="C4" s="3"/>
      <c r="D4" s="3"/>
      <c r="E4" s="3"/>
      <c r="F4" s="3"/>
      <c r="G4" s="3"/>
      <c r="H4" s="3"/>
    </row>
    <row r="5" spans="1:8" ht="28" customHeight="1">
      <c r="A5" s="5" t="s">
        <v>2</v>
      </c>
      <c r="B5" s="5" t="s">
        <v>3</v>
      </c>
      <c r="C5" s="3"/>
      <c r="D5" s="3"/>
      <c r="E5" s="3"/>
      <c r="F5" s="3"/>
      <c r="G5" s="3"/>
      <c r="H5" s="3"/>
    </row>
    <row r="6" spans="1:8" ht="28" customHeight="1">
      <c r="A6" s="5" t="s">
        <v>4</v>
      </c>
      <c r="B6" s="5" t="s">
        <v>5</v>
      </c>
      <c r="C6" s="3"/>
      <c r="D6" s="3"/>
      <c r="E6" s="3"/>
      <c r="F6" s="3"/>
      <c r="G6" s="3"/>
      <c r="H6" s="3"/>
    </row>
    <row r="7" spans="1:8" ht="28" customHeight="1">
      <c r="A7" s="5" t="s">
        <v>6</v>
      </c>
      <c r="B7" s="5" t="s">
        <v>7</v>
      </c>
      <c r="C7" s="3"/>
      <c r="D7" s="3"/>
      <c r="E7" s="3"/>
      <c r="F7" s="3"/>
      <c r="G7" s="3"/>
      <c r="H7" s="3"/>
    </row>
    <row r="8" spans="1:8" ht="28" customHeight="1">
      <c r="A8" s="5" t="s">
        <v>8</v>
      </c>
      <c r="B8" s="5" t="s">
        <v>9</v>
      </c>
      <c r="C8" s="3"/>
      <c r="D8" s="3"/>
      <c r="E8" s="3"/>
      <c r="F8" s="3"/>
      <c r="G8" s="3"/>
      <c r="H8" s="3"/>
    </row>
    <row r="9" spans="1:8" ht="28" customHeight="1">
      <c r="A9" s="5" t="s">
        <v>10</v>
      </c>
      <c r="B9" s="5" t="s">
        <v>11</v>
      </c>
      <c r="C9" s="3"/>
      <c r="D9" s="3"/>
      <c r="E9" s="3"/>
      <c r="F9" s="3"/>
      <c r="G9" s="3"/>
      <c r="H9" s="3"/>
    </row>
    <row r="10" spans="1:8" ht="28" customHeight="1">
      <c r="A10" s="5" t="s">
        <v>12</v>
      </c>
      <c r="B10" s="5" t="s">
        <v>13</v>
      </c>
      <c r="C10" s="3"/>
      <c r="D10" s="3"/>
      <c r="E10" s="3"/>
      <c r="F10" s="3"/>
      <c r="G10" s="3"/>
      <c r="H10" s="3"/>
    </row>
    <row r="11" spans="1:8" ht="28" customHeight="1">
      <c r="A11" s="5" t="s">
        <v>14</v>
      </c>
      <c r="B11" s="5" t="s">
        <v>15</v>
      </c>
      <c r="C11" s="3"/>
      <c r="D11" s="3"/>
      <c r="E11" s="3"/>
      <c r="F11" s="3"/>
      <c r="G11" s="3"/>
      <c r="H11" s="3"/>
    </row>
    <row r="12" spans="1:8" ht="28" customHeight="1">
      <c r="A12" s="5" t="s">
        <v>16</v>
      </c>
      <c r="B12" s="5" t="s">
        <v>17</v>
      </c>
      <c r="C12" s="3"/>
      <c r="D12" s="3"/>
      <c r="E12" s="3"/>
      <c r="F12" s="3"/>
      <c r="G12" s="3"/>
      <c r="H12" s="3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2" topLeftCell="A3" activePane="bottomLeft" state="frozen"/>
      <selection pane="bottomLeft"/>
    </sheetView>
  </sheetViews>
  <sheetFormatPr baseColWidth="10" defaultColWidth="8.6640625" defaultRowHeight="14"/>
  <cols>
    <col min="1" max="1" width="29" customWidth="1"/>
    <col min="2" max="2" width="14" customWidth="1"/>
    <col min="3" max="3" width="40" customWidth="1"/>
  </cols>
  <sheetData>
    <row r="1" spans="1:3" ht="33">
      <c r="A1" s="81" t="s">
        <v>407</v>
      </c>
      <c r="B1" s="81"/>
      <c r="C1" s="81"/>
    </row>
    <row r="2" spans="1:3">
      <c r="A2" s="82" t="s">
        <v>18</v>
      </c>
      <c r="B2" s="82" t="s">
        <v>19</v>
      </c>
      <c r="C2" s="82" t="s">
        <v>20</v>
      </c>
    </row>
    <row r="3" spans="1:3">
      <c r="A3" s="83" t="s">
        <v>21</v>
      </c>
      <c r="B3" s="83">
        <v>25000</v>
      </c>
      <c r="C3" s="83" t="s">
        <v>22</v>
      </c>
    </row>
    <row r="4" spans="1:3">
      <c r="A4" s="84" t="s">
        <v>23</v>
      </c>
      <c r="B4" s="84">
        <v>500</v>
      </c>
      <c r="C4" s="84" t="s">
        <v>24</v>
      </c>
    </row>
    <row r="5" spans="1:3">
      <c r="A5" s="83" t="s">
        <v>25</v>
      </c>
      <c r="B5" s="83">
        <v>24500</v>
      </c>
      <c r="C5" s="83" t="s">
        <v>26</v>
      </c>
    </row>
    <row r="6" spans="1:3">
      <c r="A6" s="84" t="s">
        <v>27</v>
      </c>
      <c r="B6" s="84">
        <v>29500</v>
      </c>
      <c r="C6" s="84" t="s">
        <v>28</v>
      </c>
    </row>
    <row r="7" spans="1:3">
      <c r="A7" s="83" t="s">
        <v>29</v>
      </c>
      <c r="B7" s="83">
        <v>93500</v>
      </c>
      <c r="C7" s="83" t="s">
        <v>30</v>
      </c>
    </row>
    <row r="8" spans="1:3">
      <c r="A8" s="84" t="s">
        <v>31</v>
      </c>
      <c r="B8" s="84">
        <v>269000</v>
      </c>
      <c r="C8" s="84" t="s">
        <v>30</v>
      </c>
    </row>
    <row r="9" spans="1:3">
      <c r="A9" s="83" t="s">
        <v>32</v>
      </c>
      <c r="B9" s="83">
        <v>442000</v>
      </c>
      <c r="C9" s="83" t="s">
        <v>30</v>
      </c>
    </row>
    <row r="10" spans="1:3">
      <c r="A10" s="84" t="s">
        <v>33</v>
      </c>
      <c r="B10" s="84">
        <v>34950</v>
      </c>
      <c r="C10" s="84" t="s">
        <v>34</v>
      </c>
    </row>
    <row r="11" spans="1:3">
      <c r="A11" s="83" t="s">
        <v>35</v>
      </c>
      <c r="B11" s="83">
        <v>120320</v>
      </c>
      <c r="C11" s="83" t="s">
        <v>34</v>
      </c>
    </row>
    <row r="12" spans="1:3">
      <c r="A12" s="84" t="s">
        <v>36</v>
      </c>
      <c r="B12" s="84">
        <v>169300</v>
      </c>
      <c r="C12" s="84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2" topLeftCell="A3" activePane="bottomLeft" state="frozen"/>
      <selection pane="bottomLeft"/>
    </sheetView>
  </sheetViews>
  <sheetFormatPr baseColWidth="10" defaultColWidth="8.6640625" defaultRowHeight="14"/>
  <cols>
    <col min="1" max="1" width="48" customWidth="1"/>
    <col min="2" max="2" width="36" customWidth="1"/>
    <col min="3" max="3" width="43" customWidth="1"/>
    <col min="4" max="4" width="52" customWidth="1"/>
    <col min="5" max="5" width="47" customWidth="1"/>
    <col min="6" max="6" width="20" customWidth="1"/>
  </cols>
  <sheetData>
    <row r="1" spans="1:6" ht="33">
      <c r="A1" s="81" t="s">
        <v>408</v>
      </c>
      <c r="B1" s="81"/>
      <c r="C1" s="81"/>
      <c r="D1" s="81"/>
      <c r="E1" s="81"/>
      <c r="F1" s="81"/>
    </row>
    <row r="2" spans="1:6">
      <c r="A2" s="82" t="s">
        <v>37</v>
      </c>
      <c r="B2" s="82" t="s">
        <v>38</v>
      </c>
      <c r="C2" s="82" t="s">
        <v>39</v>
      </c>
      <c r="D2" s="82" t="s">
        <v>40</v>
      </c>
      <c r="E2" s="82" t="s">
        <v>41</v>
      </c>
      <c r="F2" s="82" t="s">
        <v>42</v>
      </c>
    </row>
    <row r="3" spans="1:6" ht="28">
      <c r="A3" s="83" t="s">
        <v>43</v>
      </c>
      <c r="B3" s="83" t="s">
        <v>44</v>
      </c>
      <c r="C3" s="83" t="s">
        <v>45</v>
      </c>
      <c r="D3" s="83" t="s">
        <v>46</v>
      </c>
      <c r="E3" s="83" t="s">
        <v>47</v>
      </c>
      <c r="F3" s="83" t="s">
        <v>48</v>
      </c>
    </row>
    <row r="4" spans="1:6">
      <c r="A4" s="84" t="s">
        <v>49</v>
      </c>
      <c r="B4" s="84" t="s">
        <v>50</v>
      </c>
      <c r="C4" s="84" t="s">
        <v>51</v>
      </c>
      <c r="D4" s="84" t="s">
        <v>52</v>
      </c>
      <c r="E4" s="84" t="s">
        <v>53</v>
      </c>
      <c r="F4" s="84" t="s">
        <v>54</v>
      </c>
    </row>
    <row r="5" spans="1:6">
      <c r="A5" s="83" t="s">
        <v>55</v>
      </c>
      <c r="B5" s="83" t="s">
        <v>50</v>
      </c>
      <c r="C5" s="83" t="s">
        <v>56</v>
      </c>
      <c r="D5" s="83" t="s">
        <v>57</v>
      </c>
      <c r="E5" s="83" t="s">
        <v>58</v>
      </c>
      <c r="F5" s="83" t="s">
        <v>59</v>
      </c>
    </row>
    <row r="6" spans="1:6">
      <c r="A6" s="84" t="s">
        <v>60</v>
      </c>
      <c r="B6" s="84" t="s">
        <v>61</v>
      </c>
      <c r="C6" s="84" t="s">
        <v>62</v>
      </c>
      <c r="D6" s="84" t="s">
        <v>63</v>
      </c>
      <c r="E6" s="84" t="s">
        <v>64</v>
      </c>
      <c r="F6" s="84" t="s">
        <v>65</v>
      </c>
    </row>
    <row r="7" spans="1:6">
      <c r="A7" s="83" t="s">
        <v>66</v>
      </c>
      <c r="B7" s="83" t="s">
        <v>67</v>
      </c>
      <c r="C7" s="83" t="s">
        <v>68</v>
      </c>
      <c r="D7" s="83" t="s">
        <v>69</v>
      </c>
      <c r="E7" s="83" t="s">
        <v>70</v>
      </c>
      <c r="F7" s="83" t="s">
        <v>71</v>
      </c>
    </row>
    <row r="8" spans="1:6">
      <c r="A8" s="84" t="s">
        <v>72</v>
      </c>
      <c r="B8" s="84" t="s">
        <v>73</v>
      </c>
      <c r="C8" s="84" t="s">
        <v>74</v>
      </c>
      <c r="D8" s="84" t="s">
        <v>75</v>
      </c>
      <c r="E8" s="84" t="s">
        <v>76</v>
      </c>
      <c r="F8" s="84" t="s">
        <v>77</v>
      </c>
    </row>
    <row r="9" spans="1:6">
      <c r="A9" s="83" t="s">
        <v>78</v>
      </c>
      <c r="B9" s="83" t="s">
        <v>79</v>
      </c>
      <c r="C9" s="83" t="s">
        <v>80</v>
      </c>
      <c r="D9" s="83" t="s">
        <v>81</v>
      </c>
      <c r="E9" s="83" t="s">
        <v>82</v>
      </c>
      <c r="F9" s="83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2" topLeftCell="A3" activePane="bottomLeft" state="frozen"/>
      <selection pane="bottomLeft"/>
    </sheetView>
  </sheetViews>
  <sheetFormatPr baseColWidth="10" defaultColWidth="8.6640625" defaultRowHeight="14"/>
  <cols>
    <col min="1" max="1" width="32" customWidth="1"/>
    <col min="2" max="2" width="46" customWidth="1"/>
    <col min="3" max="4" width="52" customWidth="1"/>
    <col min="5" max="5" width="38" customWidth="1"/>
  </cols>
  <sheetData>
    <row r="1" spans="1:5" ht="33">
      <c r="A1" s="81" t="s">
        <v>409</v>
      </c>
      <c r="B1" s="81"/>
      <c r="C1" s="81"/>
      <c r="D1" s="81"/>
      <c r="E1" s="81"/>
    </row>
    <row r="2" spans="1:5">
      <c r="A2" s="82" t="s">
        <v>84</v>
      </c>
      <c r="B2" s="82" t="s">
        <v>85</v>
      </c>
      <c r="C2" s="82" t="s">
        <v>86</v>
      </c>
      <c r="D2" s="82" t="s">
        <v>87</v>
      </c>
      <c r="E2" s="82" t="s">
        <v>1</v>
      </c>
    </row>
    <row r="3" spans="1:5">
      <c r="A3" s="83" t="s">
        <v>88</v>
      </c>
      <c r="B3" s="83" t="s">
        <v>89</v>
      </c>
      <c r="C3" s="83" t="s">
        <v>90</v>
      </c>
      <c r="D3" s="83" t="s">
        <v>91</v>
      </c>
      <c r="E3" s="83" t="s">
        <v>92</v>
      </c>
    </row>
    <row r="4" spans="1:5">
      <c r="A4" s="84" t="s">
        <v>93</v>
      </c>
      <c r="B4" s="84" t="s">
        <v>94</v>
      </c>
      <c r="C4" s="84" t="s">
        <v>95</v>
      </c>
      <c r="D4" s="84" t="s">
        <v>96</v>
      </c>
      <c r="E4" s="84" t="s">
        <v>92</v>
      </c>
    </row>
    <row r="5" spans="1:5">
      <c r="A5" s="83" t="s">
        <v>97</v>
      </c>
      <c r="B5" s="83" t="s">
        <v>98</v>
      </c>
      <c r="C5" s="83" t="s">
        <v>99</v>
      </c>
      <c r="D5" s="83" t="s">
        <v>100</v>
      </c>
      <c r="E5" s="83" t="s">
        <v>101</v>
      </c>
    </row>
    <row r="6" spans="1:5">
      <c r="A6" s="84" t="s">
        <v>102</v>
      </c>
      <c r="B6" s="84" t="s">
        <v>103</v>
      </c>
      <c r="C6" s="84" t="s">
        <v>104</v>
      </c>
      <c r="D6" s="84" t="s">
        <v>105</v>
      </c>
      <c r="E6" s="84" t="s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2" topLeftCell="A3" activePane="bottomLeft" state="frozen"/>
      <selection pane="bottomLeft"/>
    </sheetView>
  </sheetViews>
  <sheetFormatPr baseColWidth="10" defaultColWidth="8.6640625" defaultRowHeight="14"/>
  <cols>
    <col min="1" max="1" width="37" customWidth="1"/>
    <col min="2" max="2" width="52" customWidth="1"/>
    <col min="3" max="3" width="26" customWidth="1"/>
    <col min="4" max="4" width="20" customWidth="1"/>
  </cols>
  <sheetData>
    <row r="1" spans="1:4" ht="33">
      <c r="A1" s="81" t="s">
        <v>107</v>
      </c>
      <c r="B1" s="81"/>
      <c r="C1" s="81"/>
      <c r="D1" s="81"/>
    </row>
    <row r="2" spans="1:4">
      <c r="A2" s="82" t="s">
        <v>10</v>
      </c>
      <c r="B2" s="82" t="s">
        <v>108</v>
      </c>
      <c r="C2" s="82" t="s">
        <v>14</v>
      </c>
      <c r="D2" s="82" t="s">
        <v>1</v>
      </c>
    </row>
    <row r="3" spans="1:4">
      <c r="A3" s="83" t="s">
        <v>21</v>
      </c>
      <c r="B3" s="83" t="s">
        <v>109</v>
      </c>
      <c r="C3" s="83" t="s">
        <v>110</v>
      </c>
      <c r="D3" s="83" t="s">
        <v>111</v>
      </c>
    </row>
    <row r="4" spans="1:4">
      <c r="A4" s="84" t="s">
        <v>112</v>
      </c>
      <c r="B4" s="84" t="s">
        <v>113</v>
      </c>
      <c r="C4" s="84" t="s">
        <v>114</v>
      </c>
      <c r="D4" s="84" t="s">
        <v>115</v>
      </c>
    </row>
    <row r="5" spans="1:4">
      <c r="A5" s="83" t="s">
        <v>116</v>
      </c>
      <c r="B5" s="83" t="s">
        <v>117</v>
      </c>
      <c r="C5" s="83" t="s">
        <v>118</v>
      </c>
      <c r="D5" s="83" t="s">
        <v>115</v>
      </c>
    </row>
    <row r="6" spans="1:4">
      <c r="A6" s="84" t="s">
        <v>119</v>
      </c>
      <c r="B6" s="84" t="s">
        <v>120</v>
      </c>
      <c r="C6" s="84" t="s">
        <v>121</v>
      </c>
      <c r="D6" s="84" t="s">
        <v>115</v>
      </c>
    </row>
    <row r="7" spans="1:4">
      <c r="A7" s="83" t="s">
        <v>122</v>
      </c>
      <c r="B7" s="83" t="s">
        <v>123</v>
      </c>
      <c r="C7" s="83" t="s">
        <v>124</v>
      </c>
      <c r="D7" s="83" t="s">
        <v>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showGridLines="0" workbookViewId="0"/>
  </sheetViews>
  <sheetFormatPr baseColWidth="10" defaultColWidth="8.6640625" defaultRowHeight="14"/>
  <cols>
    <col min="1" max="1" width="34" customWidth="1"/>
    <col min="2" max="4" width="15" customWidth="1"/>
    <col min="5" max="5" width="18" customWidth="1"/>
    <col min="6" max="6" width="48" customWidth="1"/>
  </cols>
  <sheetData>
    <row r="1" spans="1:6" ht="20">
      <c r="A1" s="87" t="s">
        <v>125</v>
      </c>
      <c r="B1" s="86"/>
      <c r="C1" s="86"/>
      <c r="D1" s="86"/>
      <c r="E1" s="86"/>
      <c r="F1" s="86"/>
    </row>
    <row r="2" spans="1:6">
      <c r="A2" s="3"/>
      <c r="B2" s="3"/>
      <c r="C2" s="3"/>
      <c r="D2" s="3"/>
      <c r="E2" s="3"/>
      <c r="F2" s="3"/>
    </row>
    <row r="3" spans="1:6">
      <c r="A3" s="4" t="s">
        <v>126</v>
      </c>
      <c r="B3" s="4" t="s">
        <v>127</v>
      </c>
      <c r="C3" s="4" t="s">
        <v>128</v>
      </c>
      <c r="D3" s="4" t="s">
        <v>129</v>
      </c>
      <c r="E3" s="4" t="s">
        <v>130</v>
      </c>
      <c r="F3" s="4" t="s">
        <v>131</v>
      </c>
    </row>
    <row r="4" spans="1:6" ht="28">
      <c r="A4" s="5" t="s">
        <v>132</v>
      </c>
      <c r="B4" s="6">
        <v>25000</v>
      </c>
      <c r="C4" s="6">
        <v>0</v>
      </c>
      <c r="D4" s="6">
        <v>0</v>
      </c>
      <c r="E4" s="5" t="s">
        <v>133</v>
      </c>
      <c r="F4" s="5" t="s">
        <v>134</v>
      </c>
    </row>
    <row r="5" spans="1:6">
      <c r="A5" s="5" t="s">
        <v>135</v>
      </c>
      <c r="B5" s="6">
        <v>0</v>
      </c>
      <c r="C5" s="6">
        <v>0</v>
      </c>
      <c r="D5" s="6">
        <v>0</v>
      </c>
      <c r="E5" s="5" t="s">
        <v>133</v>
      </c>
      <c r="F5" s="5" t="s">
        <v>136</v>
      </c>
    </row>
    <row r="6" spans="1:6">
      <c r="A6" s="5" t="s">
        <v>137</v>
      </c>
      <c r="B6" s="7">
        <v>0.19</v>
      </c>
      <c r="C6" s="7">
        <v>0.19</v>
      </c>
      <c r="D6" s="7">
        <v>0.19</v>
      </c>
      <c r="E6" s="5" t="s">
        <v>138</v>
      </c>
      <c r="F6" s="5" t="s">
        <v>139</v>
      </c>
    </row>
    <row r="7" spans="1:6">
      <c r="A7" s="5" t="s">
        <v>140</v>
      </c>
      <c r="B7" s="7">
        <v>0.1</v>
      </c>
      <c r="C7" s="7">
        <v>0.12</v>
      </c>
      <c r="D7" s="7">
        <v>0.15</v>
      </c>
      <c r="E7" s="5" t="s">
        <v>141</v>
      </c>
      <c r="F7" s="5" t="s">
        <v>142</v>
      </c>
    </row>
    <row r="8" spans="1:6">
      <c r="A8" s="5" t="s">
        <v>143</v>
      </c>
      <c r="B8" s="6">
        <v>1600</v>
      </c>
      <c r="C8" s="6">
        <v>2200</v>
      </c>
      <c r="D8" s="6">
        <v>3200</v>
      </c>
      <c r="E8" s="5" t="s">
        <v>144</v>
      </c>
      <c r="F8" s="5" t="s">
        <v>145</v>
      </c>
    </row>
    <row r="9" spans="1:6" ht="42">
      <c r="A9" s="5" t="s">
        <v>146</v>
      </c>
      <c r="B9" s="6">
        <v>2500</v>
      </c>
      <c r="C9" s="6">
        <v>3500</v>
      </c>
      <c r="D9" s="6">
        <v>5000</v>
      </c>
      <c r="E9" s="5" t="s">
        <v>144</v>
      </c>
      <c r="F9" s="5" t="s">
        <v>147</v>
      </c>
    </row>
    <row r="10" spans="1:6">
      <c r="A10" s="5" t="s">
        <v>148</v>
      </c>
      <c r="B10" s="6">
        <v>0</v>
      </c>
      <c r="C10" s="6">
        <v>4000</v>
      </c>
      <c r="D10" s="6">
        <v>9000</v>
      </c>
      <c r="E10" s="5" t="s">
        <v>144</v>
      </c>
      <c r="F10" s="5" t="s">
        <v>149</v>
      </c>
    </row>
    <row r="11" spans="1:6">
      <c r="A11" s="5" t="s">
        <v>150</v>
      </c>
      <c r="B11" s="6">
        <v>2000</v>
      </c>
      <c r="C11" s="6">
        <v>3000</v>
      </c>
      <c r="D11" s="6">
        <v>5000</v>
      </c>
      <c r="E11" s="5" t="s">
        <v>151</v>
      </c>
      <c r="F11" s="5" t="s">
        <v>152</v>
      </c>
    </row>
    <row r="12" spans="1:6">
      <c r="A12" s="5" t="s">
        <v>153</v>
      </c>
      <c r="B12" s="6">
        <v>2000</v>
      </c>
      <c r="C12" s="6">
        <v>8000</v>
      </c>
      <c r="D12" s="6">
        <v>15000</v>
      </c>
      <c r="E12" s="5" t="s">
        <v>151</v>
      </c>
      <c r="F12" s="5" t="s">
        <v>154</v>
      </c>
    </row>
    <row r="13" spans="1:6">
      <c r="A13" s="5" t="s">
        <v>155</v>
      </c>
      <c r="B13" s="6">
        <v>10000</v>
      </c>
      <c r="C13" s="6">
        <v>15000</v>
      </c>
      <c r="D13" s="6">
        <v>25000</v>
      </c>
      <c r="E13" s="5" t="s">
        <v>133</v>
      </c>
      <c r="F13" s="5" t="s">
        <v>156</v>
      </c>
    </row>
    <row r="14" spans="1:6">
      <c r="A14" s="5" t="s">
        <v>157</v>
      </c>
      <c r="B14" s="7">
        <v>0.45</v>
      </c>
      <c r="C14" s="7">
        <v>0.45</v>
      </c>
      <c r="D14" s="7">
        <v>0.45</v>
      </c>
      <c r="E14" s="5" t="s">
        <v>158</v>
      </c>
      <c r="F14" s="5" t="s">
        <v>159</v>
      </c>
    </row>
    <row r="15" spans="1:6">
      <c r="A15" s="5" t="s">
        <v>160</v>
      </c>
      <c r="B15" s="7">
        <v>1.25</v>
      </c>
      <c r="C15" s="7">
        <v>1.25</v>
      </c>
      <c r="D15" s="7">
        <v>1.25</v>
      </c>
      <c r="E15" s="5" t="s">
        <v>158</v>
      </c>
      <c r="F15" s="5" t="s">
        <v>161</v>
      </c>
    </row>
    <row r="16" spans="1:6">
      <c r="A16" s="5" t="s">
        <v>162</v>
      </c>
      <c r="B16" s="8">
        <v>102</v>
      </c>
      <c r="C16" s="8">
        <v>130</v>
      </c>
      <c r="D16" s="8">
        <v>140</v>
      </c>
      <c r="E16" s="5" t="s">
        <v>163</v>
      </c>
      <c r="F16" s="5" t="s">
        <v>164</v>
      </c>
    </row>
    <row r="17" spans="1:6" ht="28">
      <c r="A17" s="5" t="s">
        <v>165</v>
      </c>
      <c r="B17" s="6">
        <v>900</v>
      </c>
      <c r="C17" s="6">
        <v>900</v>
      </c>
      <c r="D17" s="6">
        <v>900</v>
      </c>
      <c r="E17" s="5" t="s">
        <v>166</v>
      </c>
      <c r="F17" s="5" t="s">
        <v>167</v>
      </c>
    </row>
    <row r="18" spans="1:6" ht="42">
      <c r="A18" s="5" t="s">
        <v>168</v>
      </c>
      <c r="B18" s="8" t="s">
        <v>169</v>
      </c>
      <c r="C18" s="8" t="s">
        <v>169</v>
      </c>
      <c r="D18" s="8" t="s">
        <v>169</v>
      </c>
      <c r="E18" s="5" t="s">
        <v>170</v>
      </c>
      <c r="F18" s="5" t="s">
        <v>171</v>
      </c>
    </row>
    <row r="19" spans="1:6">
      <c r="A19" s="9" t="s">
        <v>172</v>
      </c>
      <c r="B19" s="10">
        <v>0.3</v>
      </c>
      <c r="C19" s="10">
        <v>0.3</v>
      </c>
      <c r="D19" s="10">
        <v>0.3</v>
      </c>
      <c r="E19" s="11" t="s">
        <v>173</v>
      </c>
      <c r="F19" s="19" t="s">
        <v>174</v>
      </c>
    </row>
    <row r="20" spans="1:6">
      <c r="A20" s="13" t="s">
        <v>175</v>
      </c>
      <c r="B20" s="14"/>
      <c r="C20" s="14"/>
      <c r="D20" s="14"/>
      <c r="E20" s="13"/>
      <c r="F20" s="20" t="s">
        <v>176</v>
      </c>
    </row>
    <row r="21" spans="1:6">
      <c r="A21" s="15" t="s">
        <v>177</v>
      </c>
      <c r="B21" s="16">
        <v>0.4</v>
      </c>
      <c r="C21" s="16">
        <v>0.4</v>
      </c>
      <c r="D21" s="16">
        <v>0.2</v>
      </c>
      <c r="E21" s="17" t="s">
        <v>138</v>
      </c>
      <c r="F21" s="21" t="s">
        <v>178</v>
      </c>
    </row>
    <row r="22" spans="1:6">
      <c r="A22" s="15" t="s">
        <v>179</v>
      </c>
      <c r="B22" s="16">
        <v>0.3</v>
      </c>
      <c r="C22" s="16">
        <v>0.3</v>
      </c>
      <c r="D22" s="16">
        <v>0.3</v>
      </c>
      <c r="E22" s="17" t="s">
        <v>138</v>
      </c>
      <c r="F22" s="21" t="s">
        <v>180</v>
      </c>
    </row>
    <row r="23" spans="1:6">
      <c r="A23" s="15" t="s">
        <v>181</v>
      </c>
      <c r="B23" s="16">
        <v>0.1</v>
      </c>
      <c r="C23" s="16">
        <v>0</v>
      </c>
      <c r="D23" s="16">
        <v>0</v>
      </c>
      <c r="E23" s="17" t="s">
        <v>138</v>
      </c>
      <c r="F23" s="21" t="s">
        <v>182</v>
      </c>
    </row>
    <row r="24" spans="1:6">
      <c r="A24" s="15" t="s">
        <v>183</v>
      </c>
      <c r="B24" s="16">
        <v>0.5</v>
      </c>
      <c r="C24" s="16">
        <v>0.3</v>
      </c>
      <c r="D24" s="16">
        <v>0.2</v>
      </c>
      <c r="E24" s="17" t="s">
        <v>138</v>
      </c>
      <c r="F24" s="21" t="s">
        <v>184</v>
      </c>
    </row>
    <row r="25" spans="1:6">
      <c r="A25" s="15" t="s">
        <v>185</v>
      </c>
      <c r="B25" s="17" t="s">
        <v>186</v>
      </c>
      <c r="C25" s="17"/>
      <c r="D25" s="17"/>
      <c r="E25" s="17" t="s">
        <v>133</v>
      </c>
      <c r="F25" s="21" t="s">
        <v>187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28"/>
  <sheetViews>
    <sheetView showGridLines="0" workbookViewId="0"/>
  </sheetViews>
  <sheetFormatPr baseColWidth="10" defaultColWidth="8.6640625" defaultRowHeight="14"/>
  <cols>
    <col min="1" max="1" width="24" customWidth="1"/>
    <col min="2" max="2" width="8" customWidth="1"/>
    <col min="3" max="3" width="16" customWidth="1"/>
    <col min="4" max="4" width="20" customWidth="1"/>
    <col min="5" max="5" width="12" customWidth="1"/>
  </cols>
  <sheetData>
    <row r="1" spans="1:40" ht="20">
      <c r="A1" s="87" t="s">
        <v>188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3"/>
      <c r="AN1" s="3"/>
    </row>
    <row r="2" spans="1:4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28">
      <c r="A3" s="4" t="s">
        <v>189</v>
      </c>
      <c r="B3" s="4" t="s">
        <v>190</v>
      </c>
      <c r="C3" s="4" t="s">
        <v>191</v>
      </c>
      <c r="D3" s="4" t="s">
        <v>192</v>
      </c>
      <c r="E3" s="4" t="s">
        <v>193</v>
      </c>
      <c r="F3" s="4" t="s">
        <v>194</v>
      </c>
      <c r="G3" s="4" t="s">
        <v>195</v>
      </c>
      <c r="H3" s="4" t="s">
        <v>196</v>
      </c>
      <c r="I3" s="4" t="s">
        <v>197</v>
      </c>
      <c r="J3" s="4" t="s">
        <v>198</v>
      </c>
      <c r="K3" s="4" t="s">
        <v>199</v>
      </c>
      <c r="L3" s="4" t="s">
        <v>200</v>
      </c>
      <c r="M3" s="4" t="s">
        <v>201</v>
      </c>
      <c r="N3" s="4" t="s">
        <v>202</v>
      </c>
      <c r="O3" s="4" t="s">
        <v>203</v>
      </c>
      <c r="P3" s="4" t="s">
        <v>204</v>
      </c>
      <c r="Q3" s="4" t="s">
        <v>205</v>
      </c>
      <c r="R3" s="4" t="s">
        <v>206</v>
      </c>
      <c r="S3" s="4" t="s">
        <v>207</v>
      </c>
      <c r="T3" s="4" t="s">
        <v>208</v>
      </c>
      <c r="U3" s="4" t="s">
        <v>209</v>
      </c>
      <c r="V3" s="4" t="s">
        <v>210</v>
      </c>
      <c r="W3" s="4" t="s">
        <v>211</v>
      </c>
      <c r="X3" s="4" t="s">
        <v>212</v>
      </c>
      <c r="Y3" s="4" t="s">
        <v>213</v>
      </c>
      <c r="Z3" s="4" t="s">
        <v>214</v>
      </c>
      <c r="AA3" s="4" t="s">
        <v>215</v>
      </c>
      <c r="AB3" s="4" t="s">
        <v>216</v>
      </c>
      <c r="AC3" s="4" t="s">
        <v>217</v>
      </c>
      <c r="AD3" s="4" t="s">
        <v>218</v>
      </c>
      <c r="AE3" s="4" t="s">
        <v>219</v>
      </c>
      <c r="AF3" s="4" t="s">
        <v>220</v>
      </c>
      <c r="AG3" s="4" t="s">
        <v>221</v>
      </c>
      <c r="AH3" s="4" t="s">
        <v>222</v>
      </c>
      <c r="AI3" s="4" t="s">
        <v>223</v>
      </c>
      <c r="AJ3" s="4" t="s">
        <v>224</v>
      </c>
      <c r="AK3" s="4" t="s">
        <v>225</v>
      </c>
      <c r="AL3" s="4" t="s">
        <v>226</v>
      </c>
      <c r="AM3" s="4" t="s">
        <v>227</v>
      </c>
      <c r="AN3" s="4" t="s">
        <v>228</v>
      </c>
    </row>
    <row r="4" spans="1:40">
      <c r="A4" s="29" t="s">
        <v>229</v>
      </c>
      <c r="B4" s="29">
        <v>1</v>
      </c>
      <c r="C4" s="30">
        <v>12500</v>
      </c>
      <c r="D4" s="31" t="s">
        <v>230</v>
      </c>
      <c r="E4" s="31">
        <f>IF(Schedule_Inputs!$C$4="Blueprint",$C4*IF(1-Schedule_Inputs!$B$4=0,Assumptions!$B$21,IF(1-Schedule_Inputs!$B$4=1,Assumptions!$C$21,IF(1-Schedule_Inputs!$B$4=2,Assumptions!$D$21,0))),IF(Schedule_Inputs!$C$4="Launch",$C4*IF(1-Schedule_Inputs!$B$4=0,Assumptions!$B$22,IF(1-Schedule_Inputs!$B$4=1,Assumptions!$C$22,IF(1-Schedule_Inputs!$B$4=2,Assumptions!$D$22,IF(1-Schedule_Inputs!$B$4=3,Assumptions!$B$23,0)))),IF(Schedule_Inputs!$C$4="Office Setup",$C4*IF(1-Schedule_Inputs!$B$4=0,Assumptions!$B$24,IF(1-Schedule_Inputs!$B$4=1,Assumptions!$C$24,IF(1-Schedule_Inputs!$B$4=2,Assumptions!$D$24,0))),IF(OR(Schedule_Inputs!$C$4="Monthly",Schedule_Inputs!$C$4="Periodic"),IF(AND(1&gt;=Schedule_Inputs!$B$4,MOD(1-Schedule_Inputs!$B$4,Schedule_Inputs!$E$4)=0,(1-Schedule_Inputs!$B$4)/Schedule_Inputs!$E$4&lt;Schedule_Inputs!$D$4),$C4/Schedule_Inputs!$D$4,0),0))))</f>
        <v>0</v>
      </c>
      <c r="F4" s="31">
        <f>IF(Schedule_Inputs!$C$4="Blueprint",$C4*IF(2-Schedule_Inputs!$B$4=0,Assumptions!$B$21,IF(2-Schedule_Inputs!$B$4=1,Assumptions!$C$21,IF(2-Schedule_Inputs!$B$4=2,Assumptions!$D$21,0))),IF(Schedule_Inputs!$C$4="Launch",$C4*IF(2-Schedule_Inputs!$B$4=0,Assumptions!$B$22,IF(2-Schedule_Inputs!$B$4=1,Assumptions!$C$22,IF(2-Schedule_Inputs!$B$4=2,Assumptions!$D$22,IF(2-Schedule_Inputs!$B$4=3,Assumptions!$B$23,0)))),IF(Schedule_Inputs!$C$4="Office Setup",$C4*IF(2-Schedule_Inputs!$B$4=0,Assumptions!$B$24,IF(2-Schedule_Inputs!$B$4=1,Assumptions!$C$24,IF(2-Schedule_Inputs!$B$4=2,Assumptions!$D$24,0))),IF(OR(Schedule_Inputs!$C$4="Monthly",Schedule_Inputs!$C$4="Periodic"),IF(AND(2&gt;=Schedule_Inputs!$B$4,MOD(2-Schedule_Inputs!$B$4,Schedule_Inputs!$E$4)=0,(2-Schedule_Inputs!$B$4)/Schedule_Inputs!$E$4&lt;Schedule_Inputs!$D$4),$C4/Schedule_Inputs!$D$4,0),0))))</f>
        <v>0</v>
      </c>
      <c r="G4" s="31">
        <f>IF(Schedule_Inputs!$C$4="Blueprint",$C4*IF(3-Schedule_Inputs!$B$4=0,Assumptions!$B$21,IF(3-Schedule_Inputs!$B$4=1,Assumptions!$C$21,IF(3-Schedule_Inputs!$B$4=2,Assumptions!$D$21,0))),IF(Schedule_Inputs!$C$4="Launch",$C4*IF(3-Schedule_Inputs!$B$4=0,Assumptions!$B$22,IF(3-Schedule_Inputs!$B$4=1,Assumptions!$C$22,IF(3-Schedule_Inputs!$B$4=2,Assumptions!$D$22,IF(3-Schedule_Inputs!$B$4=3,Assumptions!$B$23,0)))),IF(Schedule_Inputs!$C$4="Office Setup",$C4*IF(3-Schedule_Inputs!$B$4=0,Assumptions!$B$24,IF(3-Schedule_Inputs!$B$4=1,Assumptions!$C$24,IF(3-Schedule_Inputs!$B$4=2,Assumptions!$D$24,0))),IF(OR(Schedule_Inputs!$C$4="Monthly",Schedule_Inputs!$C$4="Periodic"),IF(AND(3&gt;=Schedule_Inputs!$B$4,MOD(3-Schedule_Inputs!$B$4,Schedule_Inputs!$E$4)=0,(3-Schedule_Inputs!$B$4)/Schedule_Inputs!$E$4&lt;Schedule_Inputs!$D$4),$C4/Schedule_Inputs!$D$4,0),0))))</f>
        <v>5000</v>
      </c>
      <c r="H4" s="31">
        <f>IF(Schedule_Inputs!$C$4="Blueprint",$C4*IF(4-Schedule_Inputs!$B$4=0,Assumptions!$B$21,IF(4-Schedule_Inputs!$B$4=1,Assumptions!$C$21,IF(4-Schedule_Inputs!$B$4=2,Assumptions!$D$21,0))),IF(Schedule_Inputs!$C$4="Launch",$C4*IF(4-Schedule_Inputs!$B$4=0,Assumptions!$B$22,IF(4-Schedule_Inputs!$B$4=1,Assumptions!$C$22,IF(4-Schedule_Inputs!$B$4=2,Assumptions!$D$22,IF(4-Schedule_Inputs!$B$4=3,Assumptions!$B$23,0)))),IF(Schedule_Inputs!$C$4="Office Setup",$C4*IF(4-Schedule_Inputs!$B$4=0,Assumptions!$B$24,IF(4-Schedule_Inputs!$B$4=1,Assumptions!$C$24,IF(4-Schedule_Inputs!$B$4=2,Assumptions!$D$24,0))),IF(OR(Schedule_Inputs!$C$4="Monthly",Schedule_Inputs!$C$4="Periodic"),IF(AND(4&gt;=Schedule_Inputs!$B$4,MOD(4-Schedule_Inputs!$B$4,Schedule_Inputs!$E$4)=0,(4-Schedule_Inputs!$B$4)/Schedule_Inputs!$E$4&lt;Schedule_Inputs!$D$4),$C4/Schedule_Inputs!$D$4,0),0))))</f>
        <v>5000</v>
      </c>
      <c r="I4" s="31">
        <f>IF(Schedule_Inputs!$C$4="Blueprint",$C4*IF(5-Schedule_Inputs!$B$4=0,Assumptions!$B$21,IF(5-Schedule_Inputs!$B$4=1,Assumptions!$C$21,IF(5-Schedule_Inputs!$B$4=2,Assumptions!$D$21,0))),IF(Schedule_Inputs!$C$4="Launch",$C4*IF(5-Schedule_Inputs!$B$4=0,Assumptions!$B$22,IF(5-Schedule_Inputs!$B$4=1,Assumptions!$C$22,IF(5-Schedule_Inputs!$B$4=2,Assumptions!$D$22,IF(5-Schedule_Inputs!$B$4=3,Assumptions!$B$23,0)))),IF(Schedule_Inputs!$C$4="Office Setup",$C4*IF(5-Schedule_Inputs!$B$4=0,Assumptions!$B$24,IF(5-Schedule_Inputs!$B$4=1,Assumptions!$C$24,IF(5-Schedule_Inputs!$B$4=2,Assumptions!$D$24,0))),IF(OR(Schedule_Inputs!$C$4="Monthly",Schedule_Inputs!$C$4="Periodic"),IF(AND(5&gt;=Schedule_Inputs!$B$4,MOD(5-Schedule_Inputs!$B$4,Schedule_Inputs!$E$4)=0,(5-Schedule_Inputs!$B$4)/Schedule_Inputs!$E$4&lt;Schedule_Inputs!$D$4),$C4/Schedule_Inputs!$D$4,0),0))))</f>
        <v>2500</v>
      </c>
      <c r="J4" s="31">
        <f>IF(Schedule_Inputs!$C$4="Blueprint",$C4*IF(6-Schedule_Inputs!$B$4=0,Assumptions!$B$21,IF(6-Schedule_Inputs!$B$4=1,Assumptions!$C$21,IF(6-Schedule_Inputs!$B$4=2,Assumptions!$D$21,0))),IF(Schedule_Inputs!$C$4="Launch",$C4*IF(6-Schedule_Inputs!$B$4=0,Assumptions!$B$22,IF(6-Schedule_Inputs!$B$4=1,Assumptions!$C$22,IF(6-Schedule_Inputs!$B$4=2,Assumptions!$D$22,IF(6-Schedule_Inputs!$B$4=3,Assumptions!$B$23,0)))),IF(Schedule_Inputs!$C$4="Office Setup",$C4*IF(6-Schedule_Inputs!$B$4=0,Assumptions!$B$24,IF(6-Schedule_Inputs!$B$4=1,Assumptions!$C$24,IF(6-Schedule_Inputs!$B$4=2,Assumptions!$D$24,0))),IF(OR(Schedule_Inputs!$C$4="Monthly",Schedule_Inputs!$C$4="Periodic"),IF(AND(6&gt;=Schedule_Inputs!$B$4,MOD(6-Schedule_Inputs!$B$4,Schedule_Inputs!$E$4)=0,(6-Schedule_Inputs!$B$4)/Schedule_Inputs!$E$4&lt;Schedule_Inputs!$D$4),$C4/Schedule_Inputs!$D$4,0),0))))</f>
        <v>0</v>
      </c>
      <c r="K4" s="31">
        <f>IF(Schedule_Inputs!$C$4="Blueprint",$C4*IF(7-Schedule_Inputs!$B$4=0,Assumptions!$B$21,IF(7-Schedule_Inputs!$B$4=1,Assumptions!$C$21,IF(7-Schedule_Inputs!$B$4=2,Assumptions!$D$21,0))),IF(Schedule_Inputs!$C$4="Launch",$C4*IF(7-Schedule_Inputs!$B$4=0,Assumptions!$B$22,IF(7-Schedule_Inputs!$B$4=1,Assumptions!$C$22,IF(7-Schedule_Inputs!$B$4=2,Assumptions!$D$22,IF(7-Schedule_Inputs!$B$4=3,Assumptions!$B$23,0)))),IF(Schedule_Inputs!$C$4="Office Setup",$C4*IF(7-Schedule_Inputs!$B$4=0,Assumptions!$B$24,IF(7-Schedule_Inputs!$B$4=1,Assumptions!$C$24,IF(7-Schedule_Inputs!$B$4=2,Assumptions!$D$24,0))),IF(OR(Schedule_Inputs!$C$4="Monthly",Schedule_Inputs!$C$4="Periodic"),IF(AND(7&gt;=Schedule_Inputs!$B$4,MOD(7-Schedule_Inputs!$B$4,Schedule_Inputs!$E$4)=0,(7-Schedule_Inputs!$B$4)/Schedule_Inputs!$E$4&lt;Schedule_Inputs!$D$4),$C4/Schedule_Inputs!$D$4,0),0))))</f>
        <v>0</v>
      </c>
      <c r="L4" s="31">
        <f>IF(Schedule_Inputs!$C$4="Blueprint",$C4*IF(8-Schedule_Inputs!$B$4=0,Assumptions!$B$21,IF(8-Schedule_Inputs!$B$4=1,Assumptions!$C$21,IF(8-Schedule_Inputs!$B$4=2,Assumptions!$D$21,0))),IF(Schedule_Inputs!$C$4="Launch",$C4*IF(8-Schedule_Inputs!$B$4=0,Assumptions!$B$22,IF(8-Schedule_Inputs!$B$4=1,Assumptions!$C$22,IF(8-Schedule_Inputs!$B$4=2,Assumptions!$D$22,IF(8-Schedule_Inputs!$B$4=3,Assumptions!$B$23,0)))),IF(Schedule_Inputs!$C$4="Office Setup",$C4*IF(8-Schedule_Inputs!$B$4=0,Assumptions!$B$24,IF(8-Schedule_Inputs!$B$4=1,Assumptions!$C$24,IF(8-Schedule_Inputs!$B$4=2,Assumptions!$D$24,0))),IF(OR(Schedule_Inputs!$C$4="Monthly",Schedule_Inputs!$C$4="Periodic"),IF(AND(8&gt;=Schedule_Inputs!$B$4,MOD(8-Schedule_Inputs!$B$4,Schedule_Inputs!$E$4)=0,(8-Schedule_Inputs!$B$4)/Schedule_Inputs!$E$4&lt;Schedule_Inputs!$D$4),$C4/Schedule_Inputs!$D$4,0),0))))</f>
        <v>0</v>
      </c>
      <c r="M4" s="31">
        <f>IF(Schedule_Inputs!$C$4="Blueprint",$C4*IF(9-Schedule_Inputs!$B$4=0,Assumptions!$B$21,IF(9-Schedule_Inputs!$B$4=1,Assumptions!$C$21,IF(9-Schedule_Inputs!$B$4=2,Assumptions!$D$21,0))),IF(Schedule_Inputs!$C$4="Launch",$C4*IF(9-Schedule_Inputs!$B$4=0,Assumptions!$B$22,IF(9-Schedule_Inputs!$B$4=1,Assumptions!$C$22,IF(9-Schedule_Inputs!$B$4=2,Assumptions!$D$22,IF(9-Schedule_Inputs!$B$4=3,Assumptions!$B$23,0)))),IF(Schedule_Inputs!$C$4="Office Setup",$C4*IF(9-Schedule_Inputs!$B$4=0,Assumptions!$B$24,IF(9-Schedule_Inputs!$B$4=1,Assumptions!$C$24,IF(9-Schedule_Inputs!$B$4=2,Assumptions!$D$24,0))),IF(OR(Schedule_Inputs!$C$4="Monthly",Schedule_Inputs!$C$4="Periodic"),IF(AND(9&gt;=Schedule_Inputs!$B$4,MOD(9-Schedule_Inputs!$B$4,Schedule_Inputs!$E$4)=0,(9-Schedule_Inputs!$B$4)/Schedule_Inputs!$E$4&lt;Schedule_Inputs!$D$4),$C4/Schedule_Inputs!$D$4,0),0))))</f>
        <v>0</v>
      </c>
      <c r="N4" s="31">
        <f>IF(Schedule_Inputs!$C$4="Blueprint",$C4*IF(10-Schedule_Inputs!$B$4=0,Assumptions!$B$21,IF(10-Schedule_Inputs!$B$4=1,Assumptions!$C$21,IF(10-Schedule_Inputs!$B$4=2,Assumptions!$D$21,0))),IF(Schedule_Inputs!$C$4="Launch",$C4*IF(10-Schedule_Inputs!$B$4=0,Assumptions!$B$22,IF(10-Schedule_Inputs!$B$4=1,Assumptions!$C$22,IF(10-Schedule_Inputs!$B$4=2,Assumptions!$D$22,IF(10-Schedule_Inputs!$B$4=3,Assumptions!$B$23,0)))),IF(Schedule_Inputs!$C$4="Office Setup",$C4*IF(10-Schedule_Inputs!$B$4=0,Assumptions!$B$24,IF(10-Schedule_Inputs!$B$4=1,Assumptions!$C$24,IF(10-Schedule_Inputs!$B$4=2,Assumptions!$D$24,0))),IF(OR(Schedule_Inputs!$C$4="Monthly",Schedule_Inputs!$C$4="Periodic"),IF(AND(10&gt;=Schedule_Inputs!$B$4,MOD(10-Schedule_Inputs!$B$4,Schedule_Inputs!$E$4)=0,(10-Schedule_Inputs!$B$4)/Schedule_Inputs!$E$4&lt;Schedule_Inputs!$D$4),$C4/Schedule_Inputs!$D$4,0),0))))</f>
        <v>0</v>
      </c>
      <c r="O4" s="31">
        <f>IF(Schedule_Inputs!$C$4="Blueprint",$C4*IF(11-Schedule_Inputs!$B$4=0,Assumptions!$B$21,IF(11-Schedule_Inputs!$B$4=1,Assumptions!$C$21,IF(11-Schedule_Inputs!$B$4=2,Assumptions!$D$21,0))),IF(Schedule_Inputs!$C$4="Launch",$C4*IF(11-Schedule_Inputs!$B$4=0,Assumptions!$B$22,IF(11-Schedule_Inputs!$B$4=1,Assumptions!$C$22,IF(11-Schedule_Inputs!$B$4=2,Assumptions!$D$22,IF(11-Schedule_Inputs!$B$4=3,Assumptions!$B$23,0)))),IF(Schedule_Inputs!$C$4="Office Setup",$C4*IF(11-Schedule_Inputs!$B$4=0,Assumptions!$B$24,IF(11-Schedule_Inputs!$B$4=1,Assumptions!$C$24,IF(11-Schedule_Inputs!$B$4=2,Assumptions!$D$24,0))),IF(OR(Schedule_Inputs!$C$4="Monthly",Schedule_Inputs!$C$4="Periodic"),IF(AND(11&gt;=Schedule_Inputs!$B$4,MOD(11-Schedule_Inputs!$B$4,Schedule_Inputs!$E$4)=0,(11-Schedule_Inputs!$B$4)/Schedule_Inputs!$E$4&lt;Schedule_Inputs!$D$4),$C4/Schedule_Inputs!$D$4,0),0))))</f>
        <v>0</v>
      </c>
      <c r="P4" s="31">
        <f>IF(Schedule_Inputs!$C$4="Blueprint",$C4*IF(12-Schedule_Inputs!$B$4=0,Assumptions!$B$21,IF(12-Schedule_Inputs!$B$4=1,Assumptions!$C$21,IF(12-Schedule_Inputs!$B$4=2,Assumptions!$D$21,0))),IF(Schedule_Inputs!$C$4="Launch",$C4*IF(12-Schedule_Inputs!$B$4=0,Assumptions!$B$22,IF(12-Schedule_Inputs!$B$4=1,Assumptions!$C$22,IF(12-Schedule_Inputs!$B$4=2,Assumptions!$D$22,IF(12-Schedule_Inputs!$B$4=3,Assumptions!$B$23,0)))),IF(Schedule_Inputs!$C$4="Office Setup",$C4*IF(12-Schedule_Inputs!$B$4=0,Assumptions!$B$24,IF(12-Schedule_Inputs!$B$4=1,Assumptions!$C$24,IF(12-Schedule_Inputs!$B$4=2,Assumptions!$D$24,0))),IF(OR(Schedule_Inputs!$C$4="Monthly",Schedule_Inputs!$C$4="Periodic"),IF(AND(12&gt;=Schedule_Inputs!$B$4,MOD(12-Schedule_Inputs!$B$4,Schedule_Inputs!$E$4)=0,(12-Schedule_Inputs!$B$4)/Schedule_Inputs!$E$4&lt;Schedule_Inputs!$D$4),$C4/Schedule_Inputs!$D$4,0),0))))</f>
        <v>0</v>
      </c>
      <c r="Q4" s="31">
        <f>IF(Schedule_Inputs!$C$4="Blueprint",$C4*IF(13-Schedule_Inputs!$B$4=0,Assumptions!$B$21,IF(13-Schedule_Inputs!$B$4=1,Assumptions!$C$21,IF(13-Schedule_Inputs!$B$4=2,Assumptions!$D$21,0))),IF(Schedule_Inputs!$C$4="Launch",$C4*IF(13-Schedule_Inputs!$B$4=0,Assumptions!$B$22,IF(13-Schedule_Inputs!$B$4=1,Assumptions!$C$22,IF(13-Schedule_Inputs!$B$4=2,Assumptions!$D$22,IF(13-Schedule_Inputs!$B$4=3,Assumptions!$B$23,0)))),IF(Schedule_Inputs!$C$4="Office Setup",$C4*IF(13-Schedule_Inputs!$B$4=0,Assumptions!$B$24,IF(13-Schedule_Inputs!$B$4=1,Assumptions!$C$24,IF(13-Schedule_Inputs!$B$4=2,Assumptions!$D$24,0))),IF(OR(Schedule_Inputs!$C$4="Monthly",Schedule_Inputs!$C$4="Periodic"),IF(AND(13&gt;=Schedule_Inputs!$B$4,MOD(13-Schedule_Inputs!$B$4,Schedule_Inputs!$E$4)=0,(13-Schedule_Inputs!$B$4)/Schedule_Inputs!$E$4&lt;Schedule_Inputs!$D$4),$C4/Schedule_Inputs!$D$4,0),0))))</f>
        <v>0</v>
      </c>
      <c r="R4" s="31">
        <f>IF(Schedule_Inputs!$C$4="Blueprint",$C4*IF(14-Schedule_Inputs!$B$4=0,Assumptions!$B$21,IF(14-Schedule_Inputs!$B$4=1,Assumptions!$C$21,IF(14-Schedule_Inputs!$B$4=2,Assumptions!$D$21,0))),IF(Schedule_Inputs!$C$4="Launch",$C4*IF(14-Schedule_Inputs!$B$4=0,Assumptions!$B$22,IF(14-Schedule_Inputs!$B$4=1,Assumptions!$C$22,IF(14-Schedule_Inputs!$B$4=2,Assumptions!$D$22,IF(14-Schedule_Inputs!$B$4=3,Assumptions!$B$23,0)))),IF(Schedule_Inputs!$C$4="Office Setup",$C4*IF(14-Schedule_Inputs!$B$4=0,Assumptions!$B$24,IF(14-Schedule_Inputs!$B$4=1,Assumptions!$C$24,IF(14-Schedule_Inputs!$B$4=2,Assumptions!$D$24,0))),IF(OR(Schedule_Inputs!$C$4="Monthly",Schedule_Inputs!$C$4="Periodic"),IF(AND(14&gt;=Schedule_Inputs!$B$4,MOD(14-Schedule_Inputs!$B$4,Schedule_Inputs!$E$4)=0,(14-Schedule_Inputs!$B$4)/Schedule_Inputs!$E$4&lt;Schedule_Inputs!$D$4),$C4/Schedule_Inputs!$D$4,0),0))))</f>
        <v>0</v>
      </c>
      <c r="S4" s="31">
        <f>IF(Schedule_Inputs!$C$4="Blueprint",$C4*IF(15-Schedule_Inputs!$B$4=0,Assumptions!$B$21,IF(15-Schedule_Inputs!$B$4=1,Assumptions!$C$21,IF(15-Schedule_Inputs!$B$4=2,Assumptions!$D$21,0))),IF(Schedule_Inputs!$C$4="Launch",$C4*IF(15-Schedule_Inputs!$B$4=0,Assumptions!$B$22,IF(15-Schedule_Inputs!$B$4=1,Assumptions!$C$22,IF(15-Schedule_Inputs!$B$4=2,Assumptions!$D$22,IF(15-Schedule_Inputs!$B$4=3,Assumptions!$B$23,0)))),IF(Schedule_Inputs!$C$4="Office Setup",$C4*IF(15-Schedule_Inputs!$B$4=0,Assumptions!$B$24,IF(15-Schedule_Inputs!$B$4=1,Assumptions!$C$24,IF(15-Schedule_Inputs!$B$4=2,Assumptions!$D$24,0))),IF(OR(Schedule_Inputs!$C$4="Monthly",Schedule_Inputs!$C$4="Periodic"),IF(AND(15&gt;=Schedule_Inputs!$B$4,MOD(15-Schedule_Inputs!$B$4,Schedule_Inputs!$E$4)=0,(15-Schedule_Inputs!$B$4)/Schedule_Inputs!$E$4&lt;Schedule_Inputs!$D$4),$C4/Schedule_Inputs!$D$4,0),0))))</f>
        <v>0</v>
      </c>
      <c r="T4" s="31">
        <f>IF(Schedule_Inputs!$C$4="Blueprint",$C4*IF(16-Schedule_Inputs!$B$4=0,Assumptions!$B$21,IF(16-Schedule_Inputs!$B$4=1,Assumptions!$C$21,IF(16-Schedule_Inputs!$B$4=2,Assumptions!$D$21,0))),IF(Schedule_Inputs!$C$4="Launch",$C4*IF(16-Schedule_Inputs!$B$4=0,Assumptions!$B$22,IF(16-Schedule_Inputs!$B$4=1,Assumptions!$C$22,IF(16-Schedule_Inputs!$B$4=2,Assumptions!$D$22,IF(16-Schedule_Inputs!$B$4=3,Assumptions!$B$23,0)))),IF(Schedule_Inputs!$C$4="Office Setup",$C4*IF(16-Schedule_Inputs!$B$4=0,Assumptions!$B$24,IF(16-Schedule_Inputs!$B$4=1,Assumptions!$C$24,IF(16-Schedule_Inputs!$B$4=2,Assumptions!$D$24,0))),IF(OR(Schedule_Inputs!$C$4="Monthly",Schedule_Inputs!$C$4="Periodic"),IF(AND(16&gt;=Schedule_Inputs!$B$4,MOD(16-Schedule_Inputs!$B$4,Schedule_Inputs!$E$4)=0,(16-Schedule_Inputs!$B$4)/Schedule_Inputs!$E$4&lt;Schedule_Inputs!$D$4),$C4/Schedule_Inputs!$D$4,0),0))))</f>
        <v>0</v>
      </c>
      <c r="U4" s="31">
        <f>IF(Schedule_Inputs!$C$4="Blueprint",$C4*IF(17-Schedule_Inputs!$B$4=0,Assumptions!$B$21,IF(17-Schedule_Inputs!$B$4=1,Assumptions!$C$21,IF(17-Schedule_Inputs!$B$4=2,Assumptions!$D$21,0))),IF(Schedule_Inputs!$C$4="Launch",$C4*IF(17-Schedule_Inputs!$B$4=0,Assumptions!$B$22,IF(17-Schedule_Inputs!$B$4=1,Assumptions!$C$22,IF(17-Schedule_Inputs!$B$4=2,Assumptions!$D$22,IF(17-Schedule_Inputs!$B$4=3,Assumptions!$B$23,0)))),IF(Schedule_Inputs!$C$4="Office Setup",$C4*IF(17-Schedule_Inputs!$B$4=0,Assumptions!$B$24,IF(17-Schedule_Inputs!$B$4=1,Assumptions!$C$24,IF(17-Schedule_Inputs!$B$4=2,Assumptions!$D$24,0))),IF(OR(Schedule_Inputs!$C$4="Monthly",Schedule_Inputs!$C$4="Periodic"),IF(AND(17&gt;=Schedule_Inputs!$B$4,MOD(17-Schedule_Inputs!$B$4,Schedule_Inputs!$E$4)=0,(17-Schedule_Inputs!$B$4)/Schedule_Inputs!$E$4&lt;Schedule_Inputs!$D$4),$C4/Schedule_Inputs!$D$4,0),0))))</f>
        <v>0</v>
      </c>
      <c r="V4" s="31">
        <f>IF(Schedule_Inputs!$C$4="Blueprint",$C4*IF(18-Schedule_Inputs!$B$4=0,Assumptions!$B$21,IF(18-Schedule_Inputs!$B$4=1,Assumptions!$C$21,IF(18-Schedule_Inputs!$B$4=2,Assumptions!$D$21,0))),IF(Schedule_Inputs!$C$4="Launch",$C4*IF(18-Schedule_Inputs!$B$4=0,Assumptions!$B$22,IF(18-Schedule_Inputs!$B$4=1,Assumptions!$C$22,IF(18-Schedule_Inputs!$B$4=2,Assumptions!$D$22,IF(18-Schedule_Inputs!$B$4=3,Assumptions!$B$23,0)))),IF(Schedule_Inputs!$C$4="Office Setup",$C4*IF(18-Schedule_Inputs!$B$4=0,Assumptions!$B$24,IF(18-Schedule_Inputs!$B$4=1,Assumptions!$C$24,IF(18-Schedule_Inputs!$B$4=2,Assumptions!$D$24,0))),IF(OR(Schedule_Inputs!$C$4="Monthly",Schedule_Inputs!$C$4="Periodic"),IF(AND(18&gt;=Schedule_Inputs!$B$4,MOD(18-Schedule_Inputs!$B$4,Schedule_Inputs!$E$4)=0,(18-Schedule_Inputs!$B$4)/Schedule_Inputs!$E$4&lt;Schedule_Inputs!$D$4),$C4/Schedule_Inputs!$D$4,0),0))))</f>
        <v>0</v>
      </c>
      <c r="W4" s="31">
        <f>IF(Schedule_Inputs!$C$4="Blueprint",$C4*IF(19-Schedule_Inputs!$B$4=0,Assumptions!$B$21,IF(19-Schedule_Inputs!$B$4=1,Assumptions!$C$21,IF(19-Schedule_Inputs!$B$4=2,Assumptions!$D$21,0))),IF(Schedule_Inputs!$C$4="Launch",$C4*IF(19-Schedule_Inputs!$B$4=0,Assumptions!$B$22,IF(19-Schedule_Inputs!$B$4=1,Assumptions!$C$22,IF(19-Schedule_Inputs!$B$4=2,Assumptions!$D$22,IF(19-Schedule_Inputs!$B$4=3,Assumptions!$B$23,0)))),IF(Schedule_Inputs!$C$4="Office Setup",$C4*IF(19-Schedule_Inputs!$B$4=0,Assumptions!$B$24,IF(19-Schedule_Inputs!$B$4=1,Assumptions!$C$24,IF(19-Schedule_Inputs!$B$4=2,Assumptions!$D$24,0))),IF(OR(Schedule_Inputs!$C$4="Monthly",Schedule_Inputs!$C$4="Periodic"),IF(AND(19&gt;=Schedule_Inputs!$B$4,MOD(19-Schedule_Inputs!$B$4,Schedule_Inputs!$E$4)=0,(19-Schedule_Inputs!$B$4)/Schedule_Inputs!$E$4&lt;Schedule_Inputs!$D$4),$C4/Schedule_Inputs!$D$4,0),0))))</f>
        <v>0</v>
      </c>
      <c r="X4" s="31">
        <f>IF(Schedule_Inputs!$C$4="Blueprint",$C4*IF(20-Schedule_Inputs!$B$4=0,Assumptions!$B$21,IF(20-Schedule_Inputs!$B$4=1,Assumptions!$C$21,IF(20-Schedule_Inputs!$B$4=2,Assumptions!$D$21,0))),IF(Schedule_Inputs!$C$4="Launch",$C4*IF(20-Schedule_Inputs!$B$4=0,Assumptions!$B$22,IF(20-Schedule_Inputs!$B$4=1,Assumptions!$C$22,IF(20-Schedule_Inputs!$B$4=2,Assumptions!$D$22,IF(20-Schedule_Inputs!$B$4=3,Assumptions!$B$23,0)))),IF(Schedule_Inputs!$C$4="Office Setup",$C4*IF(20-Schedule_Inputs!$B$4=0,Assumptions!$B$24,IF(20-Schedule_Inputs!$B$4=1,Assumptions!$C$24,IF(20-Schedule_Inputs!$B$4=2,Assumptions!$D$24,0))),IF(OR(Schedule_Inputs!$C$4="Monthly",Schedule_Inputs!$C$4="Periodic"),IF(AND(20&gt;=Schedule_Inputs!$B$4,MOD(20-Schedule_Inputs!$B$4,Schedule_Inputs!$E$4)=0,(20-Schedule_Inputs!$B$4)/Schedule_Inputs!$E$4&lt;Schedule_Inputs!$D$4),$C4/Schedule_Inputs!$D$4,0),0))))</f>
        <v>0</v>
      </c>
      <c r="Y4" s="31">
        <f>IF(Schedule_Inputs!$C$4="Blueprint",$C4*IF(21-Schedule_Inputs!$B$4=0,Assumptions!$B$21,IF(21-Schedule_Inputs!$B$4=1,Assumptions!$C$21,IF(21-Schedule_Inputs!$B$4=2,Assumptions!$D$21,0))),IF(Schedule_Inputs!$C$4="Launch",$C4*IF(21-Schedule_Inputs!$B$4=0,Assumptions!$B$22,IF(21-Schedule_Inputs!$B$4=1,Assumptions!$C$22,IF(21-Schedule_Inputs!$B$4=2,Assumptions!$D$22,IF(21-Schedule_Inputs!$B$4=3,Assumptions!$B$23,0)))),IF(Schedule_Inputs!$C$4="Office Setup",$C4*IF(21-Schedule_Inputs!$B$4=0,Assumptions!$B$24,IF(21-Schedule_Inputs!$B$4=1,Assumptions!$C$24,IF(21-Schedule_Inputs!$B$4=2,Assumptions!$D$24,0))),IF(OR(Schedule_Inputs!$C$4="Monthly",Schedule_Inputs!$C$4="Periodic"),IF(AND(21&gt;=Schedule_Inputs!$B$4,MOD(21-Schedule_Inputs!$B$4,Schedule_Inputs!$E$4)=0,(21-Schedule_Inputs!$B$4)/Schedule_Inputs!$E$4&lt;Schedule_Inputs!$D$4),$C4/Schedule_Inputs!$D$4,0),0))))</f>
        <v>0</v>
      </c>
      <c r="Z4" s="31">
        <f>IF(Schedule_Inputs!$C$4="Blueprint",$C4*IF(22-Schedule_Inputs!$B$4=0,Assumptions!$B$21,IF(22-Schedule_Inputs!$B$4=1,Assumptions!$C$21,IF(22-Schedule_Inputs!$B$4=2,Assumptions!$D$21,0))),IF(Schedule_Inputs!$C$4="Launch",$C4*IF(22-Schedule_Inputs!$B$4=0,Assumptions!$B$22,IF(22-Schedule_Inputs!$B$4=1,Assumptions!$C$22,IF(22-Schedule_Inputs!$B$4=2,Assumptions!$D$22,IF(22-Schedule_Inputs!$B$4=3,Assumptions!$B$23,0)))),IF(Schedule_Inputs!$C$4="Office Setup",$C4*IF(22-Schedule_Inputs!$B$4=0,Assumptions!$B$24,IF(22-Schedule_Inputs!$B$4=1,Assumptions!$C$24,IF(22-Schedule_Inputs!$B$4=2,Assumptions!$D$24,0))),IF(OR(Schedule_Inputs!$C$4="Monthly",Schedule_Inputs!$C$4="Periodic"),IF(AND(22&gt;=Schedule_Inputs!$B$4,MOD(22-Schedule_Inputs!$B$4,Schedule_Inputs!$E$4)=0,(22-Schedule_Inputs!$B$4)/Schedule_Inputs!$E$4&lt;Schedule_Inputs!$D$4),$C4/Schedule_Inputs!$D$4,0),0))))</f>
        <v>0</v>
      </c>
      <c r="AA4" s="31">
        <f>IF(Schedule_Inputs!$C$4="Blueprint",$C4*IF(23-Schedule_Inputs!$B$4=0,Assumptions!$B$21,IF(23-Schedule_Inputs!$B$4=1,Assumptions!$C$21,IF(23-Schedule_Inputs!$B$4=2,Assumptions!$D$21,0))),IF(Schedule_Inputs!$C$4="Launch",$C4*IF(23-Schedule_Inputs!$B$4=0,Assumptions!$B$22,IF(23-Schedule_Inputs!$B$4=1,Assumptions!$C$22,IF(23-Schedule_Inputs!$B$4=2,Assumptions!$D$22,IF(23-Schedule_Inputs!$B$4=3,Assumptions!$B$23,0)))),IF(Schedule_Inputs!$C$4="Office Setup",$C4*IF(23-Schedule_Inputs!$B$4=0,Assumptions!$B$24,IF(23-Schedule_Inputs!$B$4=1,Assumptions!$C$24,IF(23-Schedule_Inputs!$B$4=2,Assumptions!$D$24,0))),IF(OR(Schedule_Inputs!$C$4="Monthly",Schedule_Inputs!$C$4="Periodic"),IF(AND(23&gt;=Schedule_Inputs!$B$4,MOD(23-Schedule_Inputs!$B$4,Schedule_Inputs!$E$4)=0,(23-Schedule_Inputs!$B$4)/Schedule_Inputs!$E$4&lt;Schedule_Inputs!$D$4),$C4/Schedule_Inputs!$D$4,0),0))))</f>
        <v>0</v>
      </c>
      <c r="AB4" s="31">
        <f>IF(Schedule_Inputs!$C$4="Blueprint",$C4*IF(24-Schedule_Inputs!$B$4=0,Assumptions!$B$21,IF(24-Schedule_Inputs!$B$4=1,Assumptions!$C$21,IF(24-Schedule_Inputs!$B$4=2,Assumptions!$D$21,0))),IF(Schedule_Inputs!$C$4="Launch",$C4*IF(24-Schedule_Inputs!$B$4=0,Assumptions!$B$22,IF(24-Schedule_Inputs!$B$4=1,Assumptions!$C$22,IF(24-Schedule_Inputs!$B$4=2,Assumptions!$D$22,IF(24-Schedule_Inputs!$B$4=3,Assumptions!$B$23,0)))),IF(Schedule_Inputs!$C$4="Office Setup",$C4*IF(24-Schedule_Inputs!$B$4=0,Assumptions!$B$24,IF(24-Schedule_Inputs!$B$4=1,Assumptions!$C$24,IF(24-Schedule_Inputs!$B$4=2,Assumptions!$D$24,0))),IF(OR(Schedule_Inputs!$C$4="Monthly",Schedule_Inputs!$C$4="Periodic"),IF(AND(24&gt;=Schedule_Inputs!$B$4,MOD(24-Schedule_Inputs!$B$4,Schedule_Inputs!$E$4)=0,(24-Schedule_Inputs!$B$4)/Schedule_Inputs!$E$4&lt;Schedule_Inputs!$D$4),$C4/Schedule_Inputs!$D$4,0),0))))</f>
        <v>0</v>
      </c>
      <c r="AC4" s="31">
        <f>IF(Schedule_Inputs!$C$4="Blueprint",$C4*IF(25-Schedule_Inputs!$B$4=0,Assumptions!$B$21,IF(25-Schedule_Inputs!$B$4=1,Assumptions!$C$21,IF(25-Schedule_Inputs!$B$4=2,Assumptions!$D$21,0))),IF(Schedule_Inputs!$C$4="Launch",$C4*IF(25-Schedule_Inputs!$B$4=0,Assumptions!$B$22,IF(25-Schedule_Inputs!$B$4=1,Assumptions!$C$22,IF(25-Schedule_Inputs!$B$4=2,Assumptions!$D$22,IF(25-Schedule_Inputs!$B$4=3,Assumptions!$B$23,0)))),IF(Schedule_Inputs!$C$4="Office Setup",$C4*IF(25-Schedule_Inputs!$B$4=0,Assumptions!$B$24,IF(25-Schedule_Inputs!$B$4=1,Assumptions!$C$24,IF(25-Schedule_Inputs!$B$4=2,Assumptions!$D$24,0))),IF(OR(Schedule_Inputs!$C$4="Monthly",Schedule_Inputs!$C$4="Periodic"),IF(AND(25&gt;=Schedule_Inputs!$B$4,MOD(25-Schedule_Inputs!$B$4,Schedule_Inputs!$E$4)=0,(25-Schedule_Inputs!$B$4)/Schedule_Inputs!$E$4&lt;Schedule_Inputs!$D$4),$C4/Schedule_Inputs!$D$4,0),0))))</f>
        <v>0</v>
      </c>
      <c r="AD4" s="31">
        <f>IF(Schedule_Inputs!$C$4="Blueprint",$C4*IF(26-Schedule_Inputs!$B$4=0,Assumptions!$B$21,IF(26-Schedule_Inputs!$B$4=1,Assumptions!$C$21,IF(26-Schedule_Inputs!$B$4=2,Assumptions!$D$21,0))),IF(Schedule_Inputs!$C$4="Launch",$C4*IF(26-Schedule_Inputs!$B$4=0,Assumptions!$B$22,IF(26-Schedule_Inputs!$B$4=1,Assumptions!$C$22,IF(26-Schedule_Inputs!$B$4=2,Assumptions!$D$22,IF(26-Schedule_Inputs!$B$4=3,Assumptions!$B$23,0)))),IF(Schedule_Inputs!$C$4="Office Setup",$C4*IF(26-Schedule_Inputs!$B$4=0,Assumptions!$B$24,IF(26-Schedule_Inputs!$B$4=1,Assumptions!$C$24,IF(26-Schedule_Inputs!$B$4=2,Assumptions!$D$24,0))),IF(OR(Schedule_Inputs!$C$4="Monthly",Schedule_Inputs!$C$4="Periodic"),IF(AND(26&gt;=Schedule_Inputs!$B$4,MOD(26-Schedule_Inputs!$B$4,Schedule_Inputs!$E$4)=0,(26-Schedule_Inputs!$B$4)/Schedule_Inputs!$E$4&lt;Schedule_Inputs!$D$4),$C4/Schedule_Inputs!$D$4,0),0))))</f>
        <v>0</v>
      </c>
      <c r="AE4" s="31">
        <f>IF(Schedule_Inputs!$C$4="Blueprint",$C4*IF(27-Schedule_Inputs!$B$4=0,Assumptions!$B$21,IF(27-Schedule_Inputs!$B$4=1,Assumptions!$C$21,IF(27-Schedule_Inputs!$B$4=2,Assumptions!$D$21,0))),IF(Schedule_Inputs!$C$4="Launch",$C4*IF(27-Schedule_Inputs!$B$4=0,Assumptions!$B$22,IF(27-Schedule_Inputs!$B$4=1,Assumptions!$C$22,IF(27-Schedule_Inputs!$B$4=2,Assumptions!$D$22,IF(27-Schedule_Inputs!$B$4=3,Assumptions!$B$23,0)))),IF(Schedule_Inputs!$C$4="Office Setup",$C4*IF(27-Schedule_Inputs!$B$4=0,Assumptions!$B$24,IF(27-Schedule_Inputs!$B$4=1,Assumptions!$C$24,IF(27-Schedule_Inputs!$B$4=2,Assumptions!$D$24,0))),IF(OR(Schedule_Inputs!$C$4="Monthly",Schedule_Inputs!$C$4="Periodic"),IF(AND(27&gt;=Schedule_Inputs!$B$4,MOD(27-Schedule_Inputs!$B$4,Schedule_Inputs!$E$4)=0,(27-Schedule_Inputs!$B$4)/Schedule_Inputs!$E$4&lt;Schedule_Inputs!$D$4),$C4/Schedule_Inputs!$D$4,0),0))))</f>
        <v>0</v>
      </c>
      <c r="AF4" s="31">
        <f>IF(Schedule_Inputs!$C$4="Blueprint",$C4*IF(28-Schedule_Inputs!$B$4=0,Assumptions!$B$21,IF(28-Schedule_Inputs!$B$4=1,Assumptions!$C$21,IF(28-Schedule_Inputs!$B$4=2,Assumptions!$D$21,0))),IF(Schedule_Inputs!$C$4="Launch",$C4*IF(28-Schedule_Inputs!$B$4=0,Assumptions!$B$22,IF(28-Schedule_Inputs!$B$4=1,Assumptions!$C$22,IF(28-Schedule_Inputs!$B$4=2,Assumptions!$D$22,IF(28-Schedule_Inputs!$B$4=3,Assumptions!$B$23,0)))),IF(Schedule_Inputs!$C$4="Office Setup",$C4*IF(28-Schedule_Inputs!$B$4=0,Assumptions!$B$24,IF(28-Schedule_Inputs!$B$4=1,Assumptions!$C$24,IF(28-Schedule_Inputs!$B$4=2,Assumptions!$D$24,0))),IF(OR(Schedule_Inputs!$C$4="Monthly",Schedule_Inputs!$C$4="Periodic"),IF(AND(28&gt;=Schedule_Inputs!$B$4,MOD(28-Schedule_Inputs!$B$4,Schedule_Inputs!$E$4)=0,(28-Schedule_Inputs!$B$4)/Schedule_Inputs!$E$4&lt;Schedule_Inputs!$D$4),$C4/Schedule_Inputs!$D$4,0),0))))</f>
        <v>0</v>
      </c>
      <c r="AG4" s="31">
        <f>IF(Schedule_Inputs!$C$4="Blueprint",$C4*IF(29-Schedule_Inputs!$B$4=0,Assumptions!$B$21,IF(29-Schedule_Inputs!$B$4=1,Assumptions!$C$21,IF(29-Schedule_Inputs!$B$4=2,Assumptions!$D$21,0))),IF(Schedule_Inputs!$C$4="Launch",$C4*IF(29-Schedule_Inputs!$B$4=0,Assumptions!$B$22,IF(29-Schedule_Inputs!$B$4=1,Assumptions!$C$22,IF(29-Schedule_Inputs!$B$4=2,Assumptions!$D$22,IF(29-Schedule_Inputs!$B$4=3,Assumptions!$B$23,0)))),IF(Schedule_Inputs!$C$4="Office Setup",$C4*IF(29-Schedule_Inputs!$B$4=0,Assumptions!$B$24,IF(29-Schedule_Inputs!$B$4=1,Assumptions!$C$24,IF(29-Schedule_Inputs!$B$4=2,Assumptions!$D$24,0))),IF(OR(Schedule_Inputs!$C$4="Monthly",Schedule_Inputs!$C$4="Periodic"),IF(AND(29&gt;=Schedule_Inputs!$B$4,MOD(29-Schedule_Inputs!$B$4,Schedule_Inputs!$E$4)=0,(29-Schedule_Inputs!$B$4)/Schedule_Inputs!$E$4&lt;Schedule_Inputs!$D$4),$C4/Schedule_Inputs!$D$4,0),0))))</f>
        <v>0</v>
      </c>
      <c r="AH4" s="31">
        <f>IF(Schedule_Inputs!$C$4="Blueprint",$C4*IF(30-Schedule_Inputs!$B$4=0,Assumptions!$B$21,IF(30-Schedule_Inputs!$B$4=1,Assumptions!$C$21,IF(30-Schedule_Inputs!$B$4=2,Assumptions!$D$21,0))),IF(Schedule_Inputs!$C$4="Launch",$C4*IF(30-Schedule_Inputs!$B$4=0,Assumptions!$B$22,IF(30-Schedule_Inputs!$B$4=1,Assumptions!$C$22,IF(30-Schedule_Inputs!$B$4=2,Assumptions!$D$22,IF(30-Schedule_Inputs!$B$4=3,Assumptions!$B$23,0)))),IF(Schedule_Inputs!$C$4="Office Setup",$C4*IF(30-Schedule_Inputs!$B$4=0,Assumptions!$B$24,IF(30-Schedule_Inputs!$B$4=1,Assumptions!$C$24,IF(30-Schedule_Inputs!$B$4=2,Assumptions!$D$24,0))),IF(OR(Schedule_Inputs!$C$4="Monthly",Schedule_Inputs!$C$4="Periodic"),IF(AND(30&gt;=Schedule_Inputs!$B$4,MOD(30-Schedule_Inputs!$B$4,Schedule_Inputs!$E$4)=0,(30-Schedule_Inputs!$B$4)/Schedule_Inputs!$E$4&lt;Schedule_Inputs!$D$4),$C4/Schedule_Inputs!$D$4,0),0))))</f>
        <v>0</v>
      </c>
      <c r="AI4" s="31">
        <f>IF(Schedule_Inputs!$C$4="Blueprint",$C4*IF(31-Schedule_Inputs!$B$4=0,Assumptions!$B$21,IF(31-Schedule_Inputs!$B$4=1,Assumptions!$C$21,IF(31-Schedule_Inputs!$B$4=2,Assumptions!$D$21,0))),IF(Schedule_Inputs!$C$4="Launch",$C4*IF(31-Schedule_Inputs!$B$4=0,Assumptions!$B$22,IF(31-Schedule_Inputs!$B$4=1,Assumptions!$C$22,IF(31-Schedule_Inputs!$B$4=2,Assumptions!$D$22,IF(31-Schedule_Inputs!$B$4=3,Assumptions!$B$23,0)))),IF(Schedule_Inputs!$C$4="Office Setup",$C4*IF(31-Schedule_Inputs!$B$4=0,Assumptions!$B$24,IF(31-Schedule_Inputs!$B$4=1,Assumptions!$C$24,IF(31-Schedule_Inputs!$B$4=2,Assumptions!$D$24,0))),IF(OR(Schedule_Inputs!$C$4="Monthly",Schedule_Inputs!$C$4="Periodic"),IF(AND(31&gt;=Schedule_Inputs!$B$4,MOD(31-Schedule_Inputs!$B$4,Schedule_Inputs!$E$4)=0,(31-Schedule_Inputs!$B$4)/Schedule_Inputs!$E$4&lt;Schedule_Inputs!$D$4),$C4/Schedule_Inputs!$D$4,0),0))))</f>
        <v>0</v>
      </c>
      <c r="AJ4" s="31">
        <f>IF(Schedule_Inputs!$C$4="Blueprint",$C4*IF(32-Schedule_Inputs!$B$4=0,Assumptions!$B$21,IF(32-Schedule_Inputs!$B$4=1,Assumptions!$C$21,IF(32-Schedule_Inputs!$B$4=2,Assumptions!$D$21,0))),IF(Schedule_Inputs!$C$4="Launch",$C4*IF(32-Schedule_Inputs!$B$4=0,Assumptions!$B$22,IF(32-Schedule_Inputs!$B$4=1,Assumptions!$C$22,IF(32-Schedule_Inputs!$B$4=2,Assumptions!$D$22,IF(32-Schedule_Inputs!$B$4=3,Assumptions!$B$23,0)))),IF(Schedule_Inputs!$C$4="Office Setup",$C4*IF(32-Schedule_Inputs!$B$4=0,Assumptions!$B$24,IF(32-Schedule_Inputs!$B$4=1,Assumptions!$C$24,IF(32-Schedule_Inputs!$B$4=2,Assumptions!$D$24,0))),IF(OR(Schedule_Inputs!$C$4="Monthly",Schedule_Inputs!$C$4="Periodic"),IF(AND(32&gt;=Schedule_Inputs!$B$4,MOD(32-Schedule_Inputs!$B$4,Schedule_Inputs!$E$4)=0,(32-Schedule_Inputs!$B$4)/Schedule_Inputs!$E$4&lt;Schedule_Inputs!$D$4),$C4/Schedule_Inputs!$D$4,0),0))))</f>
        <v>0</v>
      </c>
      <c r="AK4" s="31">
        <f>IF(Schedule_Inputs!$C$4="Blueprint",$C4*IF(33-Schedule_Inputs!$B$4=0,Assumptions!$B$21,IF(33-Schedule_Inputs!$B$4=1,Assumptions!$C$21,IF(33-Schedule_Inputs!$B$4=2,Assumptions!$D$21,0))),IF(Schedule_Inputs!$C$4="Launch",$C4*IF(33-Schedule_Inputs!$B$4=0,Assumptions!$B$22,IF(33-Schedule_Inputs!$B$4=1,Assumptions!$C$22,IF(33-Schedule_Inputs!$B$4=2,Assumptions!$D$22,IF(33-Schedule_Inputs!$B$4=3,Assumptions!$B$23,0)))),IF(Schedule_Inputs!$C$4="Office Setup",$C4*IF(33-Schedule_Inputs!$B$4=0,Assumptions!$B$24,IF(33-Schedule_Inputs!$B$4=1,Assumptions!$C$24,IF(33-Schedule_Inputs!$B$4=2,Assumptions!$D$24,0))),IF(OR(Schedule_Inputs!$C$4="Monthly",Schedule_Inputs!$C$4="Periodic"),IF(AND(33&gt;=Schedule_Inputs!$B$4,MOD(33-Schedule_Inputs!$B$4,Schedule_Inputs!$E$4)=0,(33-Schedule_Inputs!$B$4)/Schedule_Inputs!$E$4&lt;Schedule_Inputs!$D$4),$C4/Schedule_Inputs!$D$4,0),0))))</f>
        <v>0</v>
      </c>
      <c r="AL4" s="31">
        <f>IF(Schedule_Inputs!$C$4="Blueprint",$C4*IF(34-Schedule_Inputs!$B$4=0,Assumptions!$B$21,IF(34-Schedule_Inputs!$B$4=1,Assumptions!$C$21,IF(34-Schedule_Inputs!$B$4=2,Assumptions!$D$21,0))),IF(Schedule_Inputs!$C$4="Launch",$C4*IF(34-Schedule_Inputs!$B$4=0,Assumptions!$B$22,IF(34-Schedule_Inputs!$B$4=1,Assumptions!$C$22,IF(34-Schedule_Inputs!$B$4=2,Assumptions!$D$22,IF(34-Schedule_Inputs!$B$4=3,Assumptions!$B$23,0)))),IF(Schedule_Inputs!$C$4="Office Setup",$C4*IF(34-Schedule_Inputs!$B$4=0,Assumptions!$B$24,IF(34-Schedule_Inputs!$B$4=1,Assumptions!$C$24,IF(34-Schedule_Inputs!$B$4=2,Assumptions!$D$24,0))),IF(OR(Schedule_Inputs!$C$4="Monthly",Schedule_Inputs!$C$4="Periodic"),IF(AND(34&gt;=Schedule_Inputs!$B$4,MOD(34-Schedule_Inputs!$B$4,Schedule_Inputs!$E$4)=0,(34-Schedule_Inputs!$B$4)/Schedule_Inputs!$E$4&lt;Schedule_Inputs!$D$4),$C4/Schedule_Inputs!$D$4,0),0))))</f>
        <v>0</v>
      </c>
      <c r="AM4" s="31">
        <f>IF(Schedule_Inputs!$C$4="Blueprint",$C4*IF(35-Schedule_Inputs!$B$4=0,Assumptions!$B$21,IF(35-Schedule_Inputs!$B$4=1,Assumptions!$C$21,IF(35-Schedule_Inputs!$B$4=2,Assumptions!$D$21,0))),IF(Schedule_Inputs!$C$4="Launch",$C4*IF(35-Schedule_Inputs!$B$4=0,Assumptions!$B$22,IF(35-Schedule_Inputs!$B$4=1,Assumptions!$C$22,IF(35-Schedule_Inputs!$B$4=2,Assumptions!$D$22,IF(35-Schedule_Inputs!$B$4=3,Assumptions!$B$23,0)))),IF(Schedule_Inputs!$C$4="Office Setup",$C4*IF(35-Schedule_Inputs!$B$4=0,Assumptions!$B$24,IF(35-Schedule_Inputs!$B$4=1,Assumptions!$C$24,IF(35-Schedule_Inputs!$B$4=2,Assumptions!$D$24,0))),IF(OR(Schedule_Inputs!$C$4="Monthly",Schedule_Inputs!$C$4="Periodic"),IF(AND(35&gt;=Schedule_Inputs!$B$4,MOD(35-Schedule_Inputs!$B$4,Schedule_Inputs!$E$4)=0,(35-Schedule_Inputs!$B$4)/Schedule_Inputs!$E$4&lt;Schedule_Inputs!$D$4),$C4/Schedule_Inputs!$D$4,0),0))))</f>
        <v>0</v>
      </c>
      <c r="AN4" s="31">
        <f>IF(Schedule_Inputs!$C$4="Blueprint",$C4*IF(36-Schedule_Inputs!$B$4=0,Assumptions!$B$21,IF(36-Schedule_Inputs!$B$4=1,Assumptions!$C$21,IF(36-Schedule_Inputs!$B$4=2,Assumptions!$D$21,0))),IF(Schedule_Inputs!$C$4="Launch",$C4*IF(36-Schedule_Inputs!$B$4=0,Assumptions!$B$22,IF(36-Schedule_Inputs!$B$4=1,Assumptions!$C$22,IF(36-Schedule_Inputs!$B$4=2,Assumptions!$D$22,IF(36-Schedule_Inputs!$B$4=3,Assumptions!$B$23,0)))),IF(Schedule_Inputs!$C$4="Office Setup",$C4*IF(36-Schedule_Inputs!$B$4=0,Assumptions!$B$24,IF(36-Schedule_Inputs!$B$4=1,Assumptions!$C$24,IF(36-Schedule_Inputs!$B$4=2,Assumptions!$D$24,0))),IF(OR(Schedule_Inputs!$C$4="Monthly",Schedule_Inputs!$C$4="Periodic"),IF(AND(36&gt;=Schedule_Inputs!$B$4,MOD(36-Schedule_Inputs!$B$4,Schedule_Inputs!$E$4)=0,(36-Schedule_Inputs!$B$4)/Schedule_Inputs!$E$4&lt;Schedule_Inputs!$D$4),$C4/Schedule_Inputs!$D$4,0),0))))</f>
        <v>0</v>
      </c>
    </row>
    <row r="5" spans="1:40">
      <c r="A5" s="29" t="s">
        <v>231</v>
      </c>
      <c r="B5" s="29">
        <v>1</v>
      </c>
      <c r="C5" s="30">
        <v>12500</v>
      </c>
      <c r="D5" s="31" t="s">
        <v>230</v>
      </c>
      <c r="E5" s="31">
        <f>IF(Schedule_Inputs!$C$5="Blueprint",$C5*IF(1-Schedule_Inputs!$B$5=0,Assumptions!$B$21,IF(1-Schedule_Inputs!$B$5=1,Assumptions!$C$21,IF(1-Schedule_Inputs!$B$5=2,Assumptions!$D$21,0))),IF(Schedule_Inputs!$C$5="Launch",$C5*IF(1-Schedule_Inputs!$B$5=0,Assumptions!$B$22,IF(1-Schedule_Inputs!$B$5=1,Assumptions!$C$22,IF(1-Schedule_Inputs!$B$5=2,Assumptions!$D$22,IF(1-Schedule_Inputs!$B$5=3,Assumptions!$B$23,0)))),IF(Schedule_Inputs!$C$5="Office Setup",$C5*IF(1-Schedule_Inputs!$B$5=0,Assumptions!$B$24,IF(1-Schedule_Inputs!$B$5=1,Assumptions!$C$24,IF(1-Schedule_Inputs!$B$5=2,Assumptions!$D$24,0))),IF(OR(Schedule_Inputs!$C$5="Monthly",Schedule_Inputs!$C$5="Periodic"),IF(AND(1&gt;=Schedule_Inputs!$B$5,MOD(1-Schedule_Inputs!$B$5,Schedule_Inputs!$E$5)=0,(1-Schedule_Inputs!$B$5)/Schedule_Inputs!$E$5&lt;Schedule_Inputs!$D$5),$C5/Schedule_Inputs!$D$5,0),0))))</f>
        <v>0</v>
      </c>
      <c r="F5" s="31">
        <f>IF(Schedule_Inputs!$C$5="Blueprint",$C5*IF(2-Schedule_Inputs!$B$5=0,Assumptions!$B$21,IF(2-Schedule_Inputs!$B$5=1,Assumptions!$C$21,IF(2-Schedule_Inputs!$B$5=2,Assumptions!$D$21,0))),IF(Schedule_Inputs!$C$5="Launch",$C5*IF(2-Schedule_Inputs!$B$5=0,Assumptions!$B$22,IF(2-Schedule_Inputs!$B$5=1,Assumptions!$C$22,IF(2-Schedule_Inputs!$B$5=2,Assumptions!$D$22,IF(2-Schedule_Inputs!$B$5=3,Assumptions!$B$23,0)))),IF(Schedule_Inputs!$C$5="Office Setup",$C5*IF(2-Schedule_Inputs!$B$5=0,Assumptions!$B$24,IF(2-Schedule_Inputs!$B$5=1,Assumptions!$C$24,IF(2-Schedule_Inputs!$B$5=2,Assumptions!$D$24,0))),IF(OR(Schedule_Inputs!$C$5="Monthly",Schedule_Inputs!$C$5="Periodic"),IF(AND(2&gt;=Schedule_Inputs!$B$5,MOD(2-Schedule_Inputs!$B$5,Schedule_Inputs!$E$5)=0,(2-Schedule_Inputs!$B$5)/Schedule_Inputs!$E$5&lt;Schedule_Inputs!$D$5),$C5/Schedule_Inputs!$D$5,0),0))))</f>
        <v>0</v>
      </c>
      <c r="G5" s="31">
        <f>IF(Schedule_Inputs!$C$5="Blueprint",$C5*IF(3-Schedule_Inputs!$B$5=0,Assumptions!$B$21,IF(3-Schedule_Inputs!$B$5=1,Assumptions!$C$21,IF(3-Schedule_Inputs!$B$5=2,Assumptions!$D$21,0))),IF(Schedule_Inputs!$C$5="Launch",$C5*IF(3-Schedule_Inputs!$B$5=0,Assumptions!$B$22,IF(3-Schedule_Inputs!$B$5=1,Assumptions!$C$22,IF(3-Schedule_Inputs!$B$5=2,Assumptions!$D$22,IF(3-Schedule_Inputs!$B$5=3,Assumptions!$B$23,0)))),IF(Schedule_Inputs!$C$5="Office Setup",$C5*IF(3-Schedule_Inputs!$B$5=0,Assumptions!$B$24,IF(3-Schedule_Inputs!$B$5=1,Assumptions!$C$24,IF(3-Schedule_Inputs!$B$5=2,Assumptions!$D$24,0))),IF(OR(Schedule_Inputs!$C$5="Monthly",Schedule_Inputs!$C$5="Periodic"),IF(AND(3&gt;=Schedule_Inputs!$B$5,MOD(3-Schedule_Inputs!$B$5,Schedule_Inputs!$E$5)=0,(3-Schedule_Inputs!$B$5)/Schedule_Inputs!$E$5&lt;Schedule_Inputs!$D$5),$C5/Schedule_Inputs!$D$5,0),0))))</f>
        <v>0</v>
      </c>
      <c r="H5" s="31">
        <f>IF(Schedule_Inputs!$C$5="Blueprint",$C5*IF(4-Schedule_Inputs!$B$5=0,Assumptions!$B$21,IF(4-Schedule_Inputs!$B$5=1,Assumptions!$C$21,IF(4-Schedule_Inputs!$B$5=2,Assumptions!$D$21,0))),IF(Schedule_Inputs!$C$5="Launch",$C5*IF(4-Schedule_Inputs!$B$5=0,Assumptions!$B$22,IF(4-Schedule_Inputs!$B$5=1,Assumptions!$C$22,IF(4-Schedule_Inputs!$B$5=2,Assumptions!$D$22,IF(4-Schedule_Inputs!$B$5=3,Assumptions!$B$23,0)))),IF(Schedule_Inputs!$C$5="Office Setup",$C5*IF(4-Schedule_Inputs!$B$5=0,Assumptions!$B$24,IF(4-Schedule_Inputs!$B$5=1,Assumptions!$C$24,IF(4-Schedule_Inputs!$B$5=2,Assumptions!$D$24,0))),IF(OR(Schedule_Inputs!$C$5="Monthly",Schedule_Inputs!$C$5="Periodic"),IF(AND(4&gt;=Schedule_Inputs!$B$5,MOD(4-Schedule_Inputs!$B$5,Schedule_Inputs!$E$5)=0,(4-Schedule_Inputs!$B$5)/Schedule_Inputs!$E$5&lt;Schedule_Inputs!$D$5),$C5/Schedule_Inputs!$D$5,0),0))))</f>
        <v>0</v>
      </c>
      <c r="I5" s="31">
        <f>IF(Schedule_Inputs!$C$5="Blueprint",$C5*IF(5-Schedule_Inputs!$B$5=0,Assumptions!$B$21,IF(5-Schedule_Inputs!$B$5=1,Assumptions!$C$21,IF(5-Schedule_Inputs!$B$5=2,Assumptions!$D$21,0))),IF(Schedule_Inputs!$C$5="Launch",$C5*IF(5-Schedule_Inputs!$B$5=0,Assumptions!$B$22,IF(5-Schedule_Inputs!$B$5=1,Assumptions!$C$22,IF(5-Schedule_Inputs!$B$5=2,Assumptions!$D$22,IF(5-Schedule_Inputs!$B$5=3,Assumptions!$B$23,0)))),IF(Schedule_Inputs!$C$5="Office Setup",$C5*IF(5-Schedule_Inputs!$B$5=0,Assumptions!$B$24,IF(5-Schedule_Inputs!$B$5=1,Assumptions!$C$24,IF(5-Schedule_Inputs!$B$5=2,Assumptions!$D$24,0))),IF(OR(Schedule_Inputs!$C$5="Monthly",Schedule_Inputs!$C$5="Periodic"),IF(AND(5&gt;=Schedule_Inputs!$B$5,MOD(5-Schedule_Inputs!$B$5,Schedule_Inputs!$E$5)=0,(5-Schedule_Inputs!$B$5)/Schedule_Inputs!$E$5&lt;Schedule_Inputs!$D$5),$C5/Schedule_Inputs!$D$5,0),0))))</f>
        <v>0</v>
      </c>
      <c r="J5" s="31">
        <f>IF(Schedule_Inputs!$C$5="Blueprint",$C5*IF(6-Schedule_Inputs!$B$5=0,Assumptions!$B$21,IF(6-Schedule_Inputs!$B$5=1,Assumptions!$C$21,IF(6-Schedule_Inputs!$B$5=2,Assumptions!$D$21,0))),IF(Schedule_Inputs!$C$5="Launch",$C5*IF(6-Schedule_Inputs!$B$5=0,Assumptions!$B$22,IF(6-Schedule_Inputs!$B$5=1,Assumptions!$C$22,IF(6-Schedule_Inputs!$B$5=2,Assumptions!$D$22,IF(6-Schedule_Inputs!$B$5=3,Assumptions!$B$23,0)))),IF(Schedule_Inputs!$C$5="Office Setup",$C5*IF(6-Schedule_Inputs!$B$5=0,Assumptions!$B$24,IF(6-Schedule_Inputs!$B$5=1,Assumptions!$C$24,IF(6-Schedule_Inputs!$B$5=2,Assumptions!$D$24,0))),IF(OR(Schedule_Inputs!$C$5="Monthly",Schedule_Inputs!$C$5="Periodic"),IF(AND(6&gt;=Schedule_Inputs!$B$5,MOD(6-Schedule_Inputs!$B$5,Schedule_Inputs!$E$5)=0,(6-Schedule_Inputs!$B$5)/Schedule_Inputs!$E$5&lt;Schedule_Inputs!$D$5),$C5/Schedule_Inputs!$D$5,0),0))))</f>
        <v>5000</v>
      </c>
      <c r="K5" s="31">
        <f>IF(Schedule_Inputs!$C$5="Blueprint",$C5*IF(7-Schedule_Inputs!$B$5=0,Assumptions!$B$21,IF(7-Schedule_Inputs!$B$5=1,Assumptions!$C$21,IF(7-Schedule_Inputs!$B$5=2,Assumptions!$D$21,0))),IF(Schedule_Inputs!$C$5="Launch",$C5*IF(7-Schedule_Inputs!$B$5=0,Assumptions!$B$22,IF(7-Schedule_Inputs!$B$5=1,Assumptions!$C$22,IF(7-Schedule_Inputs!$B$5=2,Assumptions!$D$22,IF(7-Schedule_Inputs!$B$5=3,Assumptions!$B$23,0)))),IF(Schedule_Inputs!$C$5="Office Setup",$C5*IF(7-Schedule_Inputs!$B$5=0,Assumptions!$B$24,IF(7-Schedule_Inputs!$B$5=1,Assumptions!$C$24,IF(7-Schedule_Inputs!$B$5=2,Assumptions!$D$24,0))),IF(OR(Schedule_Inputs!$C$5="Monthly",Schedule_Inputs!$C$5="Periodic"),IF(AND(7&gt;=Schedule_Inputs!$B$5,MOD(7-Schedule_Inputs!$B$5,Schedule_Inputs!$E$5)=0,(7-Schedule_Inputs!$B$5)/Schedule_Inputs!$E$5&lt;Schedule_Inputs!$D$5),$C5/Schedule_Inputs!$D$5,0),0))))</f>
        <v>5000</v>
      </c>
      <c r="L5" s="31">
        <f>IF(Schedule_Inputs!$C$5="Blueprint",$C5*IF(8-Schedule_Inputs!$B$5=0,Assumptions!$B$21,IF(8-Schedule_Inputs!$B$5=1,Assumptions!$C$21,IF(8-Schedule_Inputs!$B$5=2,Assumptions!$D$21,0))),IF(Schedule_Inputs!$C$5="Launch",$C5*IF(8-Schedule_Inputs!$B$5=0,Assumptions!$B$22,IF(8-Schedule_Inputs!$B$5=1,Assumptions!$C$22,IF(8-Schedule_Inputs!$B$5=2,Assumptions!$D$22,IF(8-Schedule_Inputs!$B$5=3,Assumptions!$B$23,0)))),IF(Schedule_Inputs!$C$5="Office Setup",$C5*IF(8-Schedule_Inputs!$B$5=0,Assumptions!$B$24,IF(8-Schedule_Inputs!$B$5=1,Assumptions!$C$24,IF(8-Schedule_Inputs!$B$5=2,Assumptions!$D$24,0))),IF(OR(Schedule_Inputs!$C$5="Monthly",Schedule_Inputs!$C$5="Periodic"),IF(AND(8&gt;=Schedule_Inputs!$B$5,MOD(8-Schedule_Inputs!$B$5,Schedule_Inputs!$E$5)=0,(8-Schedule_Inputs!$B$5)/Schedule_Inputs!$E$5&lt;Schedule_Inputs!$D$5),$C5/Schedule_Inputs!$D$5,0),0))))</f>
        <v>2500</v>
      </c>
      <c r="M5" s="31">
        <f>IF(Schedule_Inputs!$C$5="Blueprint",$C5*IF(9-Schedule_Inputs!$B$5=0,Assumptions!$B$21,IF(9-Schedule_Inputs!$B$5=1,Assumptions!$C$21,IF(9-Schedule_Inputs!$B$5=2,Assumptions!$D$21,0))),IF(Schedule_Inputs!$C$5="Launch",$C5*IF(9-Schedule_Inputs!$B$5=0,Assumptions!$B$22,IF(9-Schedule_Inputs!$B$5=1,Assumptions!$C$22,IF(9-Schedule_Inputs!$B$5=2,Assumptions!$D$22,IF(9-Schedule_Inputs!$B$5=3,Assumptions!$B$23,0)))),IF(Schedule_Inputs!$C$5="Office Setup",$C5*IF(9-Schedule_Inputs!$B$5=0,Assumptions!$B$24,IF(9-Schedule_Inputs!$B$5=1,Assumptions!$C$24,IF(9-Schedule_Inputs!$B$5=2,Assumptions!$D$24,0))),IF(OR(Schedule_Inputs!$C$5="Monthly",Schedule_Inputs!$C$5="Periodic"),IF(AND(9&gt;=Schedule_Inputs!$B$5,MOD(9-Schedule_Inputs!$B$5,Schedule_Inputs!$E$5)=0,(9-Schedule_Inputs!$B$5)/Schedule_Inputs!$E$5&lt;Schedule_Inputs!$D$5),$C5/Schedule_Inputs!$D$5,0),0))))</f>
        <v>0</v>
      </c>
      <c r="N5" s="31">
        <f>IF(Schedule_Inputs!$C$5="Blueprint",$C5*IF(10-Schedule_Inputs!$B$5=0,Assumptions!$B$21,IF(10-Schedule_Inputs!$B$5=1,Assumptions!$C$21,IF(10-Schedule_Inputs!$B$5=2,Assumptions!$D$21,0))),IF(Schedule_Inputs!$C$5="Launch",$C5*IF(10-Schedule_Inputs!$B$5=0,Assumptions!$B$22,IF(10-Schedule_Inputs!$B$5=1,Assumptions!$C$22,IF(10-Schedule_Inputs!$B$5=2,Assumptions!$D$22,IF(10-Schedule_Inputs!$B$5=3,Assumptions!$B$23,0)))),IF(Schedule_Inputs!$C$5="Office Setup",$C5*IF(10-Schedule_Inputs!$B$5=0,Assumptions!$B$24,IF(10-Schedule_Inputs!$B$5=1,Assumptions!$C$24,IF(10-Schedule_Inputs!$B$5=2,Assumptions!$D$24,0))),IF(OR(Schedule_Inputs!$C$5="Monthly",Schedule_Inputs!$C$5="Periodic"),IF(AND(10&gt;=Schedule_Inputs!$B$5,MOD(10-Schedule_Inputs!$B$5,Schedule_Inputs!$E$5)=0,(10-Schedule_Inputs!$B$5)/Schedule_Inputs!$E$5&lt;Schedule_Inputs!$D$5),$C5/Schedule_Inputs!$D$5,0),0))))</f>
        <v>0</v>
      </c>
      <c r="O5" s="31">
        <f>IF(Schedule_Inputs!$C$5="Blueprint",$C5*IF(11-Schedule_Inputs!$B$5=0,Assumptions!$B$21,IF(11-Schedule_Inputs!$B$5=1,Assumptions!$C$21,IF(11-Schedule_Inputs!$B$5=2,Assumptions!$D$21,0))),IF(Schedule_Inputs!$C$5="Launch",$C5*IF(11-Schedule_Inputs!$B$5=0,Assumptions!$B$22,IF(11-Schedule_Inputs!$B$5=1,Assumptions!$C$22,IF(11-Schedule_Inputs!$B$5=2,Assumptions!$D$22,IF(11-Schedule_Inputs!$B$5=3,Assumptions!$B$23,0)))),IF(Schedule_Inputs!$C$5="Office Setup",$C5*IF(11-Schedule_Inputs!$B$5=0,Assumptions!$B$24,IF(11-Schedule_Inputs!$B$5=1,Assumptions!$C$24,IF(11-Schedule_Inputs!$B$5=2,Assumptions!$D$24,0))),IF(OR(Schedule_Inputs!$C$5="Monthly",Schedule_Inputs!$C$5="Periodic"),IF(AND(11&gt;=Schedule_Inputs!$B$5,MOD(11-Schedule_Inputs!$B$5,Schedule_Inputs!$E$5)=0,(11-Schedule_Inputs!$B$5)/Schedule_Inputs!$E$5&lt;Schedule_Inputs!$D$5),$C5/Schedule_Inputs!$D$5,0),0))))</f>
        <v>0</v>
      </c>
      <c r="P5" s="31">
        <f>IF(Schedule_Inputs!$C$5="Blueprint",$C5*IF(12-Schedule_Inputs!$B$5=0,Assumptions!$B$21,IF(12-Schedule_Inputs!$B$5=1,Assumptions!$C$21,IF(12-Schedule_Inputs!$B$5=2,Assumptions!$D$21,0))),IF(Schedule_Inputs!$C$5="Launch",$C5*IF(12-Schedule_Inputs!$B$5=0,Assumptions!$B$22,IF(12-Schedule_Inputs!$B$5=1,Assumptions!$C$22,IF(12-Schedule_Inputs!$B$5=2,Assumptions!$D$22,IF(12-Schedule_Inputs!$B$5=3,Assumptions!$B$23,0)))),IF(Schedule_Inputs!$C$5="Office Setup",$C5*IF(12-Schedule_Inputs!$B$5=0,Assumptions!$B$24,IF(12-Schedule_Inputs!$B$5=1,Assumptions!$C$24,IF(12-Schedule_Inputs!$B$5=2,Assumptions!$D$24,0))),IF(OR(Schedule_Inputs!$C$5="Monthly",Schedule_Inputs!$C$5="Periodic"),IF(AND(12&gt;=Schedule_Inputs!$B$5,MOD(12-Schedule_Inputs!$B$5,Schedule_Inputs!$E$5)=0,(12-Schedule_Inputs!$B$5)/Schedule_Inputs!$E$5&lt;Schedule_Inputs!$D$5),$C5/Schedule_Inputs!$D$5,0),0))))</f>
        <v>0</v>
      </c>
      <c r="Q5" s="31">
        <f>IF(Schedule_Inputs!$C$5="Blueprint",$C5*IF(13-Schedule_Inputs!$B$5=0,Assumptions!$B$21,IF(13-Schedule_Inputs!$B$5=1,Assumptions!$C$21,IF(13-Schedule_Inputs!$B$5=2,Assumptions!$D$21,0))),IF(Schedule_Inputs!$C$5="Launch",$C5*IF(13-Schedule_Inputs!$B$5=0,Assumptions!$B$22,IF(13-Schedule_Inputs!$B$5=1,Assumptions!$C$22,IF(13-Schedule_Inputs!$B$5=2,Assumptions!$D$22,IF(13-Schedule_Inputs!$B$5=3,Assumptions!$B$23,0)))),IF(Schedule_Inputs!$C$5="Office Setup",$C5*IF(13-Schedule_Inputs!$B$5=0,Assumptions!$B$24,IF(13-Schedule_Inputs!$B$5=1,Assumptions!$C$24,IF(13-Schedule_Inputs!$B$5=2,Assumptions!$D$24,0))),IF(OR(Schedule_Inputs!$C$5="Monthly",Schedule_Inputs!$C$5="Periodic"),IF(AND(13&gt;=Schedule_Inputs!$B$5,MOD(13-Schedule_Inputs!$B$5,Schedule_Inputs!$E$5)=0,(13-Schedule_Inputs!$B$5)/Schedule_Inputs!$E$5&lt;Schedule_Inputs!$D$5),$C5/Schedule_Inputs!$D$5,0),0))))</f>
        <v>0</v>
      </c>
      <c r="R5" s="31">
        <f>IF(Schedule_Inputs!$C$5="Blueprint",$C5*IF(14-Schedule_Inputs!$B$5=0,Assumptions!$B$21,IF(14-Schedule_Inputs!$B$5=1,Assumptions!$C$21,IF(14-Schedule_Inputs!$B$5=2,Assumptions!$D$21,0))),IF(Schedule_Inputs!$C$5="Launch",$C5*IF(14-Schedule_Inputs!$B$5=0,Assumptions!$B$22,IF(14-Schedule_Inputs!$B$5=1,Assumptions!$C$22,IF(14-Schedule_Inputs!$B$5=2,Assumptions!$D$22,IF(14-Schedule_Inputs!$B$5=3,Assumptions!$B$23,0)))),IF(Schedule_Inputs!$C$5="Office Setup",$C5*IF(14-Schedule_Inputs!$B$5=0,Assumptions!$B$24,IF(14-Schedule_Inputs!$B$5=1,Assumptions!$C$24,IF(14-Schedule_Inputs!$B$5=2,Assumptions!$D$24,0))),IF(OR(Schedule_Inputs!$C$5="Monthly",Schedule_Inputs!$C$5="Periodic"),IF(AND(14&gt;=Schedule_Inputs!$B$5,MOD(14-Schedule_Inputs!$B$5,Schedule_Inputs!$E$5)=0,(14-Schedule_Inputs!$B$5)/Schedule_Inputs!$E$5&lt;Schedule_Inputs!$D$5),$C5/Schedule_Inputs!$D$5,0),0))))</f>
        <v>0</v>
      </c>
      <c r="S5" s="31">
        <f>IF(Schedule_Inputs!$C$5="Blueprint",$C5*IF(15-Schedule_Inputs!$B$5=0,Assumptions!$B$21,IF(15-Schedule_Inputs!$B$5=1,Assumptions!$C$21,IF(15-Schedule_Inputs!$B$5=2,Assumptions!$D$21,0))),IF(Schedule_Inputs!$C$5="Launch",$C5*IF(15-Schedule_Inputs!$B$5=0,Assumptions!$B$22,IF(15-Schedule_Inputs!$B$5=1,Assumptions!$C$22,IF(15-Schedule_Inputs!$B$5=2,Assumptions!$D$22,IF(15-Schedule_Inputs!$B$5=3,Assumptions!$B$23,0)))),IF(Schedule_Inputs!$C$5="Office Setup",$C5*IF(15-Schedule_Inputs!$B$5=0,Assumptions!$B$24,IF(15-Schedule_Inputs!$B$5=1,Assumptions!$C$24,IF(15-Schedule_Inputs!$B$5=2,Assumptions!$D$24,0))),IF(OR(Schedule_Inputs!$C$5="Monthly",Schedule_Inputs!$C$5="Periodic"),IF(AND(15&gt;=Schedule_Inputs!$B$5,MOD(15-Schedule_Inputs!$B$5,Schedule_Inputs!$E$5)=0,(15-Schedule_Inputs!$B$5)/Schedule_Inputs!$E$5&lt;Schedule_Inputs!$D$5),$C5/Schedule_Inputs!$D$5,0),0))))</f>
        <v>0</v>
      </c>
      <c r="T5" s="31">
        <f>IF(Schedule_Inputs!$C$5="Blueprint",$C5*IF(16-Schedule_Inputs!$B$5=0,Assumptions!$B$21,IF(16-Schedule_Inputs!$B$5=1,Assumptions!$C$21,IF(16-Schedule_Inputs!$B$5=2,Assumptions!$D$21,0))),IF(Schedule_Inputs!$C$5="Launch",$C5*IF(16-Schedule_Inputs!$B$5=0,Assumptions!$B$22,IF(16-Schedule_Inputs!$B$5=1,Assumptions!$C$22,IF(16-Schedule_Inputs!$B$5=2,Assumptions!$D$22,IF(16-Schedule_Inputs!$B$5=3,Assumptions!$B$23,0)))),IF(Schedule_Inputs!$C$5="Office Setup",$C5*IF(16-Schedule_Inputs!$B$5=0,Assumptions!$B$24,IF(16-Schedule_Inputs!$B$5=1,Assumptions!$C$24,IF(16-Schedule_Inputs!$B$5=2,Assumptions!$D$24,0))),IF(OR(Schedule_Inputs!$C$5="Monthly",Schedule_Inputs!$C$5="Periodic"),IF(AND(16&gt;=Schedule_Inputs!$B$5,MOD(16-Schedule_Inputs!$B$5,Schedule_Inputs!$E$5)=0,(16-Schedule_Inputs!$B$5)/Schedule_Inputs!$E$5&lt;Schedule_Inputs!$D$5),$C5/Schedule_Inputs!$D$5,0),0))))</f>
        <v>0</v>
      </c>
      <c r="U5" s="31">
        <f>IF(Schedule_Inputs!$C$5="Blueprint",$C5*IF(17-Schedule_Inputs!$B$5=0,Assumptions!$B$21,IF(17-Schedule_Inputs!$B$5=1,Assumptions!$C$21,IF(17-Schedule_Inputs!$B$5=2,Assumptions!$D$21,0))),IF(Schedule_Inputs!$C$5="Launch",$C5*IF(17-Schedule_Inputs!$B$5=0,Assumptions!$B$22,IF(17-Schedule_Inputs!$B$5=1,Assumptions!$C$22,IF(17-Schedule_Inputs!$B$5=2,Assumptions!$D$22,IF(17-Schedule_Inputs!$B$5=3,Assumptions!$B$23,0)))),IF(Schedule_Inputs!$C$5="Office Setup",$C5*IF(17-Schedule_Inputs!$B$5=0,Assumptions!$B$24,IF(17-Schedule_Inputs!$B$5=1,Assumptions!$C$24,IF(17-Schedule_Inputs!$B$5=2,Assumptions!$D$24,0))),IF(OR(Schedule_Inputs!$C$5="Monthly",Schedule_Inputs!$C$5="Periodic"),IF(AND(17&gt;=Schedule_Inputs!$B$5,MOD(17-Schedule_Inputs!$B$5,Schedule_Inputs!$E$5)=0,(17-Schedule_Inputs!$B$5)/Schedule_Inputs!$E$5&lt;Schedule_Inputs!$D$5),$C5/Schedule_Inputs!$D$5,0),0))))</f>
        <v>0</v>
      </c>
      <c r="V5" s="31">
        <f>IF(Schedule_Inputs!$C$5="Blueprint",$C5*IF(18-Schedule_Inputs!$B$5=0,Assumptions!$B$21,IF(18-Schedule_Inputs!$B$5=1,Assumptions!$C$21,IF(18-Schedule_Inputs!$B$5=2,Assumptions!$D$21,0))),IF(Schedule_Inputs!$C$5="Launch",$C5*IF(18-Schedule_Inputs!$B$5=0,Assumptions!$B$22,IF(18-Schedule_Inputs!$B$5=1,Assumptions!$C$22,IF(18-Schedule_Inputs!$B$5=2,Assumptions!$D$22,IF(18-Schedule_Inputs!$B$5=3,Assumptions!$B$23,0)))),IF(Schedule_Inputs!$C$5="Office Setup",$C5*IF(18-Schedule_Inputs!$B$5=0,Assumptions!$B$24,IF(18-Schedule_Inputs!$B$5=1,Assumptions!$C$24,IF(18-Schedule_Inputs!$B$5=2,Assumptions!$D$24,0))),IF(OR(Schedule_Inputs!$C$5="Monthly",Schedule_Inputs!$C$5="Periodic"),IF(AND(18&gt;=Schedule_Inputs!$B$5,MOD(18-Schedule_Inputs!$B$5,Schedule_Inputs!$E$5)=0,(18-Schedule_Inputs!$B$5)/Schedule_Inputs!$E$5&lt;Schedule_Inputs!$D$5),$C5/Schedule_Inputs!$D$5,0),0))))</f>
        <v>0</v>
      </c>
      <c r="W5" s="31">
        <f>IF(Schedule_Inputs!$C$5="Blueprint",$C5*IF(19-Schedule_Inputs!$B$5=0,Assumptions!$B$21,IF(19-Schedule_Inputs!$B$5=1,Assumptions!$C$21,IF(19-Schedule_Inputs!$B$5=2,Assumptions!$D$21,0))),IF(Schedule_Inputs!$C$5="Launch",$C5*IF(19-Schedule_Inputs!$B$5=0,Assumptions!$B$22,IF(19-Schedule_Inputs!$B$5=1,Assumptions!$C$22,IF(19-Schedule_Inputs!$B$5=2,Assumptions!$D$22,IF(19-Schedule_Inputs!$B$5=3,Assumptions!$B$23,0)))),IF(Schedule_Inputs!$C$5="Office Setup",$C5*IF(19-Schedule_Inputs!$B$5=0,Assumptions!$B$24,IF(19-Schedule_Inputs!$B$5=1,Assumptions!$C$24,IF(19-Schedule_Inputs!$B$5=2,Assumptions!$D$24,0))),IF(OR(Schedule_Inputs!$C$5="Monthly",Schedule_Inputs!$C$5="Periodic"),IF(AND(19&gt;=Schedule_Inputs!$B$5,MOD(19-Schedule_Inputs!$B$5,Schedule_Inputs!$E$5)=0,(19-Schedule_Inputs!$B$5)/Schedule_Inputs!$E$5&lt;Schedule_Inputs!$D$5),$C5/Schedule_Inputs!$D$5,0),0))))</f>
        <v>0</v>
      </c>
      <c r="X5" s="31">
        <f>IF(Schedule_Inputs!$C$5="Blueprint",$C5*IF(20-Schedule_Inputs!$B$5=0,Assumptions!$B$21,IF(20-Schedule_Inputs!$B$5=1,Assumptions!$C$21,IF(20-Schedule_Inputs!$B$5=2,Assumptions!$D$21,0))),IF(Schedule_Inputs!$C$5="Launch",$C5*IF(20-Schedule_Inputs!$B$5=0,Assumptions!$B$22,IF(20-Schedule_Inputs!$B$5=1,Assumptions!$C$22,IF(20-Schedule_Inputs!$B$5=2,Assumptions!$D$22,IF(20-Schedule_Inputs!$B$5=3,Assumptions!$B$23,0)))),IF(Schedule_Inputs!$C$5="Office Setup",$C5*IF(20-Schedule_Inputs!$B$5=0,Assumptions!$B$24,IF(20-Schedule_Inputs!$B$5=1,Assumptions!$C$24,IF(20-Schedule_Inputs!$B$5=2,Assumptions!$D$24,0))),IF(OR(Schedule_Inputs!$C$5="Monthly",Schedule_Inputs!$C$5="Periodic"),IF(AND(20&gt;=Schedule_Inputs!$B$5,MOD(20-Schedule_Inputs!$B$5,Schedule_Inputs!$E$5)=0,(20-Schedule_Inputs!$B$5)/Schedule_Inputs!$E$5&lt;Schedule_Inputs!$D$5),$C5/Schedule_Inputs!$D$5,0),0))))</f>
        <v>0</v>
      </c>
      <c r="Y5" s="31">
        <f>IF(Schedule_Inputs!$C$5="Blueprint",$C5*IF(21-Schedule_Inputs!$B$5=0,Assumptions!$B$21,IF(21-Schedule_Inputs!$B$5=1,Assumptions!$C$21,IF(21-Schedule_Inputs!$B$5=2,Assumptions!$D$21,0))),IF(Schedule_Inputs!$C$5="Launch",$C5*IF(21-Schedule_Inputs!$B$5=0,Assumptions!$B$22,IF(21-Schedule_Inputs!$B$5=1,Assumptions!$C$22,IF(21-Schedule_Inputs!$B$5=2,Assumptions!$D$22,IF(21-Schedule_Inputs!$B$5=3,Assumptions!$B$23,0)))),IF(Schedule_Inputs!$C$5="Office Setup",$C5*IF(21-Schedule_Inputs!$B$5=0,Assumptions!$B$24,IF(21-Schedule_Inputs!$B$5=1,Assumptions!$C$24,IF(21-Schedule_Inputs!$B$5=2,Assumptions!$D$24,0))),IF(OR(Schedule_Inputs!$C$5="Monthly",Schedule_Inputs!$C$5="Periodic"),IF(AND(21&gt;=Schedule_Inputs!$B$5,MOD(21-Schedule_Inputs!$B$5,Schedule_Inputs!$E$5)=0,(21-Schedule_Inputs!$B$5)/Schedule_Inputs!$E$5&lt;Schedule_Inputs!$D$5),$C5/Schedule_Inputs!$D$5,0),0))))</f>
        <v>0</v>
      </c>
      <c r="Z5" s="31">
        <f>IF(Schedule_Inputs!$C$5="Blueprint",$C5*IF(22-Schedule_Inputs!$B$5=0,Assumptions!$B$21,IF(22-Schedule_Inputs!$B$5=1,Assumptions!$C$21,IF(22-Schedule_Inputs!$B$5=2,Assumptions!$D$21,0))),IF(Schedule_Inputs!$C$5="Launch",$C5*IF(22-Schedule_Inputs!$B$5=0,Assumptions!$B$22,IF(22-Schedule_Inputs!$B$5=1,Assumptions!$C$22,IF(22-Schedule_Inputs!$B$5=2,Assumptions!$D$22,IF(22-Schedule_Inputs!$B$5=3,Assumptions!$B$23,0)))),IF(Schedule_Inputs!$C$5="Office Setup",$C5*IF(22-Schedule_Inputs!$B$5=0,Assumptions!$B$24,IF(22-Schedule_Inputs!$B$5=1,Assumptions!$C$24,IF(22-Schedule_Inputs!$B$5=2,Assumptions!$D$24,0))),IF(OR(Schedule_Inputs!$C$5="Monthly",Schedule_Inputs!$C$5="Periodic"),IF(AND(22&gt;=Schedule_Inputs!$B$5,MOD(22-Schedule_Inputs!$B$5,Schedule_Inputs!$E$5)=0,(22-Schedule_Inputs!$B$5)/Schedule_Inputs!$E$5&lt;Schedule_Inputs!$D$5),$C5/Schedule_Inputs!$D$5,0),0))))</f>
        <v>0</v>
      </c>
      <c r="AA5" s="31">
        <f>IF(Schedule_Inputs!$C$5="Blueprint",$C5*IF(23-Schedule_Inputs!$B$5=0,Assumptions!$B$21,IF(23-Schedule_Inputs!$B$5=1,Assumptions!$C$21,IF(23-Schedule_Inputs!$B$5=2,Assumptions!$D$21,0))),IF(Schedule_Inputs!$C$5="Launch",$C5*IF(23-Schedule_Inputs!$B$5=0,Assumptions!$B$22,IF(23-Schedule_Inputs!$B$5=1,Assumptions!$C$22,IF(23-Schedule_Inputs!$B$5=2,Assumptions!$D$22,IF(23-Schedule_Inputs!$B$5=3,Assumptions!$B$23,0)))),IF(Schedule_Inputs!$C$5="Office Setup",$C5*IF(23-Schedule_Inputs!$B$5=0,Assumptions!$B$24,IF(23-Schedule_Inputs!$B$5=1,Assumptions!$C$24,IF(23-Schedule_Inputs!$B$5=2,Assumptions!$D$24,0))),IF(OR(Schedule_Inputs!$C$5="Monthly",Schedule_Inputs!$C$5="Periodic"),IF(AND(23&gt;=Schedule_Inputs!$B$5,MOD(23-Schedule_Inputs!$B$5,Schedule_Inputs!$E$5)=0,(23-Schedule_Inputs!$B$5)/Schedule_Inputs!$E$5&lt;Schedule_Inputs!$D$5),$C5/Schedule_Inputs!$D$5,0),0))))</f>
        <v>0</v>
      </c>
      <c r="AB5" s="31">
        <f>IF(Schedule_Inputs!$C$5="Blueprint",$C5*IF(24-Schedule_Inputs!$B$5=0,Assumptions!$B$21,IF(24-Schedule_Inputs!$B$5=1,Assumptions!$C$21,IF(24-Schedule_Inputs!$B$5=2,Assumptions!$D$21,0))),IF(Schedule_Inputs!$C$5="Launch",$C5*IF(24-Schedule_Inputs!$B$5=0,Assumptions!$B$22,IF(24-Schedule_Inputs!$B$5=1,Assumptions!$C$22,IF(24-Schedule_Inputs!$B$5=2,Assumptions!$D$22,IF(24-Schedule_Inputs!$B$5=3,Assumptions!$B$23,0)))),IF(Schedule_Inputs!$C$5="Office Setup",$C5*IF(24-Schedule_Inputs!$B$5=0,Assumptions!$B$24,IF(24-Schedule_Inputs!$B$5=1,Assumptions!$C$24,IF(24-Schedule_Inputs!$B$5=2,Assumptions!$D$24,0))),IF(OR(Schedule_Inputs!$C$5="Monthly",Schedule_Inputs!$C$5="Periodic"),IF(AND(24&gt;=Schedule_Inputs!$B$5,MOD(24-Schedule_Inputs!$B$5,Schedule_Inputs!$E$5)=0,(24-Schedule_Inputs!$B$5)/Schedule_Inputs!$E$5&lt;Schedule_Inputs!$D$5),$C5/Schedule_Inputs!$D$5,0),0))))</f>
        <v>0</v>
      </c>
      <c r="AC5" s="31">
        <f>IF(Schedule_Inputs!$C$5="Blueprint",$C5*IF(25-Schedule_Inputs!$B$5=0,Assumptions!$B$21,IF(25-Schedule_Inputs!$B$5=1,Assumptions!$C$21,IF(25-Schedule_Inputs!$B$5=2,Assumptions!$D$21,0))),IF(Schedule_Inputs!$C$5="Launch",$C5*IF(25-Schedule_Inputs!$B$5=0,Assumptions!$B$22,IF(25-Schedule_Inputs!$B$5=1,Assumptions!$C$22,IF(25-Schedule_Inputs!$B$5=2,Assumptions!$D$22,IF(25-Schedule_Inputs!$B$5=3,Assumptions!$B$23,0)))),IF(Schedule_Inputs!$C$5="Office Setup",$C5*IF(25-Schedule_Inputs!$B$5=0,Assumptions!$B$24,IF(25-Schedule_Inputs!$B$5=1,Assumptions!$C$24,IF(25-Schedule_Inputs!$B$5=2,Assumptions!$D$24,0))),IF(OR(Schedule_Inputs!$C$5="Monthly",Schedule_Inputs!$C$5="Periodic"),IF(AND(25&gt;=Schedule_Inputs!$B$5,MOD(25-Schedule_Inputs!$B$5,Schedule_Inputs!$E$5)=0,(25-Schedule_Inputs!$B$5)/Schedule_Inputs!$E$5&lt;Schedule_Inputs!$D$5),$C5/Schedule_Inputs!$D$5,0),0))))</f>
        <v>0</v>
      </c>
      <c r="AD5" s="31">
        <f>IF(Schedule_Inputs!$C$5="Blueprint",$C5*IF(26-Schedule_Inputs!$B$5=0,Assumptions!$B$21,IF(26-Schedule_Inputs!$B$5=1,Assumptions!$C$21,IF(26-Schedule_Inputs!$B$5=2,Assumptions!$D$21,0))),IF(Schedule_Inputs!$C$5="Launch",$C5*IF(26-Schedule_Inputs!$B$5=0,Assumptions!$B$22,IF(26-Schedule_Inputs!$B$5=1,Assumptions!$C$22,IF(26-Schedule_Inputs!$B$5=2,Assumptions!$D$22,IF(26-Schedule_Inputs!$B$5=3,Assumptions!$B$23,0)))),IF(Schedule_Inputs!$C$5="Office Setup",$C5*IF(26-Schedule_Inputs!$B$5=0,Assumptions!$B$24,IF(26-Schedule_Inputs!$B$5=1,Assumptions!$C$24,IF(26-Schedule_Inputs!$B$5=2,Assumptions!$D$24,0))),IF(OR(Schedule_Inputs!$C$5="Monthly",Schedule_Inputs!$C$5="Periodic"),IF(AND(26&gt;=Schedule_Inputs!$B$5,MOD(26-Schedule_Inputs!$B$5,Schedule_Inputs!$E$5)=0,(26-Schedule_Inputs!$B$5)/Schedule_Inputs!$E$5&lt;Schedule_Inputs!$D$5),$C5/Schedule_Inputs!$D$5,0),0))))</f>
        <v>0</v>
      </c>
      <c r="AE5" s="31">
        <f>IF(Schedule_Inputs!$C$5="Blueprint",$C5*IF(27-Schedule_Inputs!$B$5=0,Assumptions!$B$21,IF(27-Schedule_Inputs!$B$5=1,Assumptions!$C$21,IF(27-Schedule_Inputs!$B$5=2,Assumptions!$D$21,0))),IF(Schedule_Inputs!$C$5="Launch",$C5*IF(27-Schedule_Inputs!$B$5=0,Assumptions!$B$22,IF(27-Schedule_Inputs!$B$5=1,Assumptions!$C$22,IF(27-Schedule_Inputs!$B$5=2,Assumptions!$D$22,IF(27-Schedule_Inputs!$B$5=3,Assumptions!$B$23,0)))),IF(Schedule_Inputs!$C$5="Office Setup",$C5*IF(27-Schedule_Inputs!$B$5=0,Assumptions!$B$24,IF(27-Schedule_Inputs!$B$5=1,Assumptions!$C$24,IF(27-Schedule_Inputs!$B$5=2,Assumptions!$D$24,0))),IF(OR(Schedule_Inputs!$C$5="Monthly",Schedule_Inputs!$C$5="Periodic"),IF(AND(27&gt;=Schedule_Inputs!$B$5,MOD(27-Schedule_Inputs!$B$5,Schedule_Inputs!$E$5)=0,(27-Schedule_Inputs!$B$5)/Schedule_Inputs!$E$5&lt;Schedule_Inputs!$D$5),$C5/Schedule_Inputs!$D$5,0),0))))</f>
        <v>0</v>
      </c>
      <c r="AF5" s="31">
        <f>IF(Schedule_Inputs!$C$5="Blueprint",$C5*IF(28-Schedule_Inputs!$B$5=0,Assumptions!$B$21,IF(28-Schedule_Inputs!$B$5=1,Assumptions!$C$21,IF(28-Schedule_Inputs!$B$5=2,Assumptions!$D$21,0))),IF(Schedule_Inputs!$C$5="Launch",$C5*IF(28-Schedule_Inputs!$B$5=0,Assumptions!$B$22,IF(28-Schedule_Inputs!$B$5=1,Assumptions!$C$22,IF(28-Schedule_Inputs!$B$5=2,Assumptions!$D$22,IF(28-Schedule_Inputs!$B$5=3,Assumptions!$B$23,0)))),IF(Schedule_Inputs!$C$5="Office Setup",$C5*IF(28-Schedule_Inputs!$B$5=0,Assumptions!$B$24,IF(28-Schedule_Inputs!$B$5=1,Assumptions!$C$24,IF(28-Schedule_Inputs!$B$5=2,Assumptions!$D$24,0))),IF(OR(Schedule_Inputs!$C$5="Monthly",Schedule_Inputs!$C$5="Periodic"),IF(AND(28&gt;=Schedule_Inputs!$B$5,MOD(28-Schedule_Inputs!$B$5,Schedule_Inputs!$E$5)=0,(28-Schedule_Inputs!$B$5)/Schedule_Inputs!$E$5&lt;Schedule_Inputs!$D$5),$C5/Schedule_Inputs!$D$5,0),0))))</f>
        <v>0</v>
      </c>
      <c r="AG5" s="31">
        <f>IF(Schedule_Inputs!$C$5="Blueprint",$C5*IF(29-Schedule_Inputs!$B$5=0,Assumptions!$B$21,IF(29-Schedule_Inputs!$B$5=1,Assumptions!$C$21,IF(29-Schedule_Inputs!$B$5=2,Assumptions!$D$21,0))),IF(Schedule_Inputs!$C$5="Launch",$C5*IF(29-Schedule_Inputs!$B$5=0,Assumptions!$B$22,IF(29-Schedule_Inputs!$B$5=1,Assumptions!$C$22,IF(29-Schedule_Inputs!$B$5=2,Assumptions!$D$22,IF(29-Schedule_Inputs!$B$5=3,Assumptions!$B$23,0)))),IF(Schedule_Inputs!$C$5="Office Setup",$C5*IF(29-Schedule_Inputs!$B$5=0,Assumptions!$B$24,IF(29-Schedule_Inputs!$B$5=1,Assumptions!$C$24,IF(29-Schedule_Inputs!$B$5=2,Assumptions!$D$24,0))),IF(OR(Schedule_Inputs!$C$5="Monthly",Schedule_Inputs!$C$5="Periodic"),IF(AND(29&gt;=Schedule_Inputs!$B$5,MOD(29-Schedule_Inputs!$B$5,Schedule_Inputs!$E$5)=0,(29-Schedule_Inputs!$B$5)/Schedule_Inputs!$E$5&lt;Schedule_Inputs!$D$5),$C5/Schedule_Inputs!$D$5,0),0))))</f>
        <v>0</v>
      </c>
      <c r="AH5" s="31">
        <f>IF(Schedule_Inputs!$C$5="Blueprint",$C5*IF(30-Schedule_Inputs!$B$5=0,Assumptions!$B$21,IF(30-Schedule_Inputs!$B$5=1,Assumptions!$C$21,IF(30-Schedule_Inputs!$B$5=2,Assumptions!$D$21,0))),IF(Schedule_Inputs!$C$5="Launch",$C5*IF(30-Schedule_Inputs!$B$5=0,Assumptions!$B$22,IF(30-Schedule_Inputs!$B$5=1,Assumptions!$C$22,IF(30-Schedule_Inputs!$B$5=2,Assumptions!$D$22,IF(30-Schedule_Inputs!$B$5=3,Assumptions!$B$23,0)))),IF(Schedule_Inputs!$C$5="Office Setup",$C5*IF(30-Schedule_Inputs!$B$5=0,Assumptions!$B$24,IF(30-Schedule_Inputs!$B$5=1,Assumptions!$C$24,IF(30-Schedule_Inputs!$B$5=2,Assumptions!$D$24,0))),IF(OR(Schedule_Inputs!$C$5="Monthly",Schedule_Inputs!$C$5="Periodic"),IF(AND(30&gt;=Schedule_Inputs!$B$5,MOD(30-Schedule_Inputs!$B$5,Schedule_Inputs!$E$5)=0,(30-Schedule_Inputs!$B$5)/Schedule_Inputs!$E$5&lt;Schedule_Inputs!$D$5),$C5/Schedule_Inputs!$D$5,0),0))))</f>
        <v>0</v>
      </c>
      <c r="AI5" s="31">
        <f>IF(Schedule_Inputs!$C$5="Blueprint",$C5*IF(31-Schedule_Inputs!$B$5=0,Assumptions!$B$21,IF(31-Schedule_Inputs!$B$5=1,Assumptions!$C$21,IF(31-Schedule_Inputs!$B$5=2,Assumptions!$D$21,0))),IF(Schedule_Inputs!$C$5="Launch",$C5*IF(31-Schedule_Inputs!$B$5=0,Assumptions!$B$22,IF(31-Schedule_Inputs!$B$5=1,Assumptions!$C$22,IF(31-Schedule_Inputs!$B$5=2,Assumptions!$D$22,IF(31-Schedule_Inputs!$B$5=3,Assumptions!$B$23,0)))),IF(Schedule_Inputs!$C$5="Office Setup",$C5*IF(31-Schedule_Inputs!$B$5=0,Assumptions!$B$24,IF(31-Schedule_Inputs!$B$5=1,Assumptions!$C$24,IF(31-Schedule_Inputs!$B$5=2,Assumptions!$D$24,0))),IF(OR(Schedule_Inputs!$C$5="Monthly",Schedule_Inputs!$C$5="Periodic"),IF(AND(31&gt;=Schedule_Inputs!$B$5,MOD(31-Schedule_Inputs!$B$5,Schedule_Inputs!$E$5)=0,(31-Schedule_Inputs!$B$5)/Schedule_Inputs!$E$5&lt;Schedule_Inputs!$D$5),$C5/Schedule_Inputs!$D$5,0),0))))</f>
        <v>0</v>
      </c>
      <c r="AJ5" s="31">
        <f>IF(Schedule_Inputs!$C$5="Blueprint",$C5*IF(32-Schedule_Inputs!$B$5=0,Assumptions!$B$21,IF(32-Schedule_Inputs!$B$5=1,Assumptions!$C$21,IF(32-Schedule_Inputs!$B$5=2,Assumptions!$D$21,0))),IF(Schedule_Inputs!$C$5="Launch",$C5*IF(32-Schedule_Inputs!$B$5=0,Assumptions!$B$22,IF(32-Schedule_Inputs!$B$5=1,Assumptions!$C$22,IF(32-Schedule_Inputs!$B$5=2,Assumptions!$D$22,IF(32-Schedule_Inputs!$B$5=3,Assumptions!$B$23,0)))),IF(Schedule_Inputs!$C$5="Office Setup",$C5*IF(32-Schedule_Inputs!$B$5=0,Assumptions!$B$24,IF(32-Schedule_Inputs!$B$5=1,Assumptions!$C$24,IF(32-Schedule_Inputs!$B$5=2,Assumptions!$D$24,0))),IF(OR(Schedule_Inputs!$C$5="Monthly",Schedule_Inputs!$C$5="Periodic"),IF(AND(32&gt;=Schedule_Inputs!$B$5,MOD(32-Schedule_Inputs!$B$5,Schedule_Inputs!$E$5)=0,(32-Schedule_Inputs!$B$5)/Schedule_Inputs!$E$5&lt;Schedule_Inputs!$D$5),$C5/Schedule_Inputs!$D$5,0),0))))</f>
        <v>0</v>
      </c>
      <c r="AK5" s="31">
        <f>IF(Schedule_Inputs!$C$5="Blueprint",$C5*IF(33-Schedule_Inputs!$B$5=0,Assumptions!$B$21,IF(33-Schedule_Inputs!$B$5=1,Assumptions!$C$21,IF(33-Schedule_Inputs!$B$5=2,Assumptions!$D$21,0))),IF(Schedule_Inputs!$C$5="Launch",$C5*IF(33-Schedule_Inputs!$B$5=0,Assumptions!$B$22,IF(33-Schedule_Inputs!$B$5=1,Assumptions!$C$22,IF(33-Schedule_Inputs!$B$5=2,Assumptions!$D$22,IF(33-Schedule_Inputs!$B$5=3,Assumptions!$B$23,0)))),IF(Schedule_Inputs!$C$5="Office Setup",$C5*IF(33-Schedule_Inputs!$B$5=0,Assumptions!$B$24,IF(33-Schedule_Inputs!$B$5=1,Assumptions!$C$24,IF(33-Schedule_Inputs!$B$5=2,Assumptions!$D$24,0))),IF(OR(Schedule_Inputs!$C$5="Monthly",Schedule_Inputs!$C$5="Periodic"),IF(AND(33&gt;=Schedule_Inputs!$B$5,MOD(33-Schedule_Inputs!$B$5,Schedule_Inputs!$E$5)=0,(33-Schedule_Inputs!$B$5)/Schedule_Inputs!$E$5&lt;Schedule_Inputs!$D$5),$C5/Schedule_Inputs!$D$5,0),0))))</f>
        <v>0</v>
      </c>
      <c r="AL5" s="31">
        <f>IF(Schedule_Inputs!$C$5="Blueprint",$C5*IF(34-Schedule_Inputs!$B$5=0,Assumptions!$B$21,IF(34-Schedule_Inputs!$B$5=1,Assumptions!$C$21,IF(34-Schedule_Inputs!$B$5=2,Assumptions!$D$21,0))),IF(Schedule_Inputs!$C$5="Launch",$C5*IF(34-Schedule_Inputs!$B$5=0,Assumptions!$B$22,IF(34-Schedule_Inputs!$B$5=1,Assumptions!$C$22,IF(34-Schedule_Inputs!$B$5=2,Assumptions!$D$22,IF(34-Schedule_Inputs!$B$5=3,Assumptions!$B$23,0)))),IF(Schedule_Inputs!$C$5="Office Setup",$C5*IF(34-Schedule_Inputs!$B$5=0,Assumptions!$B$24,IF(34-Schedule_Inputs!$B$5=1,Assumptions!$C$24,IF(34-Schedule_Inputs!$B$5=2,Assumptions!$D$24,0))),IF(OR(Schedule_Inputs!$C$5="Monthly",Schedule_Inputs!$C$5="Periodic"),IF(AND(34&gt;=Schedule_Inputs!$B$5,MOD(34-Schedule_Inputs!$B$5,Schedule_Inputs!$E$5)=0,(34-Schedule_Inputs!$B$5)/Schedule_Inputs!$E$5&lt;Schedule_Inputs!$D$5),$C5/Schedule_Inputs!$D$5,0),0))))</f>
        <v>0</v>
      </c>
      <c r="AM5" s="31">
        <f>IF(Schedule_Inputs!$C$5="Blueprint",$C5*IF(35-Schedule_Inputs!$B$5=0,Assumptions!$B$21,IF(35-Schedule_Inputs!$B$5=1,Assumptions!$C$21,IF(35-Schedule_Inputs!$B$5=2,Assumptions!$D$21,0))),IF(Schedule_Inputs!$C$5="Launch",$C5*IF(35-Schedule_Inputs!$B$5=0,Assumptions!$B$22,IF(35-Schedule_Inputs!$B$5=1,Assumptions!$C$22,IF(35-Schedule_Inputs!$B$5=2,Assumptions!$D$22,IF(35-Schedule_Inputs!$B$5=3,Assumptions!$B$23,0)))),IF(Schedule_Inputs!$C$5="Office Setup",$C5*IF(35-Schedule_Inputs!$B$5=0,Assumptions!$B$24,IF(35-Schedule_Inputs!$B$5=1,Assumptions!$C$24,IF(35-Schedule_Inputs!$B$5=2,Assumptions!$D$24,0))),IF(OR(Schedule_Inputs!$C$5="Monthly",Schedule_Inputs!$C$5="Periodic"),IF(AND(35&gt;=Schedule_Inputs!$B$5,MOD(35-Schedule_Inputs!$B$5,Schedule_Inputs!$E$5)=0,(35-Schedule_Inputs!$B$5)/Schedule_Inputs!$E$5&lt;Schedule_Inputs!$D$5),$C5/Schedule_Inputs!$D$5,0),0))))</f>
        <v>0</v>
      </c>
      <c r="AN5" s="31">
        <f>IF(Schedule_Inputs!$C$5="Blueprint",$C5*IF(36-Schedule_Inputs!$B$5=0,Assumptions!$B$21,IF(36-Schedule_Inputs!$B$5=1,Assumptions!$C$21,IF(36-Schedule_Inputs!$B$5=2,Assumptions!$D$21,0))),IF(Schedule_Inputs!$C$5="Launch",$C5*IF(36-Schedule_Inputs!$B$5=0,Assumptions!$B$22,IF(36-Schedule_Inputs!$B$5=1,Assumptions!$C$22,IF(36-Schedule_Inputs!$B$5=2,Assumptions!$D$22,IF(36-Schedule_Inputs!$B$5=3,Assumptions!$B$23,0)))),IF(Schedule_Inputs!$C$5="Office Setup",$C5*IF(36-Schedule_Inputs!$B$5=0,Assumptions!$B$24,IF(36-Schedule_Inputs!$B$5=1,Assumptions!$C$24,IF(36-Schedule_Inputs!$B$5=2,Assumptions!$D$24,0))),IF(OR(Schedule_Inputs!$C$5="Monthly",Schedule_Inputs!$C$5="Periodic"),IF(AND(36&gt;=Schedule_Inputs!$B$5,MOD(36-Schedule_Inputs!$B$5,Schedule_Inputs!$E$5)=0,(36-Schedule_Inputs!$B$5)/Schedule_Inputs!$E$5&lt;Schedule_Inputs!$D$5),$C5/Schedule_Inputs!$D$5,0),0))))</f>
        <v>0</v>
      </c>
    </row>
    <row r="6" spans="1:40">
      <c r="A6" s="29" t="s">
        <v>232</v>
      </c>
      <c r="B6" s="29">
        <v>1</v>
      </c>
      <c r="C6" s="30">
        <v>29500</v>
      </c>
      <c r="D6" s="31" t="s">
        <v>233</v>
      </c>
      <c r="E6" s="31">
        <f>IF(Schedule_Inputs!$C$6="Blueprint",$C6*IF(1-Schedule_Inputs!$B$6=0,Assumptions!$B$21,IF(1-Schedule_Inputs!$B$6=1,Assumptions!$C$21,IF(1-Schedule_Inputs!$B$6=2,Assumptions!$D$21,0))),IF(Schedule_Inputs!$C$6="Launch",$C6*IF(1-Schedule_Inputs!$B$6=0,Assumptions!$B$22,IF(1-Schedule_Inputs!$B$6=1,Assumptions!$C$22,IF(1-Schedule_Inputs!$B$6=2,Assumptions!$D$22,IF(1-Schedule_Inputs!$B$6=3,Assumptions!$B$23,0)))),IF(Schedule_Inputs!$C$6="Office Setup",$C6*IF(1-Schedule_Inputs!$B$6=0,Assumptions!$B$24,IF(1-Schedule_Inputs!$B$6=1,Assumptions!$C$24,IF(1-Schedule_Inputs!$B$6=2,Assumptions!$D$24,0))),IF(OR(Schedule_Inputs!$C$6="Monthly",Schedule_Inputs!$C$6="Periodic"),IF(AND(1&gt;=Schedule_Inputs!$B$6,MOD(1-Schedule_Inputs!$B$6,Schedule_Inputs!$E$6)=0,(1-Schedule_Inputs!$B$6)/Schedule_Inputs!$E$6&lt;Schedule_Inputs!$D$6),$C6/Schedule_Inputs!$D$6,0),0))))</f>
        <v>0</v>
      </c>
      <c r="F6" s="31">
        <f>IF(Schedule_Inputs!$C$6="Blueprint",$C6*IF(2-Schedule_Inputs!$B$6=0,Assumptions!$B$21,IF(2-Schedule_Inputs!$B$6=1,Assumptions!$C$21,IF(2-Schedule_Inputs!$B$6=2,Assumptions!$D$21,0))),IF(Schedule_Inputs!$C$6="Launch",$C6*IF(2-Schedule_Inputs!$B$6=0,Assumptions!$B$22,IF(2-Schedule_Inputs!$B$6=1,Assumptions!$C$22,IF(2-Schedule_Inputs!$B$6=2,Assumptions!$D$22,IF(2-Schedule_Inputs!$B$6=3,Assumptions!$B$23,0)))),IF(Schedule_Inputs!$C$6="Office Setup",$C6*IF(2-Schedule_Inputs!$B$6=0,Assumptions!$B$24,IF(2-Schedule_Inputs!$B$6=1,Assumptions!$C$24,IF(2-Schedule_Inputs!$B$6=2,Assumptions!$D$24,0))),IF(OR(Schedule_Inputs!$C$6="Monthly",Schedule_Inputs!$C$6="Periodic"),IF(AND(2&gt;=Schedule_Inputs!$B$6,MOD(2-Schedule_Inputs!$B$6,Schedule_Inputs!$E$6)=0,(2-Schedule_Inputs!$B$6)/Schedule_Inputs!$E$6&lt;Schedule_Inputs!$D$6),$C6/Schedule_Inputs!$D$6,0),0))))</f>
        <v>0</v>
      </c>
      <c r="G6" s="31">
        <f>IF(Schedule_Inputs!$C$6="Blueprint",$C6*IF(3-Schedule_Inputs!$B$6=0,Assumptions!$B$21,IF(3-Schedule_Inputs!$B$6=1,Assumptions!$C$21,IF(3-Schedule_Inputs!$B$6=2,Assumptions!$D$21,0))),IF(Schedule_Inputs!$C$6="Launch",$C6*IF(3-Schedule_Inputs!$B$6=0,Assumptions!$B$22,IF(3-Schedule_Inputs!$B$6=1,Assumptions!$C$22,IF(3-Schedule_Inputs!$B$6=2,Assumptions!$D$22,IF(3-Schedule_Inputs!$B$6=3,Assumptions!$B$23,0)))),IF(Schedule_Inputs!$C$6="Office Setup",$C6*IF(3-Schedule_Inputs!$B$6=0,Assumptions!$B$24,IF(3-Schedule_Inputs!$B$6=1,Assumptions!$C$24,IF(3-Schedule_Inputs!$B$6=2,Assumptions!$D$24,0))),IF(OR(Schedule_Inputs!$C$6="Monthly",Schedule_Inputs!$C$6="Periodic"),IF(AND(3&gt;=Schedule_Inputs!$B$6,MOD(3-Schedule_Inputs!$B$6,Schedule_Inputs!$E$6)=0,(3-Schedule_Inputs!$B$6)/Schedule_Inputs!$E$6&lt;Schedule_Inputs!$D$6),$C6/Schedule_Inputs!$D$6,0),0))))</f>
        <v>0</v>
      </c>
      <c r="H6" s="31">
        <f>IF(Schedule_Inputs!$C$6="Blueprint",$C6*IF(4-Schedule_Inputs!$B$6=0,Assumptions!$B$21,IF(4-Schedule_Inputs!$B$6=1,Assumptions!$C$21,IF(4-Schedule_Inputs!$B$6=2,Assumptions!$D$21,0))),IF(Schedule_Inputs!$C$6="Launch",$C6*IF(4-Schedule_Inputs!$B$6=0,Assumptions!$B$22,IF(4-Schedule_Inputs!$B$6=1,Assumptions!$C$22,IF(4-Schedule_Inputs!$B$6=2,Assumptions!$D$22,IF(4-Schedule_Inputs!$B$6=3,Assumptions!$B$23,0)))),IF(Schedule_Inputs!$C$6="Office Setup",$C6*IF(4-Schedule_Inputs!$B$6=0,Assumptions!$B$24,IF(4-Schedule_Inputs!$B$6=1,Assumptions!$C$24,IF(4-Schedule_Inputs!$B$6=2,Assumptions!$D$24,0))),IF(OR(Schedule_Inputs!$C$6="Monthly",Schedule_Inputs!$C$6="Periodic"),IF(AND(4&gt;=Schedule_Inputs!$B$6,MOD(4-Schedule_Inputs!$B$6,Schedule_Inputs!$E$6)=0,(4-Schedule_Inputs!$B$6)/Schedule_Inputs!$E$6&lt;Schedule_Inputs!$D$6),$C6/Schedule_Inputs!$D$6,0),0))))</f>
        <v>0</v>
      </c>
      <c r="I6" s="31">
        <f>IF(Schedule_Inputs!$C$6="Blueprint",$C6*IF(5-Schedule_Inputs!$B$6=0,Assumptions!$B$21,IF(5-Schedule_Inputs!$B$6=1,Assumptions!$C$21,IF(5-Schedule_Inputs!$B$6=2,Assumptions!$D$21,0))),IF(Schedule_Inputs!$C$6="Launch",$C6*IF(5-Schedule_Inputs!$B$6=0,Assumptions!$B$22,IF(5-Schedule_Inputs!$B$6=1,Assumptions!$C$22,IF(5-Schedule_Inputs!$B$6=2,Assumptions!$D$22,IF(5-Schedule_Inputs!$B$6=3,Assumptions!$B$23,0)))),IF(Schedule_Inputs!$C$6="Office Setup",$C6*IF(5-Schedule_Inputs!$B$6=0,Assumptions!$B$24,IF(5-Schedule_Inputs!$B$6=1,Assumptions!$C$24,IF(5-Schedule_Inputs!$B$6=2,Assumptions!$D$24,0))),IF(OR(Schedule_Inputs!$C$6="Monthly",Schedule_Inputs!$C$6="Periodic"),IF(AND(5&gt;=Schedule_Inputs!$B$6,MOD(5-Schedule_Inputs!$B$6,Schedule_Inputs!$E$6)=0,(5-Schedule_Inputs!$B$6)/Schedule_Inputs!$E$6&lt;Schedule_Inputs!$D$6),$C6/Schedule_Inputs!$D$6,0),0))))</f>
        <v>0</v>
      </c>
      <c r="J6" s="31">
        <f>IF(Schedule_Inputs!$C$6="Blueprint",$C6*IF(6-Schedule_Inputs!$B$6=0,Assumptions!$B$21,IF(6-Schedule_Inputs!$B$6=1,Assumptions!$C$21,IF(6-Schedule_Inputs!$B$6=2,Assumptions!$D$21,0))),IF(Schedule_Inputs!$C$6="Launch",$C6*IF(6-Schedule_Inputs!$B$6=0,Assumptions!$B$22,IF(6-Schedule_Inputs!$B$6=1,Assumptions!$C$22,IF(6-Schedule_Inputs!$B$6=2,Assumptions!$D$22,IF(6-Schedule_Inputs!$B$6=3,Assumptions!$B$23,0)))),IF(Schedule_Inputs!$C$6="Office Setup",$C6*IF(6-Schedule_Inputs!$B$6=0,Assumptions!$B$24,IF(6-Schedule_Inputs!$B$6=1,Assumptions!$C$24,IF(6-Schedule_Inputs!$B$6=2,Assumptions!$D$24,0))),IF(OR(Schedule_Inputs!$C$6="Monthly",Schedule_Inputs!$C$6="Periodic"),IF(AND(6&gt;=Schedule_Inputs!$B$6,MOD(6-Schedule_Inputs!$B$6,Schedule_Inputs!$E$6)=0,(6-Schedule_Inputs!$B$6)/Schedule_Inputs!$E$6&lt;Schedule_Inputs!$D$6),$C6/Schedule_Inputs!$D$6,0),0))))</f>
        <v>0</v>
      </c>
      <c r="K6" s="31">
        <f>IF(Schedule_Inputs!$C$6="Blueprint",$C6*IF(7-Schedule_Inputs!$B$6=0,Assumptions!$B$21,IF(7-Schedule_Inputs!$B$6=1,Assumptions!$C$21,IF(7-Schedule_Inputs!$B$6=2,Assumptions!$D$21,0))),IF(Schedule_Inputs!$C$6="Launch",$C6*IF(7-Schedule_Inputs!$B$6=0,Assumptions!$B$22,IF(7-Schedule_Inputs!$B$6=1,Assumptions!$C$22,IF(7-Schedule_Inputs!$B$6=2,Assumptions!$D$22,IF(7-Schedule_Inputs!$B$6=3,Assumptions!$B$23,0)))),IF(Schedule_Inputs!$C$6="Office Setup",$C6*IF(7-Schedule_Inputs!$B$6=0,Assumptions!$B$24,IF(7-Schedule_Inputs!$B$6=1,Assumptions!$C$24,IF(7-Schedule_Inputs!$B$6=2,Assumptions!$D$24,0))),IF(OR(Schedule_Inputs!$C$6="Monthly",Schedule_Inputs!$C$6="Periodic"),IF(AND(7&gt;=Schedule_Inputs!$B$6,MOD(7-Schedule_Inputs!$B$6,Schedule_Inputs!$E$6)=0,(7-Schedule_Inputs!$B$6)/Schedule_Inputs!$E$6&lt;Schedule_Inputs!$D$6),$C6/Schedule_Inputs!$D$6,0),0))))</f>
        <v>8850</v>
      </c>
      <c r="L6" s="31">
        <f>IF(Schedule_Inputs!$C$6="Blueprint",$C6*IF(8-Schedule_Inputs!$B$6=0,Assumptions!$B$21,IF(8-Schedule_Inputs!$B$6=1,Assumptions!$C$21,IF(8-Schedule_Inputs!$B$6=2,Assumptions!$D$21,0))),IF(Schedule_Inputs!$C$6="Launch",$C6*IF(8-Schedule_Inputs!$B$6=0,Assumptions!$B$22,IF(8-Schedule_Inputs!$B$6=1,Assumptions!$C$22,IF(8-Schedule_Inputs!$B$6=2,Assumptions!$D$22,IF(8-Schedule_Inputs!$B$6=3,Assumptions!$B$23,0)))),IF(Schedule_Inputs!$C$6="Office Setup",$C6*IF(8-Schedule_Inputs!$B$6=0,Assumptions!$B$24,IF(8-Schedule_Inputs!$B$6=1,Assumptions!$C$24,IF(8-Schedule_Inputs!$B$6=2,Assumptions!$D$24,0))),IF(OR(Schedule_Inputs!$C$6="Monthly",Schedule_Inputs!$C$6="Periodic"),IF(AND(8&gt;=Schedule_Inputs!$B$6,MOD(8-Schedule_Inputs!$B$6,Schedule_Inputs!$E$6)=0,(8-Schedule_Inputs!$B$6)/Schedule_Inputs!$E$6&lt;Schedule_Inputs!$D$6),$C6/Schedule_Inputs!$D$6,0),0))))</f>
        <v>8850</v>
      </c>
      <c r="M6" s="31">
        <f>IF(Schedule_Inputs!$C$6="Blueprint",$C6*IF(9-Schedule_Inputs!$B$6=0,Assumptions!$B$21,IF(9-Schedule_Inputs!$B$6=1,Assumptions!$C$21,IF(9-Schedule_Inputs!$B$6=2,Assumptions!$D$21,0))),IF(Schedule_Inputs!$C$6="Launch",$C6*IF(9-Schedule_Inputs!$B$6=0,Assumptions!$B$22,IF(9-Schedule_Inputs!$B$6=1,Assumptions!$C$22,IF(9-Schedule_Inputs!$B$6=2,Assumptions!$D$22,IF(9-Schedule_Inputs!$B$6=3,Assumptions!$B$23,0)))),IF(Schedule_Inputs!$C$6="Office Setup",$C6*IF(9-Schedule_Inputs!$B$6=0,Assumptions!$B$24,IF(9-Schedule_Inputs!$B$6=1,Assumptions!$C$24,IF(9-Schedule_Inputs!$B$6=2,Assumptions!$D$24,0))),IF(OR(Schedule_Inputs!$C$6="Monthly",Schedule_Inputs!$C$6="Periodic"),IF(AND(9&gt;=Schedule_Inputs!$B$6,MOD(9-Schedule_Inputs!$B$6,Schedule_Inputs!$E$6)=0,(9-Schedule_Inputs!$B$6)/Schedule_Inputs!$E$6&lt;Schedule_Inputs!$D$6),$C6/Schedule_Inputs!$D$6,0),0))))</f>
        <v>8850</v>
      </c>
      <c r="N6" s="31">
        <f>IF(Schedule_Inputs!$C$6="Blueprint",$C6*IF(10-Schedule_Inputs!$B$6=0,Assumptions!$B$21,IF(10-Schedule_Inputs!$B$6=1,Assumptions!$C$21,IF(10-Schedule_Inputs!$B$6=2,Assumptions!$D$21,0))),IF(Schedule_Inputs!$C$6="Launch",$C6*IF(10-Schedule_Inputs!$B$6=0,Assumptions!$B$22,IF(10-Schedule_Inputs!$B$6=1,Assumptions!$C$22,IF(10-Schedule_Inputs!$B$6=2,Assumptions!$D$22,IF(10-Schedule_Inputs!$B$6=3,Assumptions!$B$23,0)))),IF(Schedule_Inputs!$C$6="Office Setup",$C6*IF(10-Schedule_Inputs!$B$6=0,Assumptions!$B$24,IF(10-Schedule_Inputs!$B$6=1,Assumptions!$C$24,IF(10-Schedule_Inputs!$B$6=2,Assumptions!$D$24,0))),IF(OR(Schedule_Inputs!$C$6="Monthly",Schedule_Inputs!$C$6="Periodic"),IF(AND(10&gt;=Schedule_Inputs!$B$6,MOD(10-Schedule_Inputs!$B$6,Schedule_Inputs!$E$6)=0,(10-Schedule_Inputs!$B$6)/Schedule_Inputs!$E$6&lt;Schedule_Inputs!$D$6),$C6/Schedule_Inputs!$D$6,0),0))))</f>
        <v>2950</v>
      </c>
      <c r="O6" s="31">
        <f>IF(Schedule_Inputs!$C$6="Blueprint",$C6*IF(11-Schedule_Inputs!$B$6=0,Assumptions!$B$21,IF(11-Schedule_Inputs!$B$6=1,Assumptions!$C$21,IF(11-Schedule_Inputs!$B$6=2,Assumptions!$D$21,0))),IF(Schedule_Inputs!$C$6="Launch",$C6*IF(11-Schedule_Inputs!$B$6=0,Assumptions!$B$22,IF(11-Schedule_Inputs!$B$6=1,Assumptions!$C$22,IF(11-Schedule_Inputs!$B$6=2,Assumptions!$D$22,IF(11-Schedule_Inputs!$B$6=3,Assumptions!$B$23,0)))),IF(Schedule_Inputs!$C$6="Office Setup",$C6*IF(11-Schedule_Inputs!$B$6=0,Assumptions!$B$24,IF(11-Schedule_Inputs!$B$6=1,Assumptions!$C$24,IF(11-Schedule_Inputs!$B$6=2,Assumptions!$D$24,0))),IF(OR(Schedule_Inputs!$C$6="Monthly",Schedule_Inputs!$C$6="Periodic"),IF(AND(11&gt;=Schedule_Inputs!$B$6,MOD(11-Schedule_Inputs!$B$6,Schedule_Inputs!$E$6)=0,(11-Schedule_Inputs!$B$6)/Schedule_Inputs!$E$6&lt;Schedule_Inputs!$D$6),$C6/Schedule_Inputs!$D$6,0),0))))</f>
        <v>0</v>
      </c>
      <c r="P6" s="31">
        <f>IF(Schedule_Inputs!$C$6="Blueprint",$C6*IF(12-Schedule_Inputs!$B$6=0,Assumptions!$B$21,IF(12-Schedule_Inputs!$B$6=1,Assumptions!$C$21,IF(12-Schedule_Inputs!$B$6=2,Assumptions!$D$21,0))),IF(Schedule_Inputs!$C$6="Launch",$C6*IF(12-Schedule_Inputs!$B$6=0,Assumptions!$B$22,IF(12-Schedule_Inputs!$B$6=1,Assumptions!$C$22,IF(12-Schedule_Inputs!$B$6=2,Assumptions!$D$22,IF(12-Schedule_Inputs!$B$6=3,Assumptions!$B$23,0)))),IF(Schedule_Inputs!$C$6="Office Setup",$C6*IF(12-Schedule_Inputs!$B$6=0,Assumptions!$B$24,IF(12-Schedule_Inputs!$B$6=1,Assumptions!$C$24,IF(12-Schedule_Inputs!$B$6=2,Assumptions!$D$24,0))),IF(OR(Schedule_Inputs!$C$6="Monthly",Schedule_Inputs!$C$6="Periodic"),IF(AND(12&gt;=Schedule_Inputs!$B$6,MOD(12-Schedule_Inputs!$B$6,Schedule_Inputs!$E$6)=0,(12-Schedule_Inputs!$B$6)/Schedule_Inputs!$E$6&lt;Schedule_Inputs!$D$6),$C6/Schedule_Inputs!$D$6,0),0))))</f>
        <v>0</v>
      </c>
      <c r="Q6" s="31">
        <f>IF(Schedule_Inputs!$C$6="Blueprint",$C6*IF(13-Schedule_Inputs!$B$6=0,Assumptions!$B$21,IF(13-Schedule_Inputs!$B$6=1,Assumptions!$C$21,IF(13-Schedule_Inputs!$B$6=2,Assumptions!$D$21,0))),IF(Schedule_Inputs!$C$6="Launch",$C6*IF(13-Schedule_Inputs!$B$6=0,Assumptions!$B$22,IF(13-Schedule_Inputs!$B$6=1,Assumptions!$C$22,IF(13-Schedule_Inputs!$B$6=2,Assumptions!$D$22,IF(13-Schedule_Inputs!$B$6=3,Assumptions!$B$23,0)))),IF(Schedule_Inputs!$C$6="Office Setup",$C6*IF(13-Schedule_Inputs!$B$6=0,Assumptions!$B$24,IF(13-Schedule_Inputs!$B$6=1,Assumptions!$C$24,IF(13-Schedule_Inputs!$B$6=2,Assumptions!$D$24,0))),IF(OR(Schedule_Inputs!$C$6="Monthly",Schedule_Inputs!$C$6="Periodic"),IF(AND(13&gt;=Schedule_Inputs!$B$6,MOD(13-Schedule_Inputs!$B$6,Schedule_Inputs!$E$6)=0,(13-Schedule_Inputs!$B$6)/Schedule_Inputs!$E$6&lt;Schedule_Inputs!$D$6),$C6/Schedule_Inputs!$D$6,0),0))))</f>
        <v>0</v>
      </c>
      <c r="R6" s="31">
        <f>IF(Schedule_Inputs!$C$6="Blueprint",$C6*IF(14-Schedule_Inputs!$B$6=0,Assumptions!$B$21,IF(14-Schedule_Inputs!$B$6=1,Assumptions!$C$21,IF(14-Schedule_Inputs!$B$6=2,Assumptions!$D$21,0))),IF(Schedule_Inputs!$C$6="Launch",$C6*IF(14-Schedule_Inputs!$B$6=0,Assumptions!$B$22,IF(14-Schedule_Inputs!$B$6=1,Assumptions!$C$22,IF(14-Schedule_Inputs!$B$6=2,Assumptions!$D$22,IF(14-Schedule_Inputs!$B$6=3,Assumptions!$B$23,0)))),IF(Schedule_Inputs!$C$6="Office Setup",$C6*IF(14-Schedule_Inputs!$B$6=0,Assumptions!$B$24,IF(14-Schedule_Inputs!$B$6=1,Assumptions!$C$24,IF(14-Schedule_Inputs!$B$6=2,Assumptions!$D$24,0))),IF(OR(Schedule_Inputs!$C$6="Monthly",Schedule_Inputs!$C$6="Periodic"),IF(AND(14&gt;=Schedule_Inputs!$B$6,MOD(14-Schedule_Inputs!$B$6,Schedule_Inputs!$E$6)=0,(14-Schedule_Inputs!$B$6)/Schedule_Inputs!$E$6&lt;Schedule_Inputs!$D$6),$C6/Schedule_Inputs!$D$6,0),0))))</f>
        <v>0</v>
      </c>
      <c r="S6" s="31">
        <f>IF(Schedule_Inputs!$C$6="Blueprint",$C6*IF(15-Schedule_Inputs!$B$6=0,Assumptions!$B$21,IF(15-Schedule_Inputs!$B$6=1,Assumptions!$C$21,IF(15-Schedule_Inputs!$B$6=2,Assumptions!$D$21,0))),IF(Schedule_Inputs!$C$6="Launch",$C6*IF(15-Schedule_Inputs!$B$6=0,Assumptions!$B$22,IF(15-Schedule_Inputs!$B$6=1,Assumptions!$C$22,IF(15-Schedule_Inputs!$B$6=2,Assumptions!$D$22,IF(15-Schedule_Inputs!$B$6=3,Assumptions!$B$23,0)))),IF(Schedule_Inputs!$C$6="Office Setup",$C6*IF(15-Schedule_Inputs!$B$6=0,Assumptions!$B$24,IF(15-Schedule_Inputs!$B$6=1,Assumptions!$C$24,IF(15-Schedule_Inputs!$B$6=2,Assumptions!$D$24,0))),IF(OR(Schedule_Inputs!$C$6="Monthly",Schedule_Inputs!$C$6="Periodic"),IF(AND(15&gt;=Schedule_Inputs!$B$6,MOD(15-Schedule_Inputs!$B$6,Schedule_Inputs!$E$6)=0,(15-Schedule_Inputs!$B$6)/Schedule_Inputs!$E$6&lt;Schedule_Inputs!$D$6),$C6/Schedule_Inputs!$D$6,0),0))))</f>
        <v>0</v>
      </c>
      <c r="T6" s="31">
        <f>IF(Schedule_Inputs!$C$6="Blueprint",$C6*IF(16-Schedule_Inputs!$B$6=0,Assumptions!$B$21,IF(16-Schedule_Inputs!$B$6=1,Assumptions!$C$21,IF(16-Schedule_Inputs!$B$6=2,Assumptions!$D$21,0))),IF(Schedule_Inputs!$C$6="Launch",$C6*IF(16-Schedule_Inputs!$B$6=0,Assumptions!$B$22,IF(16-Schedule_Inputs!$B$6=1,Assumptions!$C$22,IF(16-Schedule_Inputs!$B$6=2,Assumptions!$D$22,IF(16-Schedule_Inputs!$B$6=3,Assumptions!$B$23,0)))),IF(Schedule_Inputs!$C$6="Office Setup",$C6*IF(16-Schedule_Inputs!$B$6=0,Assumptions!$B$24,IF(16-Schedule_Inputs!$B$6=1,Assumptions!$C$24,IF(16-Schedule_Inputs!$B$6=2,Assumptions!$D$24,0))),IF(OR(Schedule_Inputs!$C$6="Monthly",Schedule_Inputs!$C$6="Periodic"),IF(AND(16&gt;=Schedule_Inputs!$B$6,MOD(16-Schedule_Inputs!$B$6,Schedule_Inputs!$E$6)=0,(16-Schedule_Inputs!$B$6)/Schedule_Inputs!$E$6&lt;Schedule_Inputs!$D$6),$C6/Schedule_Inputs!$D$6,0),0))))</f>
        <v>0</v>
      </c>
      <c r="U6" s="31">
        <f>IF(Schedule_Inputs!$C$6="Blueprint",$C6*IF(17-Schedule_Inputs!$B$6=0,Assumptions!$B$21,IF(17-Schedule_Inputs!$B$6=1,Assumptions!$C$21,IF(17-Schedule_Inputs!$B$6=2,Assumptions!$D$21,0))),IF(Schedule_Inputs!$C$6="Launch",$C6*IF(17-Schedule_Inputs!$B$6=0,Assumptions!$B$22,IF(17-Schedule_Inputs!$B$6=1,Assumptions!$C$22,IF(17-Schedule_Inputs!$B$6=2,Assumptions!$D$22,IF(17-Schedule_Inputs!$B$6=3,Assumptions!$B$23,0)))),IF(Schedule_Inputs!$C$6="Office Setup",$C6*IF(17-Schedule_Inputs!$B$6=0,Assumptions!$B$24,IF(17-Schedule_Inputs!$B$6=1,Assumptions!$C$24,IF(17-Schedule_Inputs!$B$6=2,Assumptions!$D$24,0))),IF(OR(Schedule_Inputs!$C$6="Monthly",Schedule_Inputs!$C$6="Periodic"),IF(AND(17&gt;=Schedule_Inputs!$B$6,MOD(17-Schedule_Inputs!$B$6,Schedule_Inputs!$E$6)=0,(17-Schedule_Inputs!$B$6)/Schedule_Inputs!$E$6&lt;Schedule_Inputs!$D$6),$C6/Schedule_Inputs!$D$6,0),0))))</f>
        <v>0</v>
      </c>
      <c r="V6" s="31">
        <f>IF(Schedule_Inputs!$C$6="Blueprint",$C6*IF(18-Schedule_Inputs!$B$6=0,Assumptions!$B$21,IF(18-Schedule_Inputs!$B$6=1,Assumptions!$C$21,IF(18-Schedule_Inputs!$B$6=2,Assumptions!$D$21,0))),IF(Schedule_Inputs!$C$6="Launch",$C6*IF(18-Schedule_Inputs!$B$6=0,Assumptions!$B$22,IF(18-Schedule_Inputs!$B$6=1,Assumptions!$C$22,IF(18-Schedule_Inputs!$B$6=2,Assumptions!$D$22,IF(18-Schedule_Inputs!$B$6=3,Assumptions!$B$23,0)))),IF(Schedule_Inputs!$C$6="Office Setup",$C6*IF(18-Schedule_Inputs!$B$6=0,Assumptions!$B$24,IF(18-Schedule_Inputs!$B$6=1,Assumptions!$C$24,IF(18-Schedule_Inputs!$B$6=2,Assumptions!$D$24,0))),IF(OR(Schedule_Inputs!$C$6="Monthly",Schedule_Inputs!$C$6="Periodic"),IF(AND(18&gt;=Schedule_Inputs!$B$6,MOD(18-Schedule_Inputs!$B$6,Schedule_Inputs!$E$6)=0,(18-Schedule_Inputs!$B$6)/Schedule_Inputs!$E$6&lt;Schedule_Inputs!$D$6),$C6/Schedule_Inputs!$D$6,0),0))))</f>
        <v>0</v>
      </c>
      <c r="W6" s="31">
        <f>IF(Schedule_Inputs!$C$6="Blueprint",$C6*IF(19-Schedule_Inputs!$B$6=0,Assumptions!$B$21,IF(19-Schedule_Inputs!$B$6=1,Assumptions!$C$21,IF(19-Schedule_Inputs!$B$6=2,Assumptions!$D$21,0))),IF(Schedule_Inputs!$C$6="Launch",$C6*IF(19-Schedule_Inputs!$B$6=0,Assumptions!$B$22,IF(19-Schedule_Inputs!$B$6=1,Assumptions!$C$22,IF(19-Schedule_Inputs!$B$6=2,Assumptions!$D$22,IF(19-Schedule_Inputs!$B$6=3,Assumptions!$B$23,0)))),IF(Schedule_Inputs!$C$6="Office Setup",$C6*IF(19-Schedule_Inputs!$B$6=0,Assumptions!$B$24,IF(19-Schedule_Inputs!$B$6=1,Assumptions!$C$24,IF(19-Schedule_Inputs!$B$6=2,Assumptions!$D$24,0))),IF(OR(Schedule_Inputs!$C$6="Monthly",Schedule_Inputs!$C$6="Periodic"),IF(AND(19&gt;=Schedule_Inputs!$B$6,MOD(19-Schedule_Inputs!$B$6,Schedule_Inputs!$E$6)=0,(19-Schedule_Inputs!$B$6)/Schedule_Inputs!$E$6&lt;Schedule_Inputs!$D$6),$C6/Schedule_Inputs!$D$6,0),0))))</f>
        <v>0</v>
      </c>
      <c r="X6" s="31">
        <f>IF(Schedule_Inputs!$C$6="Blueprint",$C6*IF(20-Schedule_Inputs!$B$6=0,Assumptions!$B$21,IF(20-Schedule_Inputs!$B$6=1,Assumptions!$C$21,IF(20-Schedule_Inputs!$B$6=2,Assumptions!$D$21,0))),IF(Schedule_Inputs!$C$6="Launch",$C6*IF(20-Schedule_Inputs!$B$6=0,Assumptions!$B$22,IF(20-Schedule_Inputs!$B$6=1,Assumptions!$C$22,IF(20-Schedule_Inputs!$B$6=2,Assumptions!$D$22,IF(20-Schedule_Inputs!$B$6=3,Assumptions!$B$23,0)))),IF(Schedule_Inputs!$C$6="Office Setup",$C6*IF(20-Schedule_Inputs!$B$6=0,Assumptions!$B$24,IF(20-Schedule_Inputs!$B$6=1,Assumptions!$C$24,IF(20-Schedule_Inputs!$B$6=2,Assumptions!$D$24,0))),IF(OR(Schedule_Inputs!$C$6="Monthly",Schedule_Inputs!$C$6="Periodic"),IF(AND(20&gt;=Schedule_Inputs!$B$6,MOD(20-Schedule_Inputs!$B$6,Schedule_Inputs!$E$6)=0,(20-Schedule_Inputs!$B$6)/Schedule_Inputs!$E$6&lt;Schedule_Inputs!$D$6),$C6/Schedule_Inputs!$D$6,0),0))))</f>
        <v>0</v>
      </c>
      <c r="Y6" s="31">
        <f>IF(Schedule_Inputs!$C$6="Blueprint",$C6*IF(21-Schedule_Inputs!$B$6=0,Assumptions!$B$21,IF(21-Schedule_Inputs!$B$6=1,Assumptions!$C$21,IF(21-Schedule_Inputs!$B$6=2,Assumptions!$D$21,0))),IF(Schedule_Inputs!$C$6="Launch",$C6*IF(21-Schedule_Inputs!$B$6=0,Assumptions!$B$22,IF(21-Schedule_Inputs!$B$6=1,Assumptions!$C$22,IF(21-Schedule_Inputs!$B$6=2,Assumptions!$D$22,IF(21-Schedule_Inputs!$B$6=3,Assumptions!$B$23,0)))),IF(Schedule_Inputs!$C$6="Office Setup",$C6*IF(21-Schedule_Inputs!$B$6=0,Assumptions!$B$24,IF(21-Schedule_Inputs!$B$6=1,Assumptions!$C$24,IF(21-Schedule_Inputs!$B$6=2,Assumptions!$D$24,0))),IF(OR(Schedule_Inputs!$C$6="Monthly",Schedule_Inputs!$C$6="Periodic"),IF(AND(21&gt;=Schedule_Inputs!$B$6,MOD(21-Schedule_Inputs!$B$6,Schedule_Inputs!$E$6)=0,(21-Schedule_Inputs!$B$6)/Schedule_Inputs!$E$6&lt;Schedule_Inputs!$D$6),$C6/Schedule_Inputs!$D$6,0),0))))</f>
        <v>0</v>
      </c>
      <c r="Z6" s="31">
        <f>IF(Schedule_Inputs!$C$6="Blueprint",$C6*IF(22-Schedule_Inputs!$B$6=0,Assumptions!$B$21,IF(22-Schedule_Inputs!$B$6=1,Assumptions!$C$21,IF(22-Schedule_Inputs!$B$6=2,Assumptions!$D$21,0))),IF(Schedule_Inputs!$C$6="Launch",$C6*IF(22-Schedule_Inputs!$B$6=0,Assumptions!$B$22,IF(22-Schedule_Inputs!$B$6=1,Assumptions!$C$22,IF(22-Schedule_Inputs!$B$6=2,Assumptions!$D$22,IF(22-Schedule_Inputs!$B$6=3,Assumptions!$B$23,0)))),IF(Schedule_Inputs!$C$6="Office Setup",$C6*IF(22-Schedule_Inputs!$B$6=0,Assumptions!$B$24,IF(22-Schedule_Inputs!$B$6=1,Assumptions!$C$24,IF(22-Schedule_Inputs!$B$6=2,Assumptions!$D$24,0))),IF(OR(Schedule_Inputs!$C$6="Monthly",Schedule_Inputs!$C$6="Periodic"),IF(AND(22&gt;=Schedule_Inputs!$B$6,MOD(22-Schedule_Inputs!$B$6,Schedule_Inputs!$E$6)=0,(22-Schedule_Inputs!$B$6)/Schedule_Inputs!$E$6&lt;Schedule_Inputs!$D$6),$C6/Schedule_Inputs!$D$6,0),0))))</f>
        <v>0</v>
      </c>
      <c r="AA6" s="31">
        <f>IF(Schedule_Inputs!$C$6="Blueprint",$C6*IF(23-Schedule_Inputs!$B$6=0,Assumptions!$B$21,IF(23-Schedule_Inputs!$B$6=1,Assumptions!$C$21,IF(23-Schedule_Inputs!$B$6=2,Assumptions!$D$21,0))),IF(Schedule_Inputs!$C$6="Launch",$C6*IF(23-Schedule_Inputs!$B$6=0,Assumptions!$B$22,IF(23-Schedule_Inputs!$B$6=1,Assumptions!$C$22,IF(23-Schedule_Inputs!$B$6=2,Assumptions!$D$22,IF(23-Schedule_Inputs!$B$6=3,Assumptions!$B$23,0)))),IF(Schedule_Inputs!$C$6="Office Setup",$C6*IF(23-Schedule_Inputs!$B$6=0,Assumptions!$B$24,IF(23-Schedule_Inputs!$B$6=1,Assumptions!$C$24,IF(23-Schedule_Inputs!$B$6=2,Assumptions!$D$24,0))),IF(OR(Schedule_Inputs!$C$6="Monthly",Schedule_Inputs!$C$6="Periodic"),IF(AND(23&gt;=Schedule_Inputs!$B$6,MOD(23-Schedule_Inputs!$B$6,Schedule_Inputs!$E$6)=0,(23-Schedule_Inputs!$B$6)/Schedule_Inputs!$E$6&lt;Schedule_Inputs!$D$6),$C6/Schedule_Inputs!$D$6,0),0))))</f>
        <v>0</v>
      </c>
      <c r="AB6" s="31">
        <f>IF(Schedule_Inputs!$C$6="Blueprint",$C6*IF(24-Schedule_Inputs!$B$6=0,Assumptions!$B$21,IF(24-Schedule_Inputs!$B$6=1,Assumptions!$C$21,IF(24-Schedule_Inputs!$B$6=2,Assumptions!$D$21,0))),IF(Schedule_Inputs!$C$6="Launch",$C6*IF(24-Schedule_Inputs!$B$6=0,Assumptions!$B$22,IF(24-Schedule_Inputs!$B$6=1,Assumptions!$C$22,IF(24-Schedule_Inputs!$B$6=2,Assumptions!$D$22,IF(24-Schedule_Inputs!$B$6=3,Assumptions!$B$23,0)))),IF(Schedule_Inputs!$C$6="Office Setup",$C6*IF(24-Schedule_Inputs!$B$6=0,Assumptions!$B$24,IF(24-Schedule_Inputs!$B$6=1,Assumptions!$C$24,IF(24-Schedule_Inputs!$B$6=2,Assumptions!$D$24,0))),IF(OR(Schedule_Inputs!$C$6="Monthly",Schedule_Inputs!$C$6="Periodic"),IF(AND(24&gt;=Schedule_Inputs!$B$6,MOD(24-Schedule_Inputs!$B$6,Schedule_Inputs!$E$6)=0,(24-Schedule_Inputs!$B$6)/Schedule_Inputs!$E$6&lt;Schedule_Inputs!$D$6),$C6/Schedule_Inputs!$D$6,0),0))))</f>
        <v>0</v>
      </c>
      <c r="AC6" s="31">
        <f>IF(Schedule_Inputs!$C$6="Blueprint",$C6*IF(25-Schedule_Inputs!$B$6=0,Assumptions!$B$21,IF(25-Schedule_Inputs!$B$6=1,Assumptions!$C$21,IF(25-Schedule_Inputs!$B$6=2,Assumptions!$D$21,0))),IF(Schedule_Inputs!$C$6="Launch",$C6*IF(25-Schedule_Inputs!$B$6=0,Assumptions!$B$22,IF(25-Schedule_Inputs!$B$6=1,Assumptions!$C$22,IF(25-Schedule_Inputs!$B$6=2,Assumptions!$D$22,IF(25-Schedule_Inputs!$B$6=3,Assumptions!$B$23,0)))),IF(Schedule_Inputs!$C$6="Office Setup",$C6*IF(25-Schedule_Inputs!$B$6=0,Assumptions!$B$24,IF(25-Schedule_Inputs!$B$6=1,Assumptions!$C$24,IF(25-Schedule_Inputs!$B$6=2,Assumptions!$D$24,0))),IF(OR(Schedule_Inputs!$C$6="Monthly",Schedule_Inputs!$C$6="Periodic"),IF(AND(25&gt;=Schedule_Inputs!$B$6,MOD(25-Schedule_Inputs!$B$6,Schedule_Inputs!$E$6)=0,(25-Schedule_Inputs!$B$6)/Schedule_Inputs!$E$6&lt;Schedule_Inputs!$D$6),$C6/Schedule_Inputs!$D$6,0),0))))</f>
        <v>0</v>
      </c>
      <c r="AD6" s="31">
        <f>IF(Schedule_Inputs!$C$6="Blueprint",$C6*IF(26-Schedule_Inputs!$B$6=0,Assumptions!$B$21,IF(26-Schedule_Inputs!$B$6=1,Assumptions!$C$21,IF(26-Schedule_Inputs!$B$6=2,Assumptions!$D$21,0))),IF(Schedule_Inputs!$C$6="Launch",$C6*IF(26-Schedule_Inputs!$B$6=0,Assumptions!$B$22,IF(26-Schedule_Inputs!$B$6=1,Assumptions!$C$22,IF(26-Schedule_Inputs!$B$6=2,Assumptions!$D$22,IF(26-Schedule_Inputs!$B$6=3,Assumptions!$B$23,0)))),IF(Schedule_Inputs!$C$6="Office Setup",$C6*IF(26-Schedule_Inputs!$B$6=0,Assumptions!$B$24,IF(26-Schedule_Inputs!$B$6=1,Assumptions!$C$24,IF(26-Schedule_Inputs!$B$6=2,Assumptions!$D$24,0))),IF(OR(Schedule_Inputs!$C$6="Monthly",Schedule_Inputs!$C$6="Periodic"),IF(AND(26&gt;=Schedule_Inputs!$B$6,MOD(26-Schedule_Inputs!$B$6,Schedule_Inputs!$E$6)=0,(26-Schedule_Inputs!$B$6)/Schedule_Inputs!$E$6&lt;Schedule_Inputs!$D$6),$C6/Schedule_Inputs!$D$6,0),0))))</f>
        <v>0</v>
      </c>
      <c r="AE6" s="31">
        <f>IF(Schedule_Inputs!$C$6="Blueprint",$C6*IF(27-Schedule_Inputs!$B$6=0,Assumptions!$B$21,IF(27-Schedule_Inputs!$B$6=1,Assumptions!$C$21,IF(27-Schedule_Inputs!$B$6=2,Assumptions!$D$21,0))),IF(Schedule_Inputs!$C$6="Launch",$C6*IF(27-Schedule_Inputs!$B$6=0,Assumptions!$B$22,IF(27-Schedule_Inputs!$B$6=1,Assumptions!$C$22,IF(27-Schedule_Inputs!$B$6=2,Assumptions!$D$22,IF(27-Schedule_Inputs!$B$6=3,Assumptions!$B$23,0)))),IF(Schedule_Inputs!$C$6="Office Setup",$C6*IF(27-Schedule_Inputs!$B$6=0,Assumptions!$B$24,IF(27-Schedule_Inputs!$B$6=1,Assumptions!$C$24,IF(27-Schedule_Inputs!$B$6=2,Assumptions!$D$24,0))),IF(OR(Schedule_Inputs!$C$6="Monthly",Schedule_Inputs!$C$6="Periodic"),IF(AND(27&gt;=Schedule_Inputs!$B$6,MOD(27-Schedule_Inputs!$B$6,Schedule_Inputs!$E$6)=0,(27-Schedule_Inputs!$B$6)/Schedule_Inputs!$E$6&lt;Schedule_Inputs!$D$6),$C6/Schedule_Inputs!$D$6,0),0))))</f>
        <v>0</v>
      </c>
      <c r="AF6" s="31">
        <f>IF(Schedule_Inputs!$C$6="Blueprint",$C6*IF(28-Schedule_Inputs!$B$6=0,Assumptions!$B$21,IF(28-Schedule_Inputs!$B$6=1,Assumptions!$C$21,IF(28-Schedule_Inputs!$B$6=2,Assumptions!$D$21,0))),IF(Schedule_Inputs!$C$6="Launch",$C6*IF(28-Schedule_Inputs!$B$6=0,Assumptions!$B$22,IF(28-Schedule_Inputs!$B$6=1,Assumptions!$C$22,IF(28-Schedule_Inputs!$B$6=2,Assumptions!$D$22,IF(28-Schedule_Inputs!$B$6=3,Assumptions!$B$23,0)))),IF(Schedule_Inputs!$C$6="Office Setup",$C6*IF(28-Schedule_Inputs!$B$6=0,Assumptions!$B$24,IF(28-Schedule_Inputs!$B$6=1,Assumptions!$C$24,IF(28-Schedule_Inputs!$B$6=2,Assumptions!$D$24,0))),IF(OR(Schedule_Inputs!$C$6="Monthly",Schedule_Inputs!$C$6="Periodic"),IF(AND(28&gt;=Schedule_Inputs!$B$6,MOD(28-Schedule_Inputs!$B$6,Schedule_Inputs!$E$6)=0,(28-Schedule_Inputs!$B$6)/Schedule_Inputs!$E$6&lt;Schedule_Inputs!$D$6),$C6/Schedule_Inputs!$D$6,0),0))))</f>
        <v>0</v>
      </c>
      <c r="AG6" s="31">
        <f>IF(Schedule_Inputs!$C$6="Blueprint",$C6*IF(29-Schedule_Inputs!$B$6=0,Assumptions!$B$21,IF(29-Schedule_Inputs!$B$6=1,Assumptions!$C$21,IF(29-Schedule_Inputs!$B$6=2,Assumptions!$D$21,0))),IF(Schedule_Inputs!$C$6="Launch",$C6*IF(29-Schedule_Inputs!$B$6=0,Assumptions!$B$22,IF(29-Schedule_Inputs!$B$6=1,Assumptions!$C$22,IF(29-Schedule_Inputs!$B$6=2,Assumptions!$D$22,IF(29-Schedule_Inputs!$B$6=3,Assumptions!$B$23,0)))),IF(Schedule_Inputs!$C$6="Office Setup",$C6*IF(29-Schedule_Inputs!$B$6=0,Assumptions!$B$24,IF(29-Schedule_Inputs!$B$6=1,Assumptions!$C$24,IF(29-Schedule_Inputs!$B$6=2,Assumptions!$D$24,0))),IF(OR(Schedule_Inputs!$C$6="Monthly",Schedule_Inputs!$C$6="Periodic"),IF(AND(29&gt;=Schedule_Inputs!$B$6,MOD(29-Schedule_Inputs!$B$6,Schedule_Inputs!$E$6)=0,(29-Schedule_Inputs!$B$6)/Schedule_Inputs!$E$6&lt;Schedule_Inputs!$D$6),$C6/Schedule_Inputs!$D$6,0),0))))</f>
        <v>0</v>
      </c>
      <c r="AH6" s="31">
        <f>IF(Schedule_Inputs!$C$6="Blueprint",$C6*IF(30-Schedule_Inputs!$B$6=0,Assumptions!$B$21,IF(30-Schedule_Inputs!$B$6=1,Assumptions!$C$21,IF(30-Schedule_Inputs!$B$6=2,Assumptions!$D$21,0))),IF(Schedule_Inputs!$C$6="Launch",$C6*IF(30-Schedule_Inputs!$B$6=0,Assumptions!$B$22,IF(30-Schedule_Inputs!$B$6=1,Assumptions!$C$22,IF(30-Schedule_Inputs!$B$6=2,Assumptions!$D$22,IF(30-Schedule_Inputs!$B$6=3,Assumptions!$B$23,0)))),IF(Schedule_Inputs!$C$6="Office Setup",$C6*IF(30-Schedule_Inputs!$B$6=0,Assumptions!$B$24,IF(30-Schedule_Inputs!$B$6=1,Assumptions!$C$24,IF(30-Schedule_Inputs!$B$6=2,Assumptions!$D$24,0))),IF(OR(Schedule_Inputs!$C$6="Monthly",Schedule_Inputs!$C$6="Periodic"),IF(AND(30&gt;=Schedule_Inputs!$B$6,MOD(30-Schedule_Inputs!$B$6,Schedule_Inputs!$E$6)=0,(30-Schedule_Inputs!$B$6)/Schedule_Inputs!$E$6&lt;Schedule_Inputs!$D$6),$C6/Schedule_Inputs!$D$6,0),0))))</f>
        <v>0</v>
      </c>
      <c r="AI6" s="31">
        <f>IF(Schedule_Inputs!$C$6="Blueprint",$C6*IF(31-Schedule_Inputs!$B$6=0,Assumptions!$B$21,IF(31-Schedule_Inputs!$B$6=1,Assumptions!$C$21,IF(31-Schedule_Inputs!$B$6=2,Assumptions!$D$21,0))),IF(Schedule_Inputs!$C$6="Launch",$C6*IF(31-Schedule_Inputs!$B$6=0,Assumptions!$B$22,IF(31-Schedule_Inputs!$B$6=1,Assumptions!$C$22,IF(31-Schedule_Inputs!$B$6=2,Assumptions!$D$22,IF(31-Schedule_Inputs!$B$6=3,Assumptions!$B$23,0)))),IF(Schedule_Inputs!$C$6="Office Setup",$C6*IF(31-Schedule_Inputs!$B$6=0,Assumptions!$B$24,IF(31-Schedule_Inputs!$B$6=1,Assumptions!$C$24,IF(31-Schedule_Inputs!$B$6=2,Assumptions!$D$24,0))),IF(OR(Schedule_Inputs!$C$6="Monthly",Schedule_Inputs!$C$6="Periodic"),IF(AND(31&gt;=Schedule_Inputs!$B$6,MOD(31-Schedule_Inputs!$B$6,Schedule_Inputs!$E$6)=0,(31-Schedule_Inputs!$B$6)/Schedule_Inputs!$E$6&lt;Schedule_Inputs!$D$6),$C6/Schedule_Inputs!$D$6,0),0))))</f>
        <v>0</v>
      </c>
      <c r="AJ6" s="31">
        <f>IF(Schedule_Inputs!$C$6="Blueprint",$C6*IF(32-Schedule_Inputs!$B$6=0,Assumptions!$B$21,IF(32-Schedule_Inputs!$B$6=1,Assumptions!$C$21,IF(32-Schedule_Inputs!$B$6=2,Assumptions!$D$21,0))),IF(Schedule_Inputs!$C$6="Launch",$C6*IF(32-Schedule_Inputs!$B$6=0,Assumptions!$B$22,IF(32-Schedule_Inputs!$B$6=1,Assumptions!$C$22,IF(32-Schedule_Inputs!$B$6=2,Assumptions!$D$22,IF(32-Schedule_Inputs!$B$6=3,Assumptions!$B$23,0)))),IF(Schedule_Inputs!$C$6="Office Setup",$C6*IF(32-Schedule_Inputs!$B$6=0,Assumptions!$B$24,IF(32-Schedule_Inputs!$B$6=1,Assumptions!$C$24,IF(32-Schedule_Inputs!$B$6=2,Assumptions!$D$24,0))),IF(OR(Schedule_Inputs!$C$6="Monthly",Schedule_Inputs!$C$6="Periodic"),IF(AND(32&gt;=Schedule_Inputs!$B$6,MOD(32-Schedule_Inputs!$B$6,Schedule_Inputs!$E$6)=0,(32-Schedule_Inputs!$B$6)/Schedule_Inputs!$E$6&lt;Schedule_Inputs!$D$6),$C6/Schedule_Inputs!$D$6,0),0))))</f>
        <v>0</v>
      </c>
      <c r="AK6" s="31">
        <f>IF(Schedule_Inputs!$C$6="Blueprint",$C6*IF(33-Schedule_Inputs!$B$6=0,Assumptions!$B$21,IF(33-Schedule_Inputs!$B$6=1,Assumptions!$C$21,IF(33-Schedule_Inputs!$B$6=2,Assumptions!$D$21,0))),IF(Schedule_Inputs!$C$6="Launch",$C6*IF(33-Schedule_Inputs!$B$6=0,Assumptions!$B$22,IF(33-Schedule_Inputs!$B$6=1,Assumptions!$C$22,IF(33-Schedule_Inputs!$B$6=2,Assumptions!$D$22,IF(33-Schedule_Inputs!$B$6=3,Assumptions!$B$23,0)))),IF(Schedule_Inputs!$C$6="Office Setup",$C6*IF(33-Schedule_Inputs!$B$6=0,Assumptions!$B$24,IF(33-Schedule_Inputs!$B$6=1,Assumptions!$C$24,IF(33-Schedule_Inputs!$B$6=2,Assumptions!$D$24,0))),IF(OR(Schedule_Inputs!$C$6="Monthly",Schedule_Inputs!$C$6="Periodic"),IF(AND(33&gt;=Schedule_Inputs!$B$6,MOD(33-Schedule_Inputs!$B$6,Schedule_Inputs!$E$6)=0,(33-Schedule_Inputs!$B$6)/Schedule_Inputs!$E$6&lt;Schedule_Inputs!$D$6),$C6/Schedule_Inputs!$D$6,0),0))))</f>
        <v>0</v>
      </c>
      <c r="AL6" s="31">
        <f>IF(Schedule_Inputs!$C$6="Blueprint",$C6*IF(34-Schedule_Inputs!$B$6=0,Assumptions!$B$21,IF(34-Schedule_Inputs!$B$6=1,Assumptions!$C$21,IF(34-Schedule_Inputs!$B$6=2,Assumptions!$D$21,0))),IF(Schedule_Inputs!$C$6="Launch",$C6*IF(34-Schedule_Inputs!$B$6=0,Assumptions!$B$22,IF(34-Schedule_Inputs!$B$6=1,Assumptions!$C$22,IF(34-Schedule_Inputs!$B$6=2,Assumptions!$D$22,IF(34-Schedule_Inputs!$B$6=3,Assumptions!$B$23,0)))),IF(Schedule_Inputs!$C$6="Office Setup",$C6*IF(34-Schedule_Inputs!$B$6=0,Assumptions!$B$24,IF(34-Schedule_Inputs!$B$6=1,Assumptions!$C$24,IF(34-Schedule_Inputs!$B$6=2,Assumptions!$D$24,0))),IF(OR(Schedule_Inputs!$C$6="Monthly",Schedule_Inputs!$C$6="Periodic"),IF(AND(34&gt;=Schedule_Inputs!$B$6,MOD(34-Schedule_Inputs!$B$6,Schedule_Inputs!$E$6)=0,(34-Schedule_Inputs!$B$6)/Schedule_Inputs!$E$6&lt;Schedule_Inputs!$D$6),$C6/Schedule_Inputs!$D$6,0),0))))</f>
        <v>0</v>
      </c>
      <c r="AM6" s="31">
        <f>IF(Schedule_Inputs!$C$6="Blueprint",$C6*IF(35-Schedule_Inputs!$B$6=0,Assumptions!$B$21,IF(35-Schedule_Inputs!$B$6=1,Assumptions!$C$21,IF(35-Schedule_Inputs!$B$6=2,Assumptions!$D$21,0))),IF(Schedule_Inputs!$C$6="Launch",$C6*IF(35-Schedule_Inputs!$B$6=0,Assumptions!$B$22,IF(35-Schedule_Inputs!$B$6=1,Assumptions!$C$22,IF(35-Schedule_Inputs!$B$6=2,Assumptions!$D$22,IF(35-Schedule_Inputs!$B$6=3,Assumptions!$B$23,0)))),IF(Schedule_Inputs!$C$6="Office Setup",$C6*IF(35-Schedule_Inputs!$B$6=0,Assumptions!$B$24,IF(35-Schedule_Inputs!$B$6=1,Assumptions!$C$24,IF(35-Schedule_Inputs!$B$6=2,Assumptions!$D$24,0))),IF(OR(Schedule_Inputs!$C$6="Monthly",Schedule_Inputs!$C$6="Periodic"),IF(AND(35&gt;=Schedule_Inputs!$B$6,MOD(35-Schedule_Inputs!$B$6,Schedule_Inputs!$E$6)=0,(35-Schedule_Inputs!$B$6)/Schedule_Inputs!$E$6&lt;Schedule_Inputs!$D$6),$C6/Schedule_Inputs!$D$6,0),0))))</f>
        <v>0</v>
      </c>
      <c r="AN6" s="31">
        <f>IF(Schedule_Inputs!$C$6="Blueprint",$C6*IF(36-Schedule_Inputs!$B$6=0,Assumptions!$B$21,IF(36-Schedule_Inputs!$B$6=1,Assumptions!$C$21,IF(36-Schedule_Inputs!$B$6=2,Assumptions!$D$21,0))),IF(Schedule_Inputs!$C$6="Launch",$C6*IF(36-Schedule_Inputs!$B$6=0,Assumptions!$B$22,IF(36-Schedule_Inputs!$B$6=1,Assumptions!$C$22,IF(36-Schedule_Inputs!$B$6=2,Assumptions!$D$22,IF(36-Schedule_Inputs!$B$6=3,Assumptions!$B$23,0)))),IF(Schedule_Inputs!$C$6="Office Setup",$C6*IF(36-Schedule_Inputs!$B$6=0,Assumptions!$B$24,IF(36-Schedule_Inputs!$B$6=1,Assumptions!$C$24,IF(36-Schedule_Inputs!$B$6=2,Assumptions!$D$24,0))),IF(OR(Schedule_Inputs!$C$6="Monthly",Schedule_Inputs!$C$6="Periodic"),IF(AND(36&gt;=Schedule_Inputs!$B$6,MOD(36-Schedule_Inputs!$B$6,Schedule_Inputs!$E$6)=0,(36-Schedule_Inputs!$B$6)/Schedule_Inputs!$E$6&lt;Schedule_Inputs!$D$6),$C6/Schedule_Inputs!$D$6,0),0))))</f>
        <v>0</v>
      </c>
    </row>
    <row r="7" spans="1:40">
      <c r="A7" s="29" t="s">
        <v>234</v>
      </c>
      <c r="B7" s="29">
        <v>1</v>
      </c>
      <c r="C7" s="30">
        <v>15000</v>
      </c>
      <c r="D7" s="31" t="s">
        <v>235</v>
      </c>
      <c r="E7" s="31">
        <f>IF(Schedule_Inputs!$C$7="Blueprint",$C7*IF(1-Schedule_Inputs!$B$7=0,Assumptions!$B$21,IF(1-Schedule_Inputs!$B$7=1,Assumptions!$C$21,IF(1-Schedule_Inputs!$B$7=2,Assumptions!$D$21,0))),IF(Schedule_Inputs!$C$7="Launch",$C7*IF(1-Schedule_Inputs!$B$7=0,Assumptions!$B$22,IF(1-Schedule_Inputs!$B$7=1,Assumptions!$C$22,IF(1-Schedule_Inputs!$B$7=2,Assumptions!$D$22,IF(1-Schedule_Inputs!$B$7=3,Assumptions!$B$23,0)))),IF(Schedule_Inputs!$C$7="Office Setup",$C7*IF(1-Schedule_Inputs!$B$7=0,Assumptions!$B$24,IF(1-Schedule_Inputs!$B$7=1,Assumptions!$C$24,IF(1-Schedule_Inputs!$B$7=2,Assumptions!$D$24,0))),IF(OR(Schedule_Inputs!$C$7="Monthly",Schedule_Inputs!$C$7="Periodic"),IF(AND(1&gt;=Schedule_Inputs!$B$7,MOD(1-Schedule_Inputs!$B$7,Schedule_Inputs!$E$7)=0,(1-Schedule_Inputs!$B$7)/Schedule_Inputs!$E$7&lt;Schedule_Inputs!$D$7),$C7/Schedule_Inputs!$D$7,0),0))))</f>
        <v>0</v>
      </c>
      <c r="F7" s="31">
        <f>IF(Schedule_Inputs!$C$7="Blueprint",$C7*IF(2-Schedule_Inputs!$B$7=0,Assumptions!$B$21,IF(2-Schedule_Inputs!$B$7=1,Assumptions!$C$21,IF(2-Schedule_Inputs!$B$7=2,Assumptions!$D$21,0))),IF(Schedule_Inputs!$C$7="Launch",$C7*IF(2-Schedule_Inputs!$B$7=0,Assumptions!$B$22,IF(2-Schedule_Inputs!$B$7=1,Assumptions!$C$22,IF(2-Schedule_Inputs!$B$7=2,Assumptions!$D$22,IF(2-Schedule_Inputs!$B$7=3,Assumptions!$B$23,0)))),IF(Schedule_Inputs!$C$7="Office Setup",$C7*IF(2-Schedule_Inputs!$B$7=0,Assumptions!$B$24,IF(2-Schedule_Inputs!$B$7=1,Assumptions!$C$24,IF(2-Schedule_Inputs!$B$7=2,Assumptions!$D$24,0))),IF(OR(Schedule_Inputs!$C$7="Monthly",Schedule_Inputs!$C$7="Periodic"),IF(AND(2&gt;=Schedule_Inputs!$B$7,MOD(2-Schedule_Inputs!$B$7,Schedule_Inputs!$E$7)=0,(2-Schedule_Inputs!$B$7)/Schedule_Inputs!$E$7&lt;Schedule_Inputs!$D$7),$C7/Schedule_Inputs!$D$7,0),0))))</f>
        <v>0</v>
      </c>
      <c r="G7" s="31">
        <f>IF(Schedule_Inputs!$C$7="Blueprint",$C7*IF(3-Schedule_Inputs!$B$7=0,Assumptions!$B$21,IF(3-Schedule_Inputs!$B$7=1,Assumptions!$C$21,IF(3-Schedule_Inputs!$B$7=2,Assumptions!$D$21,0))),IF(Schedule_Inputs!$C$7="Launch",$C7*IF(3-Schedule_Inputs!$B$7=0,Assumptions!$B$22,IF(3-Schedule_Inputs!$B$7=1,Assumptions!$C$22,IF(3-Schedule_Inputs!$B$7=2,Assumptions!$D$22,IF(3-Schedule_Inputs!$B$7=3,Assumptions!$B$23,0)))),IF(Schedule_Inputs!$C$7="Office Setup",$C7*IF(3-Schedule_Inputs!$B$7=0,Assumptions!$B$24,IF(3-Schedule_Inputs!$B$7=1,Assumptions!$C$24,IF(3-Schedule_Inputs!$B$7=2,Assumptions!$D$24,0))),IF(OR(Schedule_Inputs!$C$7="Monthly",Schedule_Inputs!$C$7="Periodic"),IF(AND(3&gt;=Schedule_Inputs!$B$7,MOD(3-Schedule_Inputs!$B$7,Schedule_Inputs!$E$7)=0,(3-Schedule_Inputs!$B$7)/Schedule_Inputs!$E$7&lt;Schedule_Inputs!$D$7),$C7/Schedule_Inputs!$D$7,0),0))))</f>
        <v>0</v>
      </c>
      <c r="H7" s="31">
        <f>IF(Schedule_Inputs!$C$7="Blueprint",$C7*IF(4-Schedule_Inputs!$B$7=0,Assumptions!$B$21,IF(4-Schedule_Inputs!$B$7=1,Assumptions!$C$21,IF(4-Schedule_Inputs!$B$7=2,Assumptions!$D$21,0))),IF(Schedule_Inputs!$C$7="Launch",$C7*IF(4-Schedule_Inputs!$B$7=0,Assumptions!$B$22,IF(4-Schedule_Inputs!$B$7=1,Assumptions!$C$22,IF(4-Schedule_Inputs!$B$7=2,Assumptions!$D$22,IF(4-Schedule_Inputs!$B$7=3,Assumptions!$B$23,0)))),IF(Schedule_Inputs!$C$7="Office Setup",$C7*IF(4-Schedule_Inputs!$B$7=0,Assumptions!$B$24,IF(4-Schedule_Inputs!$B$7=1,Assumptions!$C$24,IF(4-Schedule_Inputs!$B$7=2,Assumptions!$D$24,0))),IF(OR(Schedule_Inputs!$C$7="Monthly",Schedule_Inputs!$C$7="Periodic"),IF(AND(4&gt;=Schedule_Inputs!$B$7,MOD(4-Schedule_Inputs!$B$7,Schedule_Inputs!$E$7)=0,(4-Schedule_Inputs!$B$7)/Schedule_Inputs!$E$7&lt;Schedule_Inputs!$D$7),$C7/Schedule_Inputs!$D$7,0),0))))</f>
        <v>0</v>
      </c>
      <c r="I7" s="31">
        <f>IF(Schedule_Inputs!$C$7="Blueprint",$C7*IF(5-Schedule_Inputs!$B$7=0,Assumptions!$B$21,IF(5-Schedule_Inputs!$B$7=1,Assumptions!$C$21,IF(5-Schedule_Inputs!$B$7=2,Assumptions!$D$21,0))),IF(Schedule_Inputs!$C$7="Launch",$C7*IF(5-Schedule_Inputs!$B$7=0,Assumptions!$B$22,IF(5-Schedule_Inputs!$B$7=1,Assumptions!$C$22,IF(5-Schedule_Inputs!$B$7=2,Assumptions!$D$22,IF(5-Schedule_Inputs!$B$7=3,Assumptions!$B$23,0)))),IF(Schedule_Inputs!$C$7="Office Setup",$C7*IF(5-Schedule_Inputs!$B$7=0,Assumptions!$B$24,IF(5-Schedule_Inputs!$B$7=1,Assumptions!$C$24,IF(5-Schedule_Inputs!$B$7=2,Assumptions!$D$24,0))),IF(OR(Schedule_Inputs!$C$7="Monthly",Schedule_Inputs!$C$7="Periodic"),IF(AND(5&gt;=Schedule_Inputs!$B$7,MOD(5-Schedule_Inputs!$B$7,Schedule_Inputs!$E$7)=0,(5-Schedule_Inputs!$B$7)/Schedule_Inputs!$E$7&lt;Schedule_Inputs!$D$7),$C7/Schedule_Inputs!$D$7,0),0))))</f>
        <v>0</v>
      </c>
      <c r="J7" s="31">
        <f>IF(Schedule_Inputs!$C$7="Blueprint",$C7*IF(6-Schedule_Inputs!$B$7=0,Assumptions!$B$21,IF(6-Schedule_Inputs!$B$7=1,Assumptions!$C$21,IF(6-Schedule_Inputs!$B$7=2,Assumptions!$D$21,0))),IF(Schedule_Inputs!$C$7="Launch",$C7*IF(6-Schedule_Inputs!$B$7=0,Assumptions!$B$22,IF(6-Schedule_Inputs!$B$7=1,Assumptions!$C$22,IF(6-Schedule_Inputs!$B$7=2,Assumptions!$D$22,IF(6-Schedule_Inputs!$B$7=3,Assumptions!$B$23,0)))),IF(Schedule_Inputs!$C$7="Office Setup",$C7*IF(6-Schedule_Inputs!$B$7=0,Assumptions!$B$24,IF(6-Schedule_Inputs!$B$7=1,Assumptions!$C$24,IF(6-Schedule_Inputs!$B$7=2,Assumptions!$D$24,0))),IF(OR(Schedule_Inputs!$C$7="Monthly",Schedule_Inputs!$C$7="Periodic"),IF(AND(6&gt;=Schedule_Inputs!$B$7,MOD(6-Schedule_Inputs!$B$7,Schedule_Inputs!$E$7)=0,(6-Schedule_Inputs!$B$7)/Schedule_Inputs!$E$7&lt;Schedule_Inputs!$D$7),$C7/Schedule_Inputs!$D$7,0),0))))</f>
        <v>0</v>
      </c>
      <c r="K7" s="31">
        <f>IF(Schedule_Inputs!$C$7="Blueprint",$C7*IF(7-Schedule_Inputs!$B$7=0,Assumptions!$B$21,IF(7-Schedule_Inputs!$B$7=1,Assumptions!$C$21,IF(7-Schedule_Inputs!$B$7=2,Assumptions!$D$21,0))),IF(Schedule_Inputs!$C$7="Launch",$C7*IF(7-Schedule_Inputs!$B$7=0,Assumptions!$B$22,IF(7-Schedule_Inputs!$B$7=1,Assumptions!$C$22,IF(7-Schedule_Inputs!$B$7=2,Assumptions!$D$22,IF(7-Schedule_Inputs!$B$7=3,Assumptions!$B$23,0)))),IF(Schedule_Inputs!$C$7="Office Setup",$C7*IF(7-Schedule_Inputs!$B$7=0,Assumptions!$B$24,IF(7-Schedule_Inputs!$B$7=1,Assumptions!$C$24,IF(7-Schedule_Inputs!$B$7=2,Assumptions!$D$24,0))),IF(OR(Schedule_Inputs!$C$7="Monthly",Schedule_Inputs!$C$7="Periodic"),IF(AND(7&gt;=Schedule_Inputs!$B$7,MOD(7-Schedule_Inputs!$B$7,Schedule_Inputs!$E$7)=0,(7-Schedule_Inputs!$B$7)/Schedule_Inputs!$E$7&lt;Schedule_Inputs!$D$7),$C7/Schedule_Inputs!$D$7,0),0))))</f>
        <v>0</v>
      </c>
      <c r="L7" s="31">
        <f>IF(Schedule_Inputs!$C$7="Blueprint",$C7*IF(8-Schedule_Inputs!$B$7=0,Assumptions!$B$21,IF(8-Schedule_Inputs!$B$7=1,Assumptions!$C$21,IF(8-Schedule_Inputs!$B$7=2,Assumptions!$D$21,0))),IF(Schedule_Inputs!$C$7="Launch",$C7*IF(8-Schedule_Inputs!$B$7=0,Assumptions!$B$22,IF(8-Schedule_Inputs!$B$7=1,Assumptions!$C$22,IF(8-Schedule_Inputs!$B$7=2,Assumptions!$D$22,IF(8-Schedule_Inputs!$B$7=3,Assumptions!$B$23,0)))),IF(Schedule_Inputs!$C$7="Office Setup",$C7*IF(8-Schedule_Inputs!$B$7=0,Assumptions!$B$24,IF(8-Schedule_Inputs!$B$7=1,Assumptions!$C$24,IF(8-Schedule_Inputs!$B$7=2,Assumptions!$D$24,0))),IF(OR(Schedule_Inputs!$C$7="Monthly",Schedule_Inputs!$C$7="Periodic"),IF(AND(8&gt;=Schedule_Inputs!$B$7,MOD(8-Schedule_Inputs!$B$7,Schedule_Inputs!$E$7)=0,(8-Schedule_Inputs!$B$7)/Schedule_Inputs!$E$7&lt;Schedule_Inputs!$D$7),$C7/Schedule_Inputs!$D$7,0),0))))</f>
        <v>0</v>
      </c>
      <c r="M7" s="31">
        <f>IF(Schedule_Inputs!$C$7="Blueprint",$C7*IF(9-Schedule_Inputs!$B$7=0,Assumptions!$B$21,IF(9-Schedule_Inputs!$B$7=1,Assumptions!$C$21,IF(9-Schedule_Inputs!$B$7=2,Assumptions!$D$21,0))),IF(Schedule_Inputs!$C$7="Launch",$C7*IF(9-Schedule_Inputs!$B$7=0,Assumptions!$B$22,IF(9-Schedule_Inputs!$B$7=1,Assumptions!$C$22,IF(9-Schedule_Inputs!$B$7=2,Assumptions!$D$22,IF(9-Schedule_Inputs!$B$7=3,Assumptions!$B$23,0)))),IF(Schedule_Inputs!$C$7="Office Setup",$C7*IF(9-Schedule_Inputs!$B$7=0,Assumptions!$B$24,IF(9-Schedule_Inputs!$B$7=1,Assumptions!$C$24,IF(9-Schedule_Inputs!$B$7=2,Assumptions!$D$24,0))),IF(OR(Schedule_Inputs!$C$7="Monthly",Schedule_Inputs!$C$7="Periodic"),IF(AND(9&gt;=Schedule_Inputs!$B$7,MOD(9-Schedule_Inputs!$B$7,Schedule_Inputs!$E$7)=0,(9-Schedule_Inputs!$B$7)/Schedule_Inputs!$E$7&lt;Schedule_Inputs!$D$7),$C7/Schedule_Inputs!$D$7,0),0))))</f>
        <v>0</v>
      </c>
      <c r="N7" s="31">
        <f>IF(Schedule_Inputs!$C$7="Blueprint",$C7*IF(10-Schedule_Inputs!$B$7=0,Assumptions!$B$21,IF(10-Schedule_Inputs!$B$7=1,Assumptions!$C$21,IF(10-Schedule_Inputs!$B$7=2,Assumptions!$D$21,0))),IF(Schedule_Inputs!$C$7="Launch",$C7*IF(10-Schedule_Inputs!$B$7=0,Assumptions!$B$22,IF(10-Schedule_Inputs!$B$7=1,Assumptions!$C$22,IF(10-Schedule_Inputs!$B$7=2,Assumptions!$D$22,IF(10-Schedule_Inputs!$B$7=3,Assumptions!$B$23,0)))),IF(Schedule_Inputs!$C$7="Office Setup",$C7*IF(10-Schedule_Inputs!$B$7=0,Assumptions!$B$24,IF(10-Schedule_Inputs!$B$7=1,Assumptions!$C$24,IF(10-Schedule_Inputs!$B$7=2,Assumptions!$D$24,0))),IF(OR(Schedule_Inputs!$C$7="Monthly",Schedule_Inputs!$C$7="Periodic"),IF(AND(10&gt;=Schedule_Inputs!$B$7,MOD(10-Schedule_Inputs!$B$7,Schedule_Inputs!$E$7)=0,(10-Schedule_Inputs!$B$7)/Schedule_Inputs!$E$7&lt;Schedule_Inputs!$D$7),$C7/Schedule_Inputs!$D$7,0),0))))</f>
        <v>7500</v>
      </c>
      <c r="O7" s="31">
        <f>IF(Schedule_Inputs!$C$7="Blueprint",$C7*IF(11-Schedule_Inputs!$B$7=0,Assumptions!$B$21,IF(11-Schedule_Inputs!$B$7=1,Assumptions!$C$21,IF(11-Schedule_Inputs!$B$7=2,Assumptions!$D$21,0))),IF(Schedule_Inputs!$C$7="Launch",$C7*IF(11-Schedule_Inputs!$B$7=0,Assumptions!$B$22,IF(11-Schedule_Inputs!$B$7=1,Assumptions!$C$22,IF(11-Schedule_Inputs!$B$7=2,Assumptions!$D$22,IF(11-Schedule_Inputs!$B$7=3,Assumptions!$B$23,0)))),IF(Schedule_Inputs!$C$7="Office Setup",$C7*IF(11-Schedule_Inputs!$B$7=0,Assumptions!$B$24,IF(11-Schedule_Inputs!$B$7=1,Assumptions!$C$24,IF(11-Schedule_Inputs!$B$7=2,Assumptions!$D$24,0))),IF(OR(Schedule_Inputs!$C$7="Monthly",Schedule_Inputs!$C$7="Periodic"),IF(AND(11&gt;=Schedule_Inputs!$B$7,MOD(11-Schedule_Inputs!$B$7,Schedule_Inputs!$E$7)=0,(11-Schedule_Inputs!$B$7)/Schedule_Inputs!$E$7&lt;Schedule_Inputs!$D$7),$C7/Schedule_Inputs!$D$7,0),0))))</f>
        <v>4500</v>
      </c>
      <c r="P7" s="31">
        <f>IF(Schedule_Inputs!$C$7="Blueprint",$C7*IF(12-Schedule_Inputs!$B$7=0,Assumptions!$B$21,IF(12-Schedule_Inputs!$B$7=1,Assumptions!$C$21,IF(12-Schedule_Inputs!$B$7=2,Assumptions!$D$21,0))),IF(Schedule_Inputs!$C$7="Launch",$C7*IF(12-Schedule_Inputs!$B$7=0,Assumptions!$B$22,IF(12-Schedule_Inputs!$B$7=1,Assumptions!$C$22,IF(12-Schedule_Inputs!$B$7=2,Assumptions!$D$22,IF(12-Schedule_Inputs!$B$7=3,Assumptions!$B$23,0)))),IF(Schedule_Inputs!$C$7="Office Setup",$C7*IF(12-Schedule_Inputs!$B$7=0,Assumptions!$B$24,IF(12-Schedule_Inputs!$B$7=1,Assumptions!$C$24,IF(12-Schedule_Inputs!$B$7=2,Assumptions!$D$24,0))),IF(OR(Schedule_Inputs!$C$7="Monthly",Schedule_Inputs!$C$7="Periodic"),IF(AND(12&gt;=Schedule_Inputs!$B$7,MOD(12-Schedule_Inputs!$B$7,Schedule_Inputs!$E$7)=0,(12-Schedule_Inputs!$B$7)/Schedule_Inputs!$E$7&lt;Schedule_Inputs!$D$7),$C7/Schedule_Inputs!$D$7,0),0))))</f>
        <v>3000</v>
      </c>
      <c r="Q7" s="31">
        <f>IF(Schedule_Inputs!$C$7="Blueprint",$C7*IF(13-Schedule_Inputs!$B$7=0,Assumptions!$B$21,IF(13-Schedule_Inputs!$B$7=1,Assumptions!$C$21,IF(13-Schedule_Inputs!$B$7=2,Assumptions!$D$21,0))),IF(Schedule_Inputs!$C$7="Launch",$C7*IF(13-Schedule_Inputs!$B$7=0,Assumptions!$B$22,IF(13-Schedule_Inputs!$B$7=1,Assumptions!$C$22,IF(13-Schedule_Inputs!$B$7=2,Assumptions!$D$22,IF(13-Schedule_Inputs!$B$7=3,Assumptions!$B$23,0)))),IF(Schedule_Inputs!$C$7="Office Setup",$C7*IF(13-Schedule_Inputs!$B$7=0,Assumptions!$B$24,IF(13-Schedule_Inputs!$B$7=1,Assumptions!$C$24,IF(13-Schedule_Inputs!$B$7=2,Assumptions!$D$24,0))),IF(OR(Schedule_Inputs!$C$7="Monthly",Schedule_Inputs!$C$7="Periodic"),IF(AND(13&gt;=Schedule_Inputs!$B$7,MOD(13-Schedule_Inputs!$B$7,Schedule_Inputs!$E$7)=0,(13-Schedule_Inputs!$B$7)/Schedule_Inputs!$E$7&lt;Schedule_Inputs!$D$7),$C7/Schedule_Inputs!$D$7,0),0))))</f>
        <v>0</v>
      </c>
      <c r="R7" s="31">
        <f>IF(Schedule_Inputs!$C$7="Blueprint",$C7*IF(14-Schedule_Inputs!$B$7=0,Assumptions!$B$21,IF(14-Schedule_Inputs!$B$7=1,Assumptions!$C$21,IF(14-Schedule_Inputs!$B$7=2,Assumptions!$D$21,0))),IF(Schedule_Inputs!$C$7="Launch",$C7*IF(14-Schedule_Inputs!$B$7=0,Assumptions!$B$22,IF(14-Schedule_Inputs!$B$7=1,Assumptions!$C$22,IF(14-Schedule_Inputs!$B$7=2,Assumptions!$D$22,IF(14-Schedule_Inputs!$B$7=3,Assumptions!$B$23,0)))),IF(Schedule_Inputs!$C$7="Office Setup",$C7*IF(14-Schedule_Inputs!$B$7=0,Assumptions!$B$24,IF(14-Schedule_Inputs!$B$7=1,Assumptions!$C$24,IF(14-Schedule_Inputs!$B$7=2,Assumptions!$D$24,0))),IF(OR(Schedule_Inputs!$C$7="Monthly",Schedule_Inputs!$C$7="Periodic"),IF(AND(14&gt;=Schedule_Inputs!$B$7,MOD(14-Schedule_Inputs!$B$7,Schedule_Inputs!$E$7)=0,(14-Schedule_Inputs!$B$7)/Schedule_Inputs!$E$7&lt;Schedule_Inputs!$D$7),$C7/Schedule_Inputs!$D$7,0),0))))</f>
        <v>0</v>
      </c>
      <c r="S7" s="31">
        <f>IF(Schedule_Inputs!$C$7="Blueprint",$C7*IF(15-Schedule_Inputs!$B$7=0,Assumptions!$B$21,IF(15-Schedule_Inputs!$B$7=1,Assumptions!$C$21,IF(15-Schedule_Inputs!$B$7=2,Assumptions!$D$21,0))),IF(Schedule_Inputs!$C$7="Launch",$C7*IF(15-Schedule_Inputs!$B$7=0,Assumptions!$B$22,IF(15-Schedule_Inputs!$B$7=1,Assumptions!$C$22,IF(15-Schedule_Inputs!$B$7=2,Assumptions!$D$22,IF(15-Schedule_Inputs!$B$7=3,Assumptions!$B$23,0)))),IF(Schedule_Inputs!$C$7="Office Setup",$C7*IF(15-Schedule_Inputs!$B$7=0,Assumptions!$B$24,IF(15-Schedule_Inputs!$B$7=1,Assumptions!$C$24,IF(15-Schedule_Inputs!$B$7=2,Assumptions!$D$24,0))),IF(OR(Schedule_Inputs!$C$7="Monthly",Schedule_Inputs!$C$7="Periodic"),IF(AND(15&gt;=Schedule_Inputs!$B$7,MOD(15-Schedule_Inputs!$B$7,Schedule_Inputs!$E$7)=0,(15-Schedule_Inputs!$B$7)/Schedule_Inputs!$E$7&lt;Schedule_Inputs!$D$7),$C7/Schedule_Inputs!$D$7,0),0))))</f>
        <v>0</v>
      </c>
      <c r="T7" s="31">
        <f>IF(Schedule_Inputs!$C$7="Blueprint",$C7*IF(16-Schedule_Inputs!$B$7=0,Assumptions!$B$21,IF(16-Schedule_Inputs!$B$7=1,Assumptions!$C$21,IF(16-Schedule_Inputs!$B$7=2,Assumptions!$D$21,0))),IF(Schedule_Inputs!$C$7="Launch",$C7*IF(16-Schedule_Inputs!$B$7=0,Assumptions!$B$22,IF(16-Schedule_Inputs!$B$7=1,Assumptions!$C$22,IF(16-Schedule_Inputs!$B$7=2,Assumptions!$D$22,IF(16-Schedule_Inputs!$B$7=3,Assumptions!$B$23,0)))),IF(Schedule_Inputs!$C$7="Office Setup",$C7*IF(16-Schedule_Inputs!$B$7=0,Assumptions!$B$24,IF(16-Schedule_Inputs!$B$7=1,Assumptions!$C$24,IF(16-Schedule_Inputs!$B$7=2,Assumptions!$D$24,0))),IF(OR(Schedule_Inputs!$C$7="Monthly",Schedule_Inputs!$C$7="Periodic"),IF(AND(16&gt;=Schedule_Inputs!$B$7,MOD(16-Schedule_Inputs!$B$7,Schedule_Inputs!$E$7)=0,(16-Schedule_Inputs!$B$7)/Schedule_Inputs!$E$7&lt;Schedule_Inputs!$D$7),$C7/Schedule_Inputs!$D$7,0),0))))</f>
        <v>0</v>
      </c>
      <c r="U7" s="31">
        <f>IF(Schedule_Inputs!$C$7="Blueprint",$C7*IF(17-Schedule_Inputs!$B$7=0,Assumptions!$B$21,IF(17-Schedule_Inputs!$B$7=1,Assumptions!$C$21,IF(17-Schedule_Inputs!$B$7=2,Assumptions!$D$21,0))),IF(Schedule_Inputs!$C$7="Launch",$C7*IF(17-Schedule_Inputs!$B$7=0,Assumptions!$B$22,IF(17-Schedule_Inputs!$B$7=1,Assumptions!$C$22,IF(17-Schedule_Inputs!$B$7=2,Assumptions!$D$22,IF(17-Schedule_Inputs!$B$7=3,Assumptions!$B$23,0)))),IF(Schedule_Inputs!$C$7="Office Setup",$C7*IF(17-Schedule_Inputs!$B$7=0,Assumptions!$B$24,IF(17-Schedule_Inputs!$B$7=1,Assumptions!$C$24,IF(17-Schedule_Inputs!$B$7=2,Assumptions!$D$24,0))),IF(OR(Schedule_Inputs!$C$7="Monthly",Schedule_Inputs!$C$7="Periodic"),IF(AND(17&gt;=Schedule_Inputs!$B$7,MOD(17-Schedule_Inputs!$B$7,Schedule_Inputs!$E$7)=0,(17-Schedule_Inputs!$B$7)/Schedule_Inputs!$E$7&lt;Schedule_Inputs!$D$7),$C7/Schedule_Inputs!$D$7,0),0))))</f>
        <v>0</v>
      </c>
      <c r="V7" s="31">
        <f>IF(Schedule_Inputs!$C$7="Blueprint",$C7*IF(18-Schedule_Inputs!$B$7=0,Assumptions!$B$21,IF(18-Schedule_Inputs!$B$7=1,Assumptions!$C$21,IF(18-Schedule_Inputs!$B$7=2,Assumptions!$D$21,0))),IF(Schedule_Inputs!$C$7="Launch",$C7*IF(18-Schedule_Inputs!$B$7=0,Assumptions!$B$22,IF(18-Schedule_Inputs!$B$7=1,Assumptions!$C$22,IF(18-Schedule_Inputs!$B$7=2,Assumptions!$D$22,IF(18-Schedule_Inputs!$B$7=3,Assumptions!$B$23,0)))),IF(Schedule_Inputs!$C$7="Office Setup",$C7*IF(18-Schedule_Inputs!$B$7=0,Assumptions!$B$24,IF(18-Schedule_Inputs!$B$7=1,Assumptions!$C$24,IF(18-Schedule_Inputs!$B$7=2,Assumptions!$D$24,0))),IF(OR(Schedule_Inputs!$C$7="Monthly",Schedule_Inputs!$C$7="Periodic"),IF(AND(18&gt;=Schedule_Inputs!$B$7,MOD(18-Schedule_Inputs!$B$7,Schedule_Inputs!$E$7)=0,(18-Schedule_Inputs!$B$7)/Schedule_Inputs!$E$7&lt;Schedule_Inputs!$D$7),$C7/Schedule_Inputs!$D$7,0),0))))</f>
        <v>0</v>
      </c>
      <c r="W7" s="31">
        <f>IF(Schedule_Inputs!$C$7="Blueprint",$C7*IF(19-Schedule_Inputs!$B$7=0,Assumptions!$B$21,IF(19-Schedule_Inputs!$B$7=1,Assumptions!$C$21,IF(19-Schedule_Inputs!$B$7=2,Assumptions!$D$21,0))),IF(Schedule_Inputs!$C$7="Launch",$C7*IF(19-Schedule_Inputs!$B$7=0,Assumptions!$B$22,IF(19-Schedule_Inputs!$B$7=1,Assumptions!$C$22,IF(19-Schedule_Inputs!$B$7=2,Assumptions!$D$22,IF(19-Schedule_Inputs!$B$7=3,Assumptions!$B$23,0)))),IF(Schedule_Inputs!$C$7="Office Setup",$C7*IF(19-Schedule_Inputs!$B$7=0,Assumptions!$B$24,IF(19-Schedule_Inputs!$B$7=1,Assumptions!$C$24,IF(19-Schedule_Inputs!$B$7=2,Assumptions!$D$24,0))),IF(OR(Schedule_Inputs!$C$7="Monthly",Schedule_Inputs!$C$7="Periodic"),IF(AND(19&gt;=Schedule_Inputs!$B$7,MOD(19-Schedule_Inputs!$B$7,Schedule_Inputs!$E$7)=0,(19-Schedule_Inputs!$B$7)/Schedule_Inputs!$E$7&lt;Schedule_Inputs!$D$7),$C7/Schedule_Inputs!$D$7,0),0))))</f>
        <v>0</v>
      </c>
      <c r="X7" s="31">
        <f>IF(Schedule_Inputs!$C$7="Blueprint",$C7*IF(20-Schedule_Inputs!$B$7=0,Assumptions!$B$21,IF(20-Schedule_Inputs!$B$7=1,Assumptions!$C$21,IF(20-Schedule_Inputs!$B$7=2,Assumptions!$D$21,0))),IF(Schedule_Inputs!$C$7="Launch",$C7*IF(20-Schedule_Inputs!$B$7=0,Assumptions!$B$22,IF(20-Schedule_Inputs!$B$7=1,Assumptions!$C$22,IF(20-Schedule_Inputs!$B$7=2,Assumptions!$D$22,IF(20-Schedule_Inputs!$B$7=3,Assumptions!$B$23,0)))),IF(Schedule_Inputs!$C$7="Office Setup",$C7*IF(20-Schedule_Inputs!$B$7=0,Assumptions!$B$24,IF(20-Schedule_Inputs!$B$7=1,Assumptions!$C$24,IF(20-Schedule_Inputs!$B$7=2,Assumptions!$D$24,0))),IF(OR(Schedule_Inputs!$C$7="Monthly",Schedule_Inputs!$C$7="Periodic"),IF(AND(20&gt;=Schedule_Inputs!$B$7,MOD(20-Schedule_Inputs!$B$7,Schedule_Inputs!$E$7)=0,(20-Schedule_Inputs!$B$7)/Schedule_Inputs!$E$7&lt;Schedule_Inputs!$D$7),$C7/Schedule_Inputs!$D$7,0),0))))</f>
        <v>0</v>
      </c>
      <c r="Y7" s="31">
        <f>IF(Schedule_Inputs!$C$7="Blueprint",$C7*IF(21-Schedule_Inputs!$B$7=0,Assumptions!$B$21,IF(21-Schedule_Inputs!$B$7=1,Assumptions!$C$21,IF(21-Schedule_Inputs!$B$7=2,Assumptions!$D$21,0))),IF(Schedule_Inputs!$C$7="Launch",$C7*IF(21-Schedule_Inputs!$B$7=0,Assumptions!$B$22,IF(21-Schedule_Inputs!$B$7=1,Assumptions!$C$22,IF(21-Schedule_Inputs!$B$7=2,Assumptions!$D$22,IF(21-Schedule_Inputs!$B$7=3,Assumptions!$B$23,0)))),IF(Schedule_Inputs!$C$7="Office Setup",$C7*IF(21-Schedule_Inputs!$B$7=0,Assumptions!$B$24,IF(21-Schedule_Inputs!$B$7=1,Assumptions!$C$24,IF(21-Schedule_Inputs!$B$7=2,Assumptions!$D$24,0))),IF(OR(Schedule_Inputs!$C$7="Monthly",Schedule_Inputs!$C$7="Periodic"),IF(AND(21&gt;=Schedule_Inputs!$B$7,MOD(21-Schedule_Inputs!$B$7,Schedule_Inputs!$E$7)=0,(21-Schedule_Inputs!$B$7)/Schedule_Inputs!$E$7&lt;Schedule_Inputs!$D$7),$C7/Schedule_Inputs!$D$7,0),0))))</f>
        <v>0</v>
      </c>
      <c r="Z7" s="31">
        <f>IF(Schedule_Inputs!$C$7="Blueprint",$C7*IF(22-Schedule_Inputs!$B$7=0,Assumptions!$B$21,IF(22-Schedule_Inputs!$B$7=1,Assumptions!$C$21,IF(22-Schedule_Inputs!$B$7=2,Assumptions!$D$21,0))),IF(Schedule_Inputs!$C$7="Launch",$C7*IF(22-Schedule_Inputs!$B$7=0,Assumptions!$B$22,IF(22-Schedule_Inputs!$B$7=1,Assumptions!$C$22,IF(22-Schedule_Inputs!$B$7=2,Assumptions!$D$22,IF(22-Schedule_Inputs!$B$7=3,Assumptions!$B$23,0)))),IF(Schedule_Inputs!$C$7="Office Setup",$C7*IF(22-Schedule_Inputs!$B$7=0,Assumptions!$B$24,IF(22-Schedule_Inputs!$B$7=1,Assumptions!$C$24,IF(22-Schedule_Inputs!$B$7=2,Assumptions!$D$24,0))),IF(OR(Schedule_Inputs!$C$7="Monthly",Schedule_Inputs!$C$7="Periodic"),IF(AND(22&gt;=Schedule_Inputs!$B$7,MOD(22-Schedule_Inputs!$B$7,Schedule_Inputs!$E$7)=0,(22-Schedule_Inputs!$B$7)/Schedule_Inputs!$E$7&lt;Schedule_Inputs!$D$7),$C7/Schedule_Inputs!$D$7,0),0))))</f>
        <v>0</v>
      </c>
      <c r="AA7" s="31">
        <f>IF(Schedule_Inputs!$C$7="Blueprint",$C7*IF(23-Schedule_Inputs!$B$7=0,Assumptions!$B$21,IF(23-Schedule_Inputs!$B$7=1,Assumptions!$C$21,IF(23-Schedule_Inputs!$B$7=2,Assumptions!$D$21,0))),IF(Schedule_Inputs!$C$7="Launch",$C7*IF(23-Schedule_Inputs!$B$7=0,Assumptions!$B$22,IF(23-Schedule_Inputs!$B$7=1,Assumptions!$C$22,IF(23-Schedule_Inputs!$B$7=2,Assumptions!$D$22,IF(23-Schedule_Inputs!$B$7=3,Assumptions!$B$23,0)))),IF(Schedule_Inputs!$C$7="Office Setup",$C7*IF(23-Schedule_Inputs!$B$7=0,Assumptions!$B$24,IF(23-Schedule_Inputs!$B$7=1,Assumptions!$C$24,IF(23-Schedule_Inputs!$B$7=2,Assumptions!$D$24,0))),IF(OR(Schedule_Inputs!$C$7="Monthly",Schedule_Inputs!$C$7="Periodic"),IF(AND(23&gt;=Schedule_Inputs!$B$7,MOD(23-Schedule_Inputs!$B$7,Schedule_Inputs!$E$7)=0,(23-Schedule_Inputs!$B$7)/Schedule_Inputs!$E$7&lt;Schedule_Inputs!$D$7),$C7/Schedule_Inputs!$D$7,0),0))))</f>
        <v>0</v>
      </c>
      <c r="AB7" s="31">
        <f>IF(Schedule_Inputs!$C$7="Blueprint",$C7*IF(24-Schedule_Inputs!$B$7=0,Assumptions!$B$21,IF(24-Schedule_Inputs!$B$7=1,Assumptions!$C$21,IF(24-Schedule_Inputs!$B$7=2,Assumptions!$D$21,0))),IF(Schedule_Inputs!$C$7="Launch",$C7*IF(24-Schedule_Inputs!$B$7=0,Assumptions!$B$22,IF(24-Schedule_Inputs!$B$7=1,Assumptions!$C$22,IF(24-Schedule_Inputs!$B$7=2,Assumptions!$D$22,IF(24-Schedule_Inputs!$B$7=3,Assumptions!$B$23,0)))),IF(Schedule_Inputs!$C$7="Office Setup",$C7*IF(24-Schedule_Inputs!$B$7=0,Assumptions!$B$24,IF(24-Schedule_Inputs!$B$7=1,Assumptions!$C$24,IF(24-Schedule_Inputs!$B$7=2,Assumptions!$D$24,0))),IF(OR(Schedule_Inputs!$C$7="Monthly",Schedule_Inputs!$C$7="Periodic"),IF(AND(24&gt;=Schedule_Inputs!$B$7,MOD(24-Schedule_Inputs!$B$7,Schedule_Inputs!$E$7)=0,(24-Schedule_Inputs!$B$7)/Schedule_Inputs!$E$7&lt;Schedule_Inputs!$D$7),$C7/Schedule_Inputs!$D$7,0),0))))</f>
        <v>0</v>
      </c>
      <c r="AC7" s="31">
        <f>IF(Schedule_Inputs!$C$7="Blueprint",$C7*IF(25-Schedule_Inputs!$B$7=0,Assumptions!$B$21,IF(25-Schedule_Inputs!$B$7=1,Assumptions!$C$21,IF(25-Schedule_Inputs!$B$7=2,Assumptions!$D$21,0))),IF(Schedule_Inputs!$C$7="Launch",$C7*IF(25-Schedule_Inputs!$B$7=0,Assumptions!$B$22,IF(25-Schedule_Inputs!$B$7=1,Assumptions!$C$22,IF(25-Schedule_Inputs!$B$7=2,Assumptions!$D$22,IF(25-Schedule_Inputs!$B$7=3,Assumptions!$B$23,0)))),IF(Schedule_Inputs!$C$7="Office Setup",$C7*IF(25-Schedule_Inputs!$B$7=0,Assumptions!$B$24,IF(25-Schedule_Inputs!$B$7=1,Assumptions!$C$24,IF(25-Schedule_Inputs!$B$7=2,Assumptions!$D$24,0))),IF(OR(Schedule_Inputs!$C$7="Monthly",Schedule_Inputs!$C$7="Periodic"),IF(AND(25&gt;=Schedule_Inputs!$B$7,MOD(25-Schedule_Inputs!$B$7,Schedule_Inputs!$E$7)=0,(25-Schedule_Inputs!$B$7)/Schedule_Inputs!$E$7&lt;Schedule_Inputs!$D$7),$C7/Schedule_Inputs!$D$7,0),0))))</f>
        <v>0</v>
      </c>
      <c r="AD7" s="31">
        <f>IF(Schedule_Inputs!$C$7="Blueprint",$C7*IF(26-Schedule_Inputs!$B$7=0,Assumptions!$B$21,IF(26-Schedule_Inputs!$B$7=1,Assumptions!$C$21,IF(26-Schedule_Inputs!$B$7=2,Assumptions!$D$21,0))),IF(Schedule_Inputs!$C$7="Launch",$C7*IF(26-Schedule_Inputs!$B$7=0,Assumptions!$B$22,IF(26-Schedule_Inputs!$B$7=1,Assumptions!$C$22,IF(26-Schedule_Inputs!$B$7=2,Assumptions!$D$22,IF(26-Schedule_Inputs!$B$7=3,Assumptions!$B$23,0)))),IF(Schedule_Inputs!$C$7="Office Setup",$C7*IF(26-Schedule_Inputs!$B$7=0,Assumptions!$B$24,IF(26-Schedule_Inputs!$B$7=1,Assumptions!$C$24,IF(26-Schedule_Inputs!$B$7=2,Assumptions!$D$24,0))),IF(OR(Schedule_Inputs!$C$7="Monthly",Schedule_Inputs!$C$7="Periodic"),IF(AND(26&gt;=Schedule_Inputs!$B$7,MOD(26-Schedule_Inputs!$B$7,Schedule_Inputs!$E$7)=0,(26-Schedule_Inputs!$B$7)/Schedule_Inputs!$E$7&lt;Schedule_Inputs!$D$7),$C7/Schedule_Inputs!$D$7,0),0))))</f>
        <v>0</v>
      </c>
      <c r="AE7" s="31">
        <f>IF(Schedule_Inputs!$C$7="Blueprint",$C7*IF(27-Schedule_Inputs!$B$7=0,Assumptions!$B$21,IF(27-Schedule_Inputs!$B$7=1,Assumptions!$C$21,IF(27-Schedule_Inputs!$B$7=2,Assumptions!$D$21,0))),IF(Schedule_Inputs!$C$7="Launch",$C7*IF(27-Schedule_Inputs!$B$7=0,Assumptions!$B$22,IF(27-Schedule_Inputs!$B$7=1,Assumptions!$C$22,IF(27-Schedule_Inputs!$B$7=2,Assumptions!$D$22,IF(27-Schedule_Inputs!$B$7=3,Assumptions!$B$23,0)))),IF(Schedule_Inputs!$C$7="Office Setup",$C7*IF(27-Schedule_Inputs!$B$7=0,Assumptions!$B$24,IF(27-Schedule_Inputs!$B$7=1,Assumptions!$C$24,IF(27-Schedule_Inputs!$B$7=2,Assumptions!$D$24,0))),IF(OR(Schedule_Inputs!$C$7="Monthly",Schedule_Inputs!$C$7="Periodic"),IF(AND(27&gt;=Schedule_Inputs!$B$7,MOD(27-Schedule_Inputs!$B$7,Schedule_Inputs!$E$7)=0,(27-Schedule_Inputs!$B$7)/Schedule_Inputs!$E$7&lt;Schedule_Inputs!$D$7),$C7/Schedule_Inputs!$D$7,0),0))))</f>
        <v>0</v>
      </c>
      <c r="AF7" s="31">
        <f>IF(Schedule_Inputs!$C$7="Blueprint",$C7*IF(28-Schedule_Inputs!$B$7=0,Assumptions!$B$21,IF(28-Schedule_Inputs!$B$7=1,Assumptions!$C$21,IF(28-Schedule_Inputs!$B$7=2,Assumptions!$D$21,0))),IF(Schedule_Inputs!$C$7="Launch",$C7*IF(28-Schedule_Inputs!$B$7=0,Assumptions!$B$22,IF(28-Schedule_Inputs!$B$7=1,Assumptions!$C$22,IF(28-Schedule_Inputs!$B$7=2,Assumptions!$D$22,IF(28-Schedule_Inputs!$B$7=3,Assumptions!$B$23,0)))),IF(Schedule_Inputs!$C$7="Office Setup",$C7*IF(28-Schedule_Inputs!$B$7=0,Assumptions!$B$24,IF(28-Schedule_Inputs!$B$7=1,Assumptions!$C$24,IF(28-Schedule_Inputs!$B$7=2,Assumptions!$D$24,0))),IF(OR(Schedule_Inputs!$C$7="Monthly",Schedule_Inputs!$C$7="Periodic"),IF(AND(28&gt;=Schedule_Inputs!$B$7,MOD(28-Schedule_Inputs!$B$7,Schedule_Inputs!$E$7)=0,(28-Schedule_Inputs!$B$7)/Schedule_Inputs!$E$7&lt;Schedule_Inputs!$D$7),$C7/Schedule_Inputs!$D$7,0),0))))</f>
        <v>0</v>
      </c>
      <c r="AG7" s="31">
        <f>IF(Schedule_Inputs!$C$7="Blueprint",$C7*IF(29-Schedule_Inputs!$B$7=0,Assumptions!$B$21,IF(29-Schedule_Inputs!$B$7=1,Assumptions!$C$21,IF(29-Schedule_Inputs!$B$7=2,Assumptions!$D$21,0))),IF(Schedule_Inputs!$C$7="Launch",$C7*IF(29-Schedule_Inputs!$B$7=0,Assumptions!$B$22,IF(29-Schedule_Inputs!$B$7=1,Assumptions!$C$22,IF(29-Schedule_Inputs!$B$7=2,Assumptions!$D$22,IF(29-Schedule_Inputs!$B$7=3,Assumptions!$B$23,0)))),IF(Schedule_Inputs!$C$7="Office Setup",$C7*IF(29-Schedule_Inputs!$B$7=0,Assumptions!$B$24,IF(29-Schedule_Inputs!$B$7=1,Assumptions!$C$24,IF(29-Schedule_Inputs!$B$7=2,Assumptions!$D$24,0))),IF(OR(Schedule_Inputs!$C$7="Monthly",Schedule_Inputs!$C$7="Periodic"),IF(AND(29&gt;=Schedule_Inputs!$B$7,MOD(29-Schedule_Inputs!$B$7,Schedule_Inputs!$E$7)=0,(29-Schedule_Inputs!$B$7)/Schedule_Inputs!$E$7&lt;Schedule_Inputs!$D$7),$C7/Schedule_Inputs!$D$7,0),0))))</f>
        <v>0</v>
      </c>
      <c r="AH7" s="31">
        <f>IF(Schedule_Inputs!$C$7="Blueprint",$C7*IF(30-Schedule_Inputs!$B$7=0,Assumptions!$B$21,IF(30-Schedule_Inputs!$B$7=1,Assumptions!$C$21,IF(30-Schedule_Inputs!$B$7=2,Assumptions!$D$21,0))),IF(Schedule_Inputs!$C$7="Launch",$C7*IF(30-Schedule_Inputs!$B$7=0,Assumptions!$B$22,IF(30-Schedule_Inputs!$B$7=1,Assumptions!$C$22,IF(30-Schedule_Inputs!$B$7=2,Assumptions!$D$22,IF(30-Schedule_Inputs!$B$7=3,Assumptions!$B$23,0)))),IF(Schedule_Inputs!$C$7="Office Setup",$C7*IF(30-Schedule_Inputs!$B$7=0,Assumptions!$B$24,IF(30-Schedule_Inputs!$B$7=1,Assumptions!$C$24,IF(30-Schedule_Inputs!$B$7=2,Assumptions!$D$24,0))),IF(OR(Schedule_Inputs!$C$7="Monthly",Schedule_Inputs!$C$7="Periodic"),IF(AND(30&gt;=Schedule_Inputs!$B$7,MOD(30-Schedule_Inputs!$B$7,Schedule_Inputs!$E$7)=0,(30-Schedule_Inputs!$B$7)/Schedule_Inputs!$E$7&lt;Schedule_Inputs!$D$7),$C7/Schedule_Inputs!$D$7,0),0))))</f>
        <v>0</v>
      </c>
      <c r="AI7" s="31">
        <f>IF(Schedule_Inputs!$C$7="Blueprint",$C7*IF(31-Schedule_Inputs!$B$7=0,Assumptions!$B$21,IF(31-Schedule_Inputs!$B$7=1,Assumptions!$C$21,IF(31-Schedule_Inputs!$B$7=2,Assumptions!$D$21,0))),IF(Schedule_Inputs!$C$7="Launch",$C7*IF(31-Schedule_Inputs!$B$7=0,Assumptions!$B$22,IF(31-Schedule_Inputs!$B$7=1,Assumptions!$C$22,IF(31-Schedule_Inputs!$B$7=2,Assumptions!$D$22,IF(31-Schedule_Inputs!$B$7=3,Assumptions!$B$23,0)))),IF(Schedule_Inputs!$C$7="Office Setup",$C7*IF(31-Schedule_Inputs!$B$7=0,Assumptions!$B$24,IF(31-Schedule_Inputs!$B$7=1,Assumptions!$C$24,IF(31-Schedule_Inputs!$B$7=2,Assumptions!$D$24,0))),IF(OR(Schedule_Inputs!$C$7="Monthly",Schedule_Inputs!$C$7="Periodic"),IF(AND(31&gt;=Schedule_Inputs!$B$7,MOD(31-Schedule_Inputs!$B$7,Schedule_Inputs!$E$7)=0,(31-Schedule_Inputs!$B$7)/Schedule_Inputs!$E$7&lt;Schedule_Inputs!$D$7),$C7/Schedule_Inputs!$D$7,0),0))))</f>
        <v>0</v>
      </c>
      <c r="AJ7" s="31">
        <f>IF(Schedule_Inputs!$C$7="Blueprint",$C7*IF(32-Schedule_Inputs!$B$7=0,Assumptions!$B$21,IF(32-Schedule_Inputs!$B$7=1,Assumptions!$C$21,IF(32-Schedule_Inputs!$B$7=2,Assumptions!$D$21,0))),IF(Schedule_Inputs!$C$7="Launch",$C7*IF(32-Schedule_Inputs!$B$7=0,Assumptions!$B$22,IF(32-Schedule_Inputs!$B$7=1,Assumptions!$C$22,IF(32-Schedule_Inputs!$B$7=2,Assumptions!$D$22,IF(32-Schedule_Inputs!$B$7=3,Assumptions!$B$23,0)))),IF(Schedule_Inputs!$C$7="Office Setup",$C7*IF(32-Schedule_Inputs!$B$7=0,Assumptions!$B$24,IF(32-Schedule_Inputs!$B$7=1,Assumptions!$C$24,IF(32-Schedule_Inputs!$B$7=2,Assumptions!$D$24,0))),IF(OR(Schedule_Inputs!$C$7="Monthly",Schedule_Inputs!$C$7="Periodic"),IF(AND(32&gt;=Schedule_Inputs!$B$7,MOD(32-Schedule_Inputs!$B$7,Schedule_Inputs!$E$7)=0,(32-Schedule_Inputs!$B$7)/Schedule_Inputs!$E$7&lt;Schedule_Inputs!$D$7),$C7/Schedule_Inputs!$D$7,0),0))))</f>
        <v>0</v>
      </c>
      <c r="AK7" s="31">
        <f>IF(Schedule_Inputs!$C$7="Blueprint",$C7*IF(33-Schedule_Inputs!$B$7=0,Assumptions!$B$21,IF(33-Schedule_Inputs!$B$7=1,Assumptions!$C$21,IF(33-Schedule_Inputs!$B$7=2,Assumptions!$D$21,0))),IF(Schedule_Inputs!$C$7="Launch",$C7*IF(33-Schedule_Inputs!$B$7=0,Assumptions!$B$22,IF(33-Schedule_Inputs!$B$7=1,Assumptions!$C$22,IF(33-Schedule_Inputs!$B$7=2,Assumptions!$D$22,IF(33-Schedule_Inputs!$B$7=3,Assumptions!$B$23,0)))),IF(Schedule_Inputs!$C$7="Office Setup",$C7*IF(33-Schedule_Inputs!$B$7=0,Assumptions!$B$24,IF(33-Schedule_Inputs!$B$7=1,Assumptions!$C$24,IF(33-Schedule_Inputs!$B$7=2,Assumptions!$D$24,0))),IF(OR(Schedule_Inputs!$C$7="Monthly",Schedule_Inputs!$C$7="Periodic"),IF(AND(33&gt;=Schedule_Inputs!$B$7,MOD(33-Schedule_Inputs!$B$7,Schedule_Inputs!$E$7)=0,(33-Schedule_Inputs!$B$7)/Schedule_Inputs!$E$7&lt;Schedule_Inputs!$D$7),$C7/Schedule_Inputs!$D$7,0),0))))</f>
        <v>0</v>
      </c>
      <c r="AL7" s="31">
        <f>IF(Schedule_Inputs!$C$7="Blueprint",$C7*IF(34-Schedule_Inputs!$B$7=0,Assumptions!$B$21,IF(34-Schedule_Inputs!$B$7=1,Assumptions!$C$21,IF(34-Schedule_Inputs!$B$7=2,Assumptions!$D$21,0))),IF(Schedule_Inputs!$C$7="Launch",$C7*IF(34-Schedule_Inputs!$B$7=0,Assumptions!$B$22,IF(34-Schedule_Inputs!$B$7=1,Assumptions!$C$22,IF(34-Schedule_Inputs!$B$7=2,Assumptions!$D$22,IF(34-Schedule_Inputs!$B$7=3,Assumptions!$B$23,0)))),IF(Schedule_Inputs!$C$7="Office Setup",$C7*IF(34-Schedule_Inputs!$B$7=0,Assumptions!$B$24,IF(34-Schedule_Inputs!$B$7=1,Assumptions!$C$24,IF(34-Schedule_Inputs!$B$7=2,Assumptions!$D$24,0))),IF(OR(Schedule_Inputs!$C$7="Monthly",Schedule_Inputs!$C$7="Periodic"),IF(AND(34&gt;=Schedule_Inputs!$B$7,MOD(34-Schedule_Inputs!$B$7,Schedule_Inputs!$E$7)=0,(34-Schedule_Inputs!$B$7)/Schedule_Inputs!$E$7&lt;Schedule_Inputs!$D$7),$C7/Schedule_Inputs!$D$7,0),0))))</f>
        <v>0</v>
      </c>
      <c r="AM7" s="31">
        <f>IF(Schedule_Inputs!$C$7="Blueprint",$C7*IF(35-Schedule_Inputs!$B$7=0,Assumptions!$B$21,IF(35-Schedule_Inputs!$B$7=1,Assumptions!$C$21,IF(35-Schedule_Inputs!$B$7=2,Assumptions!$D$21,0))),IF(Schedule_Inputs!$C$7="Launch",$C7*IF(35-Schedule_Inputs!$B$7=0,Assumptions!$B$22,IF(35-Schedule_Inputs!$B$7=1,Assumptions!$C$22,IF(35-Schedule_Inputs!$B$7=2,Assumptions!$D$22,IF(35-Schedule_Inputs!$B$7=3,Assumptions!$B$23,0)))),IF(Schedule_Inputs!$C$7="Office Setup",$C7*IF(35-Schedule_Inputs!$B$7=0,Assumptions!$B$24,IF(35-Schedule_Inputs!$B$7=1,Assumptions!$C$24,IF(35-Schedule_Inputs!$B$7=2,Assumptions!$D$24,0))),IF(OR(Schedule_Inputs!$C$7="Monthly",Schedule_Inputs!$C$7="Periodic"),IF(AND(35&gt;=Schedule_Inputs!$B$7,MOD(35-Schedule_Inputs!$B$7,Schedule_Inputs!$E$7)=0,(35-Schedule_Inputs!$B$7)/Schedule_Inputs!$E$7&lt;Schedule_Inputs!$D$7),$C7/Schedule_Inputs!$D$7,0),0))))</f>
        <v>0</v>
      </c>
      <c r="AN7" s="31">
        <f>IF(Schedule_Inputs!$C$7="Blueprint",$C7*IF(36-Schedule_Inputs!$B$7=0,Assumptions!$B$21,IF(36-Schedule_Inputs!$B$7=1,Assumptions!$C$21,IF(36-Schedule_Inputs!$B$7=2,Assumptions!$D$21,0))),IF(Schedule_Inputs!$C$7="Launch",$C7*IF(36-Schedule_Inputs!$B$7=0,Assumptions!$B$22,IF(36-Schedule_Inputs!$B$7=1,Assumptions!$C$22,IF(36-Schedule_Inputs!$B$7=2,Assumptions!$D$22,IF(36-Schedule_Inputs!$B$7=3,Assumptions!$B$23,0)))),IF(Schedule_Inputs!$C$7="Office Setup",$C7*IF(36-Schedule_Inputs!$B$7=0,Assumptions!$B$24,IF(36-Schedule_Inputs!$B$7=1,Assumptions!$C$24,IF(36-Schedule_Inputs!$B$7=2,Assumptions!$D$24,0))),IF(OR(Schedule_Inputs!$C$7="Monthly",Schedule_Inputs!$C$7="Periodic"),IF(AND(36&gt;=Schedule_Inputs!$B$7,MOD(36-Schedule_Inputs!$B$7,Schedule_Inputs!$E$7)=0,(36-Schedule_Inputs!$B$7)/Schedule_Inputs!$E$7&lt;Schedule_Inputs!$D$7),$C7/Schedule_Inputs!$D$7,0),0))))</f>
        <v>0</v>
      </c>
    </row>
    <row r="8" spans="1:40">
      <c r="A8" s="29" t="s">
        <v>236</v>
      </c>
      <c r="B8" s="29">
        <v>1</v>
      </c>
      <c r="C8" s="30">
        <v>13500</v>
      </c>
      <c r="D8" s="31" t="s">
        <v>237</v>
      </c>
      <c r="E8" s="31">
        <f>IF(Schedule_Inputs!$C$8="Blueprint",$C8*IF(1-Schedule_Inputs!$B$8=0,Assumptions!$B$21,IF(1-Schedule_Inputs!$B$8=1,Assumptions!$C$21,IF(1-Schedule_Inputs!$B$8=2,Assumptions!$D$21,0))),IF(Schedule_Inputs!$C$8="Launch",$C8*IF(1-Schedule_Inputs!$B$8=0,Assumptions!$B$22,IF(1-Schedule_Inputs!$B$8=1,Assumptions!$C$22,IF(1-Schedule_Inputs!$B$8=2,Assumptions!$D$22,IF(1-Schedule_Inputs!$B$8=3,Assumptions!$B$23,0)))),IF(Schedule_Inputs!$C$8="Office Setup",$C8*IF(1-Schedule_Inputs!$B$8=0,Assumptions!$B$24,IF(1-Schedule_Inputs!$B$8=1,Assumptions!$C$24,IF(1-Schedule_Inputs!$B$8=2,Assumptions!$D$24,0))),IF(OR(Schedule_Inputs!$C$8="Monthly",Schedule_Inputs!$C$8="Periodic"),IF(AND(1&gt;=Schedule_Inputs!$B$8,MOD(1-Schedule_Inputs!$B$8,Schedule_Inputs!$E$8)=0,(1-Schedule_Inputs!$B$8)/Schedule_Inputs!$E$8&lt;Schedule_Inputs!$D$8),$C8/Schedule_Inputs!$D$8,0),0))))</f>
        <v>0</v>
      </c>
      <c r="F8" s="31">
        <f>IF(Schedule_Inputs!$C$8="Blueprint",$C8*IF(2-Schedule_Inputs!$B$8=0,Assumptions!$B$21,IF(2-Schedule_Inputs!$B$8=1,Assumptions!$C$21,IF(2-Schedule_Inputs!$B$8=2,Assumptions!$D$21,0))),IF(Schedule_Inputs!$C$8="Launch",$C8*IF(2-Schedule_Inputs!$B$8=0,Assumptions!$B$22,IF(2-Schedule_Inputs!$B$8=1,Assumptions!$C$22,IF(2-Schedule_Inputs!$B$8=2,Assumptions!$D$22,IF(2-Schedule_Inputs!$B$8=3,Assumptions!$B$23,0)))),IF(Schedule_Inputs!$C$8="Office Setup",$C8*IF(2-Schedule_Inputs!$B$8=0,Assumptions!$B$24,IF(2-Schedule_Inputs!$B$8=1,Assumptions!$C$24,IF(2-Schedule_Inputs!$B$8=2,Assumptions!$D$24,0))),IF(OR(Schedule_Inputs!$C$8="Monthly",Schedule_Inputs!$C$8="Periodic"),IF(AND(2&gt;=Schedule_Inputs!$B$8,MOD(2-Schedule_Inputs!$B$8,Schedule_Inputs!$E$8)=0,(2-Schedule_Inputs!$B$8)/Schedule_Inputs!$E$8&lt;Schedule_Inputs!$D$8),$C8/Schedule_Inputs!$D$8,0),0))))</f>
        <v>0</v>
      </c>
      <c r="G8" s="31">
        <f>IF(Schedule_Inputs!$C$8="Blueprint",$C8*IF(3-Schedule_Inputs!$B$8=0,Assumptions!$B$21,IF(3-Schedule_Inputs!$B$8=1,Assumptions!$C$21,IF(3-Schedule_Inputs!$B$8=2,Assumptions!$D$21,0))),IF(Schedule_Inputs!$C$8="Launch",$C8*IF(3-Schedule_Inputs!$B$8=0,Assumptions!$B$22,IF(3-Schedule_Inputs!$B$8=1,Assumptions!$C$22,IF(3-Schedule_Inputs!$B$8=2,Assumptions!$D$22,IF(3-Schedule_Inputs!$B$8=3,Assumptions!$B$23,0)))),IF(Schedule_Inputs!$C$8="Office Setup",$C8*IF(3-Schedule_Inputs!$B$8=0,Assumptions!$B$24,IF(3-Schedule_Inputs!$B$8=1,Assumptions!$C$24,IF(3-Schedule_Inputs!$B$8=2,Assumptions!$D$24,0))),IF(OR(Schedule_Inputs!$C$8="Monthly",Schedule_Inputs!$C$8="Periodic"),IF(AND(3&gt;=Schedule_Inputs!$B$8,MOD(3-Schedule_Inputs!$B$8,Schedule_Inputs!$E$8)=0,(3-Schedule_Inputs!$B$8)/Schedule_Inputs!$E$8&lt;Schedule_Inputs!$D$8),$C8/Schedule_Inputs!$D$8,0),0))))</f>
        <v>0</v>
      </c>
      <c r="H8" s="31">
        <f>IF(Schedule_Inputs!$C$8="Blueprint",$C8*IF(4-Schedule_Inputs!$B$8=0,Assumptions!$B$21,IF(4-Schedule_Inputs!$B$8=1,Assumptions!$C$21,IF(4-Schedule_Inputs!$B$8=2,Assumptions!$D$21,0))),IF(Schedule_Inputs!$C$8="Launch",$C8*IF(4-Schedule_Inputs!$B$8=0,Assumptions!$B$22,IF(4-Schedule_Inputs!$B$8=1,Assumptions!$C$22,IF(4-Schedule_Inputs!$B$8=2,Assumptions!$D$22,IF(4-Schedule_Inputs!$B$8=3,Assumptions!$B$23,0)))),IF(Schedule_Inputs!$C$8="Office Setup",$C8*IF(4-Schedule_Inputs!$B$8=0,Assumptions!$B$24,IF(4-Schedule_Inputs!$B$8=1,Assumptions!$C$24,IF(4-Schedule_Inputs!$B$8=2,Assumptions!$D$24,0))),IF(OR(Schedule_Inputs!$C$8="Monthly",Schedule_Inputs!$C$8="Periodic"),IF(AND(4&gt;=Schedule_Inputs!$B$8,MOD(4-Schedule_Inputs!$B$8,Schedule_Inputs!$E$8)=0,(4-Schedule_Inputs!$B$8)/Schedule_Inputs!$E$8&lt;Schedule_Inputs!$D$8),$C8/Schedule_Inputs!$D$8,0),0))))</f>
        <v>0</v>
      </c>
      <c r="I8" s="31">
        <f>IF(Schedule_Inputs!$C$8="Blueprint",$C8*IF(5-Schedule_Inputs!$B$8=0,Assumptions!$B$21,IF(5-Schedule_Inputs!$B$8=1,Assumptions!$C$21,IF(5-Schedule_Inputs!$B$8=2,Assumptions!$D$21,0))),IF(Schedule_Inputs!$C$8="Launch",$C8*IF(5-Schedule_Inputs!$B$8=0,Assumptions!$B$22,IF(5-Schedule_Inputs!$B$8=1,Assumptions!$C$22,IF(5-Schedule_Inputs!$B$8=2,Assumptions!$D$22,IF(5-Schedule_Inputs!$B$8=3,Assumptions!$B$23,0)))),IF(Schedule_Inputs!$C$8="Office Setup",$C8*IF(5-Schedule_Inputs!$B$8=0,Assumptions!$B$24,IF(5-Schedule_Inputs!$B$8=1,Assumptions!$C$24,IF(5-Schedule_Inputs!$B$8=2,Assumptions!$D$24,0))),IF(OR(Schedule_Inputs!$C$8="Monthly",Schedule_Inputs!$C$8="Periodic"),IF(AND(5&gt;=Schedule_Inputs!$B$8,MOD(5-Schedule_Inputs!$B$8,Schedule_Inputs!$E$8)=0,(5-Schedule_Inputs!$B$8)/Schedule_Inputs!$E$8&lt;Schedule_Inputs!$D$8),$C8/Schedule_Inputs!$D$8,0),0))))</f>
        <v>0</v>
      </c>
      <c r="J8" s="31">
        <f>IF(Schedule_Inputs!$C$8="Blueprint",$C8*IF(6-Schedule_Inputs!$B$8=0,Assumptions!$B$21,IF(6-Schedule_Inputs!$B$8=1,Assumptions!$C$21,IF(6-Schedule_Inputs!$B$8=2,Assumptions!$D$21,0))),IF(Schedule_Inputs!$C$8="Launch",$C8*IF(6-Schedule_Inputs!$B$8=0,Assumptions!$B$22,IF(6-Schedule_Inputs!$B$8=1,Assumptions!$C$22,IF(6-Schedule_Inputs!$B$8=2,Assumptions!$D$22,IF(6-Schedule_Inputs!$B$8=3,Assumptions!$B$23,0)))),IF(Schedule_Inputs!$C$8="Office Setup",$C8*IF(6-Schedule_Inputs!$B$8=0,Assumptions!$B$24,IF(6-Schedule_Inputs!$B$8=1,Assumptions!$C$24,IF(6-Schedule_Inputs!$B$8=2,Assumptions!$D$24,0))),IF(OR(Schedule_Inputs!$C$8="Monthly",Schedule_Inputs!$C$8="Periodic"),IF(AND(6&gt;=Schedule_Inputs!$B$8,MOD(6-Schedule_Inputs!$B$8,Schedule_Inputs!$E$8)=0,(6-Schedule_Inputs!$B$8)/Schedule_Inputs!$E$8&lt;Schedule_Inputs!$D$8),$C8/Schedule_Inputs!$D$8,0),0))))</f>
        <v>0</v>
      </c>
      <c r="K8" s="31">
        <f>IF(Schedule_Inputs!$C$8="Blueprint",$C8*IF(7-Schedule_Inputs!$B$8=0,Assumptions!$B$21,IF(7-Schedule_Inputs!$B$8=1,Assumptions!$C$21,IF(7-Schedule_Inputs!$B$8=2,Assumptions!$D$21,0))),IF(Schedule_Inputs!$C$8="Launch",$C8*IF(7-Schedule_Inputs!$B$8=0,Assumptions!$B$22,IF(7-Schedule_Inputs!$B$8=1,Assumptions!$C$22,IF(7-Schedule_Inputs!$B$8=2,Assumptions!$D$22,IF(7-Schedule_Inputs!$B$8=3,Assumptions!$B$23,0)))),IF(Schedule_Inputs!$C$8="Office Setup",$C8*IF(7-Schedule_Inputs!$B$8=0,Assumptions!$B$24,IF(7-Schedule_Inputs!$B$8=1,Assumptions!$C$24,IF(7-Schedule_Inputs!$B$8=2,Assumptions!$D$24,0))),IF(OR(Schedule_Inputs!$C$8="Monthly",Schedule_Inputs!$C$8="Periodic"),IF(AND(7&gt;=Schedule_Inputs!$B$8,MOD(7-Schedule_Inputs!$B$8,Schedule_Inputs!$E$8)=0,(7-Schedule_Inputs!$B$8)/Schedule_Inputs!$E$8&lt;Schedule_Inputs!$D$8),$C8/Schedule_Inputs!$D$8,0),0))))</f>
        <v>0</v>
      </c>
      <c r="L8" s="31">
        <f>IF(Schedule_Inputs!$C$8="Blueprint",$C8*IF(8-Schedule_Inputs!$B$8=0,Assumptions!$B$21,IF(8-Schedule_Inputs!$B$8=1,Assumptions!$C$21,IF(8-Schedule_Inputs!$B$8=2,Assumptions!$D$21,0))),IF(Schedule_Inputs!$C$8="Launch",$C8*IF(8-Schedule_Inputs!$B$8=0,Assumptions!$B$22,IF(8-Schedule_Inputs!$B$8=1,Assumptions!$C$22,IF(8-Schedule_Inputs!$B$8=2,Assumptions!$D$22,IF(8-Schedule_Inputs!$B$8=3,Assumptions!$B$23,0)))),IF(Schedule_Inputs!$C$8="Office Setup",$C8*IF(8-Schedule_Inputs!$B$8=0,Assumptions!$B$24,IF(8-Schedule_Inputs!$B$8=1,Assumptions!$C$24,IF(8-Schedule_Inputs!$B$8=2,Assumptions!$D$24,0))),IF(OR(Schedule_Inputs!$C$8="Monthly",Schedule_Inputs!$C$8="Periodic"),IF(AND(8&gt;=Schedule_Inputs!$B$8,MOD(8-Schedule_Inputs!$B$8,Schedule_Inputs!$E$8)=0,(8-Schedule_Inputs!$B$8)/Schedule_Inputs!$E$8&lt;Schedule_Inputs!$D$8),$C8/Schedule_Inputs!$D$8,0),0))))</f>
        <v>0</v>
      </c>
      <c r="M8" s="31">
        <f>IF(Schedule_Inputs!$C$8="Blueprint",$C8*IF(9-Schedule_Inputs!$B$8=0,Assumptions!$B$21,IF(9-Schedule_Inputs!$B$8=1,Assumptions!$C$21,IF(9-Schedule_Inputs!$B$8=2,Assumptions!$D$21,0))),IF(Schedule_Inputs!$C$8="Launch",$C8*IF(9-Schedule_Inputs!$B$8=0,Assumptions!$B$22,IF(9-Schedule_Inputs!$B$8=1,Assumptions!$C$22,IF(9-Schedule_Inputs!$B$8=2,Assumptions!$D$22,IF(9-Schedule_Inputs!$B$8=3,Assumptions!$B$23,0)))),IF(Schedule_Inputs!$C$8="Office Setup",$C8*IF(9-Schedule_Inputs!$B$8=0,Assumptions!$B$24,IF(9-Schedule_Inputs!$B$8=1,Assumptions!$C$24,IF(9-Schedule_Inputs!$B$8=2,Assumptions!$D$24,0))),IF(OR(Schedule_Inputs!$C$8="Monthly",Schedule_Inputs!$C$8="Periodic"),IF(AND(9&gt;=Schedule_Inputs!$B$8,MOD(9-Schedule_Inputs!$B$8,Schedule_Inputs!$E$8)=0,(9-Schedule_Inputs!$B$8)/Schedule_Inputs!$E$8&lt;Schedule_Inputs!$D$8),$C8/Schedule_Inputs!$D$8,0),0))))</f>
        <v>0</v>
      </c>
      <c r="N8" s="31">
        <f>IF(Schedule_Inputs!$C$8="Blueprint",$C8*IF(10-Schedule_Inputs!$B$8=0,Assumptions!$B$21,IF(10-Schedule_Inputs!$B$8=1,Assumptions!$C$21,IF(10-Schedule_Inputs!$B$8=2,Assumptions!$D$21,0))),IF(Schedule_Inputs!$C$8="Launch",$C8*IF(10-Schedule_Inputs!$B$8=0,Assumptions!$B$22,IF(10-Schedule_Inputs!$B$8=1,Assumptions!$C$22,IF(10-Schedule_Inputs!$B$8=2,Assumptions!$D$22,IF(10-Schedule_Inputs!$B$8=3,Assumptions!$B$23,0)))),IF(Schedule_Inputs!$C$8="Office Setup",$C8*IF(10-Schedule_Inputs!$B$8=0,Assumptions!$B$24,IF(10-Schedule_Inputs!$B$8=1,Assumptions!$C$24,IF(10-Schedule_Inputs!$B$8=2,Assumptions!$D$24,0))),IF(OR(Schedule_Inputs!$C$8="Monthly",Schedule_Inputs!$C$8="Periodic"),IF(AND(10&gt;=Schedule_Inputs!$B$8,MOD(10-Schedule_Inputs!$B$8,Schedule_Inputs!$E$8)=0,(10-Schedule_Inputs!$B$8)/Schedule_Inputs!$E$8&lt;Schedule_Inputs!$D$8),$C8/Schedule_Inputs!$D$8,0),0))))</f>
        <v>4500</v>
      </c>
      <c r="O8" s="31">
        <f>IF(Schedule_Inputs!$C$8="Blueprint",$C8*IF(11-Schedule_Inputs!$B$8=0,Assumptions!$B$21,IF(11-Schedule_Inputs!$B$8=1,Assumptions!$C$21,IF(11-Schedule_Inputs!$B$8=2,Assumptions!$D$21,0))),IF(Schedule_Inputs!$C$8="Launch",$C8*IF(11-Schedule_Inputs!$B$8=0,Assumptions!$B$22,IF(11-Schedule_Inputs!$B$8=1,Assumptions!$C$22,IF(11-Schedule_Inputs!$B$8=2,Assumptions!$D$22,IF(11-Schedule_Inputs!$B$8=3,Assumptions!$B$23,0)))),IF(Schedule_Inputs!$C$8="Office Setup",$C8*IF(11-Schedule_Inputs!$B$8=0,Assumptions!$B$24,IF(11-Schedule_Inputs!$B$8=1,Assumptions!$C$24,IF(11-Schedule_Inputs!$B$8=2,Assumptions!$D$24,0))),IF(OR(Schedule_Inputs!$C$8="Monthly",Schedule_Inputs!$C$8="Periodic"),IF(AND(11&gt;=Schedule_Inputs!$B$8,MOD(11-Schedule_Inputs!$B$8,Schedule_Inputs!$E$8)=0,(11-Schedule_Inputs!$B$8)/Schedule_Inputs!$E$8&lt;Schedule_Inputs!$D$8),$C8/Schedule_Inputs!$D$8,0),0))))</f>
        <v>4500</v>
      </c>
      <c r="P8" s="31">
        <f>IF(Schedule_Inputs!$C$8="Blueprint",$C8*IF(12-Schedule_Inputs!$B$8=0,Assumptions!$B$21,IF(12-Schedule_Inputs!$B$8=1,Assumptions!$C$21,IF(12-Schedule_Inputs!$B$8=2,Assumptions!$D$21,0))),IF(Schedule_Inputs!$C$8="Launch",$C8*IF(12-Schedule_Inputs!$B$8=0,Assumptions!$B$22,IF(12-Schedule_Inputs!$B$8=1,Assumptions!$C$22,IF(12-Schedule_Inputs!$B$8=2,Assumptions!$D$22,IF(12-Schedule_Inputs!$B$8=3,Assumptions!$B$23,0)))),IF(Schedule_Inputs!$C$8="Office Setup",$C8*IF(12-Schedule_Inputs!$B$8=0,Assumptions!$B$24,IF(12-Schedule_Inputs!$B$8=1,Assumptions!$C$24,IF(12-Schedule_Inputs!$B$8=2,Assumptions!$D$24,0))),IF(OR(Schedule_Inputs!$C$8="Monthly",Schedule_Inputs!$C$8="Periodic"),IF(AND(12&gt;=Schedule_Inputs!$B$8,MOD(12-Schedule_Inputs!$B$8,Schedule_Inputs!$E$8)=0,(12-Schedule_Inputs!$B$8)/Schedule_Inputs!$E$8&lt;Schedule_Inputs!$D$8),$C8/Schedule_Inputs!$D$8,0),0))))</f>
        <v>4500</v>
      </c>
      <c r="Q8" s="31">
        <f>IF(Schedule_Inputs!$C$8="Blueprint",$C8*IF(13-Schedule_Inputs!$B$8=0,Assumptions!$B$21,IF(13-Schedule_Inputs!$B$8=1,Assumptions!$C$21,IF(13-Schedule_Inputs!$B$8=2,Assumptions!$D$21,0))),IF(Schedule_Inputs!$C$8="Launch",$C8*IF(13-Schedule_Inputs!$B$8=0,Assumptions!$B$22,IF(13-Schedule_Inputs!$B$8=1,Assumptions!$C$22,IF(13-Schedule_Inputs!$B$8=2,Assumptions!$D$22,IF(13-Schedule_Inputs!$B$8=3,Assumptions!$B$23,0)))),IF(Schedule_Inputs!$C$8="Office Setup",$C8*IF(13-Schedule_Inputs!$B$8=0,Assumptions!$B$24,IF(13-Schedule_Inputs!$B$8=1,Assumptions!$C$24,IF(13-Schedule_Inputs!$B$8=2,Assumptions!$D$24,0))),IF(OR(Schedule_Inputs!$C$8="Monthly",Schedule_Inputs!$C$8="Periodic"),IF(AND(13&gt;=Schedule_Inputs!$B$8,MOD(13-Schedule_Inputs!$B$8,Schedule_Inputs!$E$8)=0,(13-Schedule_Inputs!$B$8)/Schedule_Inputs!$E$8&lt;Schedule_Inputs!$D$8),$C8/Schedule_Inputs!$D$8,0),0))))</f>
        <v>0</v>
      </c>
      <c r="R8" s="31">
        <f>IF(Schedule_Inputs!$C$8="Blueprint",$C8*IF(14-Schedule_Inputs!$B$8=0,Assumptions!$B$21,IF(14-Schedule_Inputs!$B$8=1,Assumptions!$C$21,IF(14-Schedule_Inputs!$B$8=2,Assumptions!$D$21,0))),IF(Schedule_Inputs!$C$8="Launch",$C8*IF(14-Schedule_Inputs!$B$8=0,Assumptions!$B$22,IF(14-Schedule_Inputs!$B$8=1,Assumptions!$C$22,IF(14-Schedule_Inputs!$B$8=2,Assumptions!$D$22,IF(14-Schedule_Inputs!$B$8=3,Assumptions!$B$23,0)))),IF(Schedule_Inputs!$C$8="Office Setup",$C8*IF(14-Schedule_Inputs!$B$8=0,Assumptions!$B$24,IF(14-Schedule_Inputs!$B$8=1,Assumptions!$C$24,IF(14-Schedule_Inputs!$B$8=2,Assumptions!$D$24,0))),IF(OR(Schedule_Inputs!$C$8="Monthly",Schedule_Inputs!$C$8="Periodic"),IF(AND(14&gt;=Schedule_Inputs!$B$8,MOD(14-Schedule_Inputs!$B$8,Schedule_Inputs!$E$8)=0,(14-Schedule_Inputs!$B$8)/Schedule_Inputs!$E$8&lt;Schedule_Inputs!$D$8),$C8/Schedule_Inputs!$D$8,0),0))))</f>
        <v>0</v>
      </c>
      <c r="S8" s="31">
        <f>IF(Schedule_Inputs!$C$8="Blueprint",$C8*IF(15-Schedule_Inputs!$B$8=0,Assumptions!$B$21,IF(15-Schedule_Inputs!$B$8=1,Assumptions!$C$21,IF(15-Schedule_Inputs!$B$8=2,Assumptions!$D$21,0))),IF(Schedule_Inputs!$C$8="Launch",$C8*IF(15-Schedule_Inputs!$B$8=0,Assumptions!$B$22,IF(15-Schedule_Inputs!$B$8=1,Assumptions!$C$22,IF(15-Schedule_Inputs!$B$8=2,Assumptions!$D$22,IF(15-Schedule_Inputs!$B$8=3,Assumptions!$B$23,0)))),IF(Schedule_Inputs!$C$8="Office Setup",$C8*IF(15-Schedule_Inputs!$B$8=0,Assumptions!$B$24,IF(15-Schedule_Inputs!$B$8=1,Assumptions!$C$24,IF(15-Schedule_Inputs!$B$8=2,Assumptions!$D$24,0))),IF(OR(Schedule_Inputs!$C$8="Monthly",Schedule_Inputs!$C$8="Periodic"),IF(AND(15&gt;=Schedule_Inputs!$B$8,MOD(15-Schedule_Inputs!$B$8,Schedule_Inputs!$E$8)=0,(15-Schedule_Inputs!$B$8)/Schedule_Inputs!$E$8&lt;Schedule_Inputs!$D$8),$C8/Schedule_Inputs!$D$8,0),0))))</f>
        <v>0</v>
      </c>
      <c r="T8" s="31">
        <f>IF(Schedule_Inputs!$C$8="Blueprint",$C8*IF(16-Schedule_Inputs!$B$8=0,Assumptions!$B$21,IF(16-Schedule_Inputs!$B$8=1,Assumptions!$C$21,IF(16-Schedule_Inputs!$B$8=2,Assumptions!$D$21,0))),IF(Schedule_Inputs!$C$8="Launch",$C8*IF(16-Schedule_Inputs!$B$8=0,Assumptions!$B$22,IF(16-Schedule_Inputs!$B$8=1,Assumptions!$C$22,IF(16-Schedule_Inputs!$B$8=2,Assumptions!$D$22,IF(16-Schedule_Inputs!$B$8=3,Assumptions!$B$23,0)))),IF(Schedule_Inputs!$C$8="Office Setup",$C8*IF(16-Schedule_Inputs!$B$8=0,Assumptions!$B$24,IF(16-Schedule_Inputs!$B$8=1,Assumptions!$C$24,IF(16-Schedule_Inputs!$B$8=2,Assumptions!$D$24,0))),IF(OR(Schedule_Inputs!$C$8="Monthly",Schedule_Inputs!$C$8="Periodic"),IF(AND(16&gt;=Schedule_Inputs!$B$8,MOD(16-Schedule_Inputs!$B$8,Schedule_Inputs!$E$8)=0,(16-Schedule_Inputs!$B$8)/Schedule_Inputs!$E$8&lt;Schedule_Inputs!$D$8),$C8/Schedule_Inputs!$D$8,0),0))))</f>
        <v>0</v>
      </c>
      <c r="U8" s="31">
        <f>IF(Schedule_Inputs!$C$8="Blueprint",$C8*IF(17-Schedule_Inputs!$B$8=0,Assumptions!$B$21,IF(17-Schedule_Inputs!$B$8=1,Assumptions!$C$21,IF(17-Schedule_Inputs!$B$8=2,Assumptions!$D$21,0))),IF(Schedule_Inputs!$C$8="Launch",$C8*IF(17-Schedule_Inputs!$B$8=0,Assumptions!$B$22,IF(17-Schedule_Inputs!$B$8=1,Assumptions!$C$22,IF(17-Schedule_Inputs!$B$8=2,Assumptions!$D$22,IF(17-Schedule_Inputs!$B$8=3,Assumptions!$B$23,0)))),IF(Schedule_Inputs!$C$8="Office Setup",$C8*IF(17-Schedule_Inputs!$B$8=0,Assumptions!$B$24,IF(17-Schedule_Inputs!$B$8=1,Assumptions!$C$24,IF(17-Schedule_Inputs!$B$8=2,Assumptions!$D$24,0))),IF(OR(Schedule_Inputs!$C$8="Monthly",Schedule_Inputs!$C$8="Periodic"),IF(AND(17&gt;=Schedule_Inputs!$B$8,MOD(17-Schedule_Inputs!$B$8,Schedule_Inputs!$E$8)=0,(17-Schedule_Inputs!$B$8)/Schedule_Inputs!$E$8&lt;Schedule_Inputs!$D$8),$C8/Schedule_Inputs!$D$8,0),0))))</f>
        <v>0</v>
      </c>
      <c r="V8" s="31">
        <f>IF(Schedule_Inputs!$C$8="Blueprint",$C8*IF(18-Schedule_Inputs!$B$8=0,Assumptions!$B$21,IF(18-Schedule_Inputs!$B$8=1,Assumptions!$C$21,IF(18-Schedule_Inputs!$B$8=2,Assumptions!$D$21,0))),IF(Schedule_Inputs!$C$8="Launch",$C8*IF(18-Schedule_Inputs!$B$8=0,Assumptions!$B$22,IF(18-Schedule_Inputs!$B$8=1,Assumptions!$C$22,IF(18-Schedule_Inputs!$B$8=2,Assumptions!$D$22,IF(18-Schedule_Inputs!$B$8=3,Assumptions!$B$23,0)))),IF(Schedule_Inputs!$C$8="Office Setup",$C8*IF(18-Schedule_Inputs!$B$8=0,Assumptions!$B$24,IF(18-Schedule_Inputs!$B$8=1,Assumptions!$C$24,IF(18-Schedule_Inputs!$B$8=2,Assumptions!$D$24,0))),IF(OR(Schedule_Inputs!$C$8="Monthly",Schedule_Inputs!$C$8="Periodic"),IF(AND(18&gt;=Schedule_Inputs!$B$8,MOD(18-Schedule_Inputs!$B$8,Schedule_Inputs!$E$8)=0,(18-Schedule_Inputs!$B$8)/Schedule_Inputs!$E$8&lt;Schedule_Inputs!$D$8),$C8/Schedule_Inputs!$D$8,0),0))))</f>
        <v>0</v>
      </c>
      <c r="W8" s="31">
        <f>IF(Schedule_Inputs!$C$8="Blueprint",$C8*IF(19-Schedule_Inputs!$B$8=0,Assumptions!$B$21,IF(19-Schedule_Inputs!$B$8=1,Assumptions!$C$21,IF(19-Schedule_Inputs!$B$8=2,Assumptions!$D$21,0))),IF(Schedule_Inputs!$C$8="Launch",$C8*IF(19-Schedule_Inputs!$B$8=0,Assumptions!$B$22,IF(19-Schedule_Inputs!$B$8=1,Assumptions!$C$22,IF(19-Schedule_Inputs!$B$8=2,Assumptions!$D$22,IF(19-Schedule_Inputs!$B$8=3,Assumptions!$B$23,0)))),IF(Schedule_Inputs!$C$8="Office Setup",$C8*IF(19-Schedule_Inputs!$B$8=0,Assumptions!$B$24,IF(19-Schedule_Inputs!$B$8=1,Assumptions!$C$24,IF(19-Schedule_Inputs!$B$8=2,Assumptions!$D$24,0))),IF(OR(Schedule_Inputs!$C$8="Monthly",Schedule_Inputs!$C$8="Periodic"),IF(AND(19&gt;=Schedule_Inputs!$B$8,MOD(19-Schedule_Inputs!$B$8,Schedule_Inputs!$E$8)=0,(19-Schedule_Inputs!$B$8)/Schedule_Inputs!$E$8&lt;Schedule_Inputs!$D$8),$C8/Schedule_Inputs!$D$8,0),0))))</f>
        <v>0</v>
      </c>
      <c r="X8" s="31">
        <f>IF(Schedule_Inputs!$C$8="Blueprint",$C8*IF(20-Schedule_Inputs!$B$8=0,Assumptions!$B$21,IF(20-Schedule_Inputs!$B$8=1,Assumptions!$C$21,IF(20-Schedule_Inputs!$B$8=2,Assumptions!$D$21,0))),IF(Schedule_Inputs!$C$8="Launch",$C8*IF(20-Schedule_Inputs!$B$8=0,Assumptions!$B$22,IF(20-Schedule_Inputs!$B$8=1,Assumptions!$C$22,IF(20-Schedule_Inputs!$B$8=2,Assumptions!$D$22,IF(20-Schedule_Inputs!$B$8=3,Assumptions!$B$23,0)))),IF(Schedule_Inputs!$C$8="Office Setup",$C8*IF(20-Schedule_Inputs!$B$8=0,Assumptions!$B$24,IF(20-Schedule_Inputs!$B$8=1,Assumptions!$C$24,IF(20-Schedule_Inputs!$B$8=2,Assumptions!$D$24,0))),IF(OR(Schedule_Inputs!$C$8="Monthly",Schedule_Inputs!$C$8="Periodic"),IF(AND(20&gt;=Schedule_Inputs!$B$8,MOD(20-Schedule_Inputs!$B$8,Schedule_Inputs!$E$8)=0,(20-Schedule_Inputs!$B$8)/Schedule_Inputs!$E$8&lt;Schedule_Inputs!$D$8),$C8/Schedule_Inputs!$D$8,0),0))))</f>
        <v>0</v>
      </c>
      <c r="Y8" s="31">
        <f>IF(Schedule_Inputs!$C$8="Blueprint",$C8*IF(21-Schedule_Inputs!$B$8=0,Assumptions!$B$21,IF(21-Schedule_Inputs!$B$8=1,Assumptions!$C$21,IF(21-Schedule_Inputs!$B$8=2,Assumptions!$D$21,0))),IF(Schedule_Inputs!$C$8="Launch",$C8*IF(21-Schedule_Inputs!$B$8=0,Assumptions!$B$22,IF(21-Schedule_Inputs!$B$8=1,Assumptions!$C$22,IF(21-Schedule_Inputs!$B$8=2,Assumptions!$D$22,IF(21-Schedule_Inputs!$B$8=3,Assumptions!$B$23,0)))),IF(Schedule_Inputs!$C$8="Office Setup",$C8*IF(21-Schedule_Inputs!$B$8=0,Assumptions!$B$24,IF(21-Schedule_Inputs!$B$8=1,Assumptions!$C$24,IF(21-Schedule_Inputs!$B$8=2,Assumptions!$D$24,0))),IF(OR(Schedule_Inputs!$C$8="Monthly",Schedule_Inputs!$C$8="Periodic"),IF(AND(21&gt;=Schedule_Inputs!$B$8,MOD(21-Schedule_Inputs!$B$8,Schedule_Inputs!$E$8)=0,(21-Schedule_Inputs!$B$8)/Schedule_Inputs!$E$8&lt;Schedule_Inputs!$D$8),$C8/Schedule_Inputs!$D$8,0),0))))</f>
        <v>0</v>
      </c>
      <c r="Z8" s="31">
        <f>IF(Schedule_Inputs!$C$8="Blueprint",$C8*IF(22-Schedule_Inputs!$B$8=0,Assumptions!$B$21,IF(22-Schedule_Inputs!$B$8=1,Assumptions!$C$21,IF(22-Schedule_Inputs!$B$8=2,Assumptions!$D$21,0))),IF(Schedule_Inputs!$C$8="Launch",$C8*IF(22-Schedule_Inputs!$B$8=0,Assumptions!$B$22,IF(22-Schedule_Inputs!$B$8=1,Assumptions!$C$22,IF(22-Schedule_Inputs!$B$8=2,Assumptions!$D$22,IF(22-Schedule_Inputs!$B$8=3,Assumptions!$B$23,0)))),IF(Schedule_Inputs!$C$8="Office Setup",$C8*IF(22-Schedule_Inputs!$B$8=0,Assumptions!$B$24,IF(22-Schedule_Inputs!$B$8=1,Assumptions!$C$24,IF(22-Schedule_Inputs!$B$8=2,Assumptions!$D$24,0))),IF(OR(Schedule_Inputs!$C$8="Monthly",Schedule_Inputs!$C$8="Periodic"),IF(AND(22&gt;=Schedule_Inputs!$B$8,MOD(22-Schedule_Inputs!$B$8,Schedule_Inputs!$E$8)=0,(22-Schedule_Inputs!$B$8)/Schedule_Inputs!$E$8&lt;Schedule_Inputs!$D$8),$C8/Schedule_Inputs!$D$8,0),0))))</f>
        <v>0</v>
      </c>
      <c r="AA8" s="31">
        <f>IF(Schedule_Inputs!$C$8="Blueprint",$C8*IF(23-Schedule_Inputs!$B$8=0,Assumptions!$B$21,IF(23-Schedule_Inputs!$B$8=1,Assumptions!$C$21,IF(23-Schedule_Inputs!$B$8=2,Assumptions!$D$21,0))),IF(Schedule_Inputs!$C$8="Launch",$C8*IF(23-Schedule_Inputs!$B$8=0,Assumptions!$B$22,IF(23-Schedule_Inputs!$B$8=1,Assumptions!$C$22,IF(23-Schedule_Inputs!$B$8=2,Assumptions!$D$22,IF(23-Schedule_Inputs!$B$8=3,Assumptions!$B$23,0)))),IF(Schedule_Inputs!$C$8="Office Setup",$C8*IF(23-Schedule_Inputs!$B$8=0,Assumptions!$B$24,IF(23-Schedule_Inputs!$B$8=1,Assumptions!$C$24,IF(23-Schedule_Inputs!$B$8=2,Assumptions!$D$24,0))),IF(OR(Schedule_Inputs!$C$8="Monthly",Schedule_Inputs!$C$8="Periodic"),IF(AND(23&gt;=Schedule_Inputs!$B$8,MOD(23-Schedule_Inputs!$B$8,Schedule_Inputs!$E$8)=0,(23-Schedule_Inputs!$B$8)/Schedule_Inputs!$E$8&lt;Schedule_Inputs!$D$8),$C8/Schedule_Inputs!$D$8,0),0))))</f>
        <v>0</v>
      </c>
      <c r="AB8" s="31">
        <f>IF(Schedule_Inputs!$C$8="Blueprint",$C8*IF(24-Schedule_Inputs!$B$8=0,Assumptions!$B$21,IF(24-Schedule_Inputs!$B$8=1,Assumptions!$C$21,IF(24-Schedule_Inputs!$B$8=2,Assumptions!$D$21,0))),IF(Schedule_Inputs!$C$8="Launch",$C8*IF(24-Schedule_Inputs!$B$8=0,Assumptions!$B$22,IF(24-Schedule_Inputs!$B$8=1,Assumptions!$C$22,IF(24-Schedule_Inputs!$B$8=2,Assumptions!$D$22,IF(24-Schedule_Inputs!$B$8=3,Assumptions!$B$23,0)))),IF(Schedule_Inputs!$C$8="Office Setup",$C8*IF(24-Schedule_Inputs!$B$8=0,Assumptions!$B$24,IF(24-Schedule_Inputs!$B$8=1,Assumptions!$C$24,IF(24-Schedule_Inputs!$B$8=2,Assumptions!$D$24,0))),IF(OR(Schedule_Inputs!$C$8="Monthly",Schedule_Inputs!$C$8="Periodic"),IF(AND(24&gt;=Schedule_Inputs!$B$8,MOD(24-Schedule_Inputs!$B$8,Schedule_Inputs!$E$8)=0,(24-Schedule_Inputs!$B$8)/Schedule_Inputs!$E$8&lt;Schedule_Inputs!$D$8),$C8/Schedule_Inputs!$D$8,0),0))))</f>
        <v>0</v>
      </c>
      <c r="AC8" s="31">
        <f>IF(Schedule_Inputs!$C$8="Blueprint",$C8*IF(25-Schedule_Inputs!$B$8=0,Assumptions!$B$21,IF(25-Schedule_Inputs!$B$8=1,Assumptions!$C$21,IF(25-Schedule_Inputs!$B$8=2,Assumptions!$D$21,0))),IF(Schedule_Inputs!$C$8="Launch",$C8*IF(25-Schedule_Inputs!$B$8=0,Assumptions!$B$22,IF(25-Schedule_Inputs!$B$8=1,Assumptions!$C$22,IF(25-Schedule_Inputs!$B$8=2,Assumptions!$D$22,IF(25-Schedule_Inputs!$B$8=3,Assumptions!$B$23,0)))),IF(Schedule_Inputs!$C$8="Office Setup",$C8*IF(25-Schedule_Inputs!$B$8=0,Assumptions!$B$24,IF(25-Schedule_Inputs!$B$8=1,Assumptions!$C$24,IF(25-Schedule_Inputs!$B$8=2,Assumptions!$D$24,0))),IF(OR(Schedule_Inputs!$C$8="Monthly",Schedule_Inputs!$C$8="Periodic"),IF(AND(25&gt;=Schedule_Inputs!$B$8,MOD(25-Schedule_Inputs!$B$8,Schedule_Inputs!$E$8)=0,(25-Schedule_Inputs!$B$8)/Schedule_Inputs!$E$8&lt;Schedule_Inputs!$D$8),$C8/Schedule_Inputs!$D$8,0),0))))</f>
        <v>0</v>
      </c>
      <c r="AD8" s="31">
        <f>IF(Schedule_Inputs!$C$8="Blueprint",$C8*IF(26-Schedule_Inputs!$B$8=0,Assumptions!$B$21,IF(26-Schedule_Inputs!$B$8=1,Assumptions!$C$21,IF(26-Schedule_Inputs!$B$8=2,Assumptions!$D$21,0))),IF(Schedule_Inputs!$C$8="Launch",$C8*IF(26-Schedule_Inputs!$B$8=0,Assumptions!$B$22,IF(26-Schedule_Inputs!$B$8=1,Assumptions!$C$22,IF(26-Schedule_Inputs!$B$8=2,Assumptions!$D$22,IF(26-Schedule_Inputs!$B$8=3,Assumptions!$B$23,0)))),IF(Schedule_Inputs!$C$8="Office Setup",$C8*IF(26-Schedule_Inputs!$B$8=0,Assumptions!$B$24,IF(26-Schedule_Inputs!$B$8=1,Assumptions!$C$24,IF(26-Schedule_Inputs!$B$8=2,Assumptions!$D$24,0))),IF(OR(Schedule_Inputs!$C$8="Monthly",Schedule_Inputs!$C$8="Periodic"),IF(AND(26&gt;=Schedule_Inputs!$B$8,MOD(26-Schedule_Inputs!$B$8,Schedule_Inputs!$E$8)=0,(26-Schedule_Inputs!$B$8)/Schedule_Inputs!$E$8&lt;Schedule_Inputs!$D$8),$C8/Schedule_Inputs!$D$8,0),0))))</f>
        <v>0</v>
      </c>
      <c r="AE8" s="31">
        <f>IF(Schedule_Inputs!$C$8="Blueprint",$C8*IF(27-Schedule_Inputs!$B$8=0,Assumptions!$B$21,IF(27-Schedule_Inputs!$B$8=1,Assumptions!$C$21,IF(27-Schedule_Inputs!$B$8=2,Assumptions!$D$21,0))),IF(Schedule_Inputs!$C$8="Launch",$C8*IF(27-Schedule_Inputs!$B$8=0,Assumptions!$B$22,IF(27-Schedule_Inputs!$B$8=1,Assumptions!$C$22,IF(27-Schedule_Inputs!$B$8=2,Assumptions!$D$22,IF(27-Schedule_Inputs!$B$8=3,Assumptions!$B$23,0)))),IF(Schedule_Inputs!$C$8="Office Setup",$C8*IF(27-Schedule_Inputs!$B$8=0,Assumptions!$B$24,IF(27-Schedule_Inputs!$B$8=1,Assumptions!$C$24,IF(27-Schedule_Inputs!$B$8=2,Assumptions!$D$24,0))),IF(OR(Schedule_Inputs!$C$8="Monthly",Schedule_Inputs!$C$8="Periodic"),IF(AND(27&gt;=Schedule_Inputs!$B$8,MOD(27-Schedule_Inputs!$B$8,Schedule_Inputs!$E$8)=0,(27-Schedule_Inputs!$B$8)/Schedule_Inputs!$E$8&lt;Schedule_Inputs!$D$8),$C8/Schedule_Inputs!$D$8,0),0))))</f>
        <v>0</v>
      </c>
      <c r="AF8" s="31">
        <f>IF(Schedule_Inputs!$C$8="Blueprint",$C8*IF(28-Schedule_Inputs!$B$8=0,Assumptions!$B$21,IF(28-Schedule_Inputs!$B$8=1,Assumptions!$C$21,IF(28-Schedule_Inputs!$B$8=2,Assumptions!$D$21,0))),IF(Schedule_Inputs!$C$8="Launch",$C8*IF(28-Schedule_Inputs!$B$8=0,Assumptions!$B$22,IF(28-Schedule_Inputs!$B$8=1,Assumptions!$C$22,IF(28-Schedule_Inputs!$B$8=2,Assumptions!$D$22,IF(28-Schedule_Inputs!$B$8=3,Assumptions!$B$23,0)))),IF(Schedule_Inputs!$C$8="Office Setup",$C8*IF(28-Schedule_Inputs!$B$8=0,Assumptions!$B$24,IF(28-Schedule_Inputs!$B$8=1,Assumptions!$C$24,IF(28-Schedule_Inputs!$B$8=2,Assumptions!$D$24,0))),IF(OR(Schedule_Inputs!$C$8="Monthly",Schedule_Inputs!$C$8="Periodic"),IF(AND(28&gt;=Schedule_Inputs!$B$8,MOD(28-Schedule_Inputs!$B$8,Schedule_Inputs!$E$8)=0,(28-Schedule_Inputs!$B$8)/Schedule_Inputs!$E$8&lt;Schedule_Inputs!$D$8),$C8/Schedule_Inputs!$D$8,0),0))))</f>
        <v>0</v>
      </c>
      <c r="AG8" s="31">
        <f>IF(Schedule_Inputs!$C$8="Blueprint",$C8*IF(29-Schedule_Inputs!$B$8=0,Assumptions!$B$21,IF(29-Schedule_Inputs!$B$8=1,Assumptions!$C$21,IF(29-Schedule_Inputs!$B$8=2,Assumptions!$D$21,0))),IF(Schedule_Inputs!$C$8="Launch",$C8*IF(29-Schedule_Inputs!$B$8=0,Assumptions!$B$22,IF(29-Schedule_Inputs!$B$8=1,Assumptions!$C$22,IF(29-Schedule_Inputs!$B$8=2,Assumptions!$D$22,IF(29-Schedule_Inputs!$B$8=3,Assumptions!$B$23,0)))),IF(Schedule_Inputs!$C$8="Office Setup",$C8*IF(29-Schedule_Inputs!$B$8=0,Assumptions!$B$24,IF(29-Schedule_Inputs!$B$8=1,Assumptions!$C$24,IF(29-Schedule_Inputs!$B$8=2,Assumptions!$D$24,0))),IF(OR(Schedule_Inputs!$C$8="Monthly",Schedule_Inputs!$C$8="Periodic"),IF(AND(29&gt;=Schedule_Inputs!$B$8,MOD(29-Schedule_Inputs!$B$8,Schedule_Inputs!$E$8)=0,(29-Schedule_Inputs!$B$8)/Schedule_Inputs!$E$8&lt;Schedule_Inputs!$D$8),$C8/Schedule_Inputs!$D$8,0),0))))</f>
        <v>0</v>
      </c>
      <c r="AH8" s="31">
        <f>IF(Schedule_Inputs!$C$8="Blueprint",$C8*IF(30-Schedule_Inputs!$B$8=0,Assumptions!$B$21,IF(30-Schedule_Inputs!$B$8=1,Assumptions!$C$21,IF(30-Schedule_Inputs!$B$8=2,Assumptions!$D$21,0))),IF(Schedule_Inputs!$C$8="Launch",$C8*IF(30-Schedule_Inputs!$B$8=0,Assumptions!$B$22,IF(30-Schedule_Inputs!$B$8=1,Assumptions!$C$22,IF(30-Schedule_Inputs!$B$8=2,Assumptions!$D$22,IF(30-Schedule_Inputs!$B$8=3,Assumptions!$B$23,0)))),IF(Schedule_Inputs!$C$8="Office Setup",$C8*IF(30-Schedule_Inputs!$B$8=0,Assumptions!$B$24,IF(30-Schedule_Inputs!$B$8=1,Assumptions!$C$24,IF(30-Schedule_Inputs!$B$8=2,Assumptions!$D$24,0))),IF(OR(Schedule_Inputs!$C$8="Monthly",Schedule_Inputs!$C$8="Periodic"),IF(AND(30&gt;=Schedule_Inputs!$B$8,MOD(30-Schedule_Inputs!$B$8,Schedule_Inputs!$E$8)=0,(30-Schedule_Inputs!$B$8)/Schedule_Inputs!$E$8&lt;Schedule_Inputs!$D$8),$C8/Schedule_Inputs!$D$8,0),0))))</f>
        <v>0</v>
      </c>
      <c r="AI8" s="31">
        <f>IF(Schedule_Inputs!$C$8="Blueprint",$C8*IF(31-Schedule_Inputs!$B$8=0,Assumptions!$B$21,IF(31-Schedule_Inputs!$B$8=1,Assumptions!$C$21,IF(31-Schedule_Inputs!$B$8=2,Assumptions!$D$21,0))),IF(Schedule_Inputs!$C$8="Launch",$C8*IF(31-Schedule_Inputs!$B$8=0,Assumptions!$B$22,IF(31-Schedule_Inputs!$B$8=1,Assumptions!$C$22,IF(31-Schedule_Inputs!$B$8=2,Assumptions!$D$22,IF(31-Schedule_Inputs!$B$8=3,Assumptions!$B$23,0)))),IF(Schedule_Inputs!$C$8="Office Setup",$C8*IF(31-Schedule_Inputs!$B$8=0,Assumptions!$B$24,IF(31-Schedule_Inputs!$B$8=1,Assumptions!$C$24,IF(31-Schedule_Inputs!$B$8=2,Assumptions!$D$24,0))),IF(OR(Schedule_Inputs!$C$8="Monthly",Schedule_Inputs!$C$8="Periodic"),IF(AND(31&gt;=Schedule_Inputs!$B$8,MOD(31-Schedule_Inputs!$B$8,Schedule_Inputs!$E$8)=0,(31-Schedule_Inputs!$B$8)/Schedule_Inputs!$E$8&lt;Schedule_Inputs!$D$8),$C8/Schedule_Inputs!$D$8,0),0))))</f>
        <v>0</v>
      </c>
      <c r="AJ8" s="31">
        <f>IF(Schedule_Inputs!$C$8="Blueprint",$C8*IF(32-Schedule_Inputs!$B$8=0,Assumptions!$B$21,IF(32-Schedule_Inputs!$B$8=1,Assumptions!$C$21,IF(32-Schedule_Inputs!$B$8=2,Assumptions!$D$21,0))),IF(Schedule_Inputs!$C$8="Launch",$C8*IF(32-Schedule_Inputs!$B$8=0,Assumptions!$B$22,IF(32-Schedule_Inputs!$B$8=1,Assumptions!$C$22,IF(32-Schedule_Inputs!$B$8=2,Assumptions!$D$22,IF(32-Schedule_Inputs!$B$8=3,Assumptions!$B$23,0)))),IF(Schedule_Inputs!$C$8="Office Setup",$C8*IF(32-Schedule_Inputs!$B$8=0,Assumptions!$B$24,IF(32-Schedule_Inputs!$B$8=1,Assumptions!$C$24,IF(32-Schedule_Inputs!$B$8=2,Assumptions!$D$24,0))),IF(OR(Schedule_Inputs!$C$8="Monthly",Schedule_Inputs!$C$8="Periodic"),IF(AND(32&gt;=Schedule_Inputs!$B$8,MOD(32-Schedule_Inputs!$B$8,Schedule_Inputs!$E$8)=0,(32-Schedule_Inputs!$B$8)/Schedule_Inputs!$E$8&lt;Schedule_Inputs!$D$8),$C8/Schedule_Inputs!$D$8,0),0))))</f>
        <v>0</v>
      </c>
      <c r="AK8" s="31">
        <f>IF(Schedule_Inputs!$C$8="Blueprint",$C8*IF(33-Schedule_Inputs!$B$8=0,Assumptions!$B$21,IF(33-Schedule_Inputs!$B$8=1,Assumptions!$C$21,IF(33-Schedule_Inputs!$B$8=2,Assumptions!$D$21,0))),IF(Schedule_Inputs!$C$8="Launch",$C8*IF(33-Schedule_Inputs!$B$8=0,Assumptions!$B$22,IF(33-Schedule_Inputs!$B$8=1,Assumptions!$C$22,IF(33-Schedule_Inputs!$B$8=2,Assumptions!$D$22,IF(33-Schedule_Inputs!$B$8=3,Assumptions!$B$23,0)))),IF(Schedule_Inputs!$C$8="Office Setup",$C8*IF(33-Schedule_Inputs!$B$8=0,Assumptions!$B$24,IF(33-Schedule_Inputs!$B$8=1,Assumptions!$C$24,IF(33-Schedule_Inputs!$B$8=2,Assumptions!$D$24,0))),IF(OR(Schedule_Inputs!$C$8="Monthly",Schedule_Inputs!$C$8="Periodic"),IF(AND(33&gt;=Schedule_Inputs!$B$8,MOD(33-Schedule_Inputs!$B$8,Schedule_Inputs!$E$8)=0,(33-Schedule_Inputs!$B$8)/Schedule_Inputs!$E$8&lt;Schedule_Inputs!$D$8),$C8/Schedule_Inputs!$D$8,0),0))))</f>
        <v>0</v>
      </c>
      <c r="AL8" s="31">
        <f>IF(Schedule_Inputs!$C$8="Blueprint",$C8*IF(34-Schedule_Inputs!$B$8=0,Assumptions!$B$21,IF(34-Schedule_Inputs!$B$8=1,Assumptions!$C$21,IF(34-Schedule_Inputs!$B$8=2,Assumptions!$D$21,0))),IF(Schedule_Inputs!$C$8="Launch",$C8*IF(34-Schedule_Inputs!$B$8=0,Assumptions!$B$22,IF(34-Schedule_Inputs!$B$8=1,Assumptions!$C$22,IF(34-Schedule_Inputs!$B$8=2,Assumptions!$D$22,IF(34-Schedule_Inputs!$B$8=3,Assumptions!$B$23,0)))),IF(Schedule_Inputs!$C$8="Office Setup",$C8*IF(34-Schedule_Inputs!$B$8=0,Assumptions!$B$24,IF(34-Schedule_Inputs!$B$8=1,Assumptions!$C$24,IF(34-Schedule_Inputs!$B$8=2,Assumptions!$D$24,0))),IF(OR(Schedule_Inputs!$C$8="Monthly",Schedule_Inputs!$C$8="Periodic"),IF(AND(34&gt;=Schedule_Inputs!$B$8,MOD(34-Schedule_Inputs!$B$8,Schedule_Inputs!$E$8)=0,(34-Schedule_Inputs!$B$8)/Schedule_Inputs!$E$8&lt;Schedule_Inputs!$D$8),$C8/Schedule_Inputs!$D$8,0),0))))</f>
        <v>0</v>
      </c>
      <c r="AM8" s="31">
        <f>IF(Schedule_Inputs!$C$8="Blueprint",$C8*IF(35-Schedule_Inputs!$B$8=0,Assumptions!$B$21,IF(35-Schedule_Inputs!$B$8=1,Assumptions!$C$21,IF(35-Schedule_Inputs!$B$8=2,Assumptions!$D$21,0))),IF(Schedule_Inputs!$C$8="Launch",$C8*IF(35-Schedule_Inputs!$B$8=0,Assumptions!$B$22,IF(35-Schedule_Inputs!$B$8=1,Assumptions!$C$22,IF(35-Schedule_Inputs!$B$8=2,Assumptions!$D$22,IF(35-Schedule_Inputs!$B$8=3,Assumptions!$B$23,0)))),IF(Schedule_Inputs!$C$8="Office Setup",$C8*IF(35-Schedule_Inputs!$B$8=0,Assumptions!$B$24,IF(35-Schedule_Inputs!$B$8=1,Assumptions!$C$24,IF(35-Schedule_Inputs!$B$8=2,Assumptions!$D$24,0))),IF(OR(Schedule_Inputs!$C$8="Monthly",Schedule_Inputs!$C$8="Periodic"),IF(AND(35&gt;=Schedule_Inputs!$B$8,MOD(35-Schedule_Inputs!$B$8,Schedule_Inputs!$E$8)=0,(35-Schedule_Inputs!$B$8)/Schedule_Inputs!$E$8&lt;Schedule_Inputs!$D$8),$C8/Schedule_Inputs!$D$8,0),0))))</f>
        <v>0</v>
      </c>
      <c r="AN8" s="31">
        <f>IF(Schedule_Inputs!$C$8="Blueprint",$C8*IF(36-Schedule_Inputs!$B$8=0,Assumptions!$B$21,IF(36-Schedule_Inputs!$B$8=1,Assumptions!$C$21,IF(36-Schedule_Inputs!$B$8=2,Assumptions!$D$21,0))),IF(Schedule_Inputs!$C$8="Launch",$C8*IF(36-Schedule_Inputs!$B$8=0,Assumptions!$B$22,IF(36-Schedule_Inputs!$B$8=1,Assumptions!$C$22,IF(36-Schedule_Inputs!$B$8=2,Assumptions!$D$22,IF(36-Schedule_Inputs!$B$8=3,Assumptions!$B$23,0)))),IF(Schedule_Inputs!$C$8="Office Setup",$C8*IF(36-Schedule_Inputs!$B$8=0,Assumptions!$B$24,IF(36-Schedule_Inputs!$B$8=1,Assumptions!$C$24,IF(36-Schedule_Inputs!$B$8=2,Assumptions!$D$24,0))),IF(OR(Schedule_Inputs!$C$8="Monthly",Schedule_Inputs!$C$8="Periodic"),IF(AND(36&gt;=Schedule_Inputs!$B$8,MOD(36-Schedule_Inputs!$B$8,Schedule_Inputs!$E$8)=0,(36-Schedule_Inputs!$B$8)/Schedule_Inputs!$E$8&lt;Schedule_Inputs!$D$8),$C8/Schedule_Inputs!$D$8,0),0))))</f>
        <v>0</v>
      </c>
    </row>
    <row r="9" spans="1:40">
      <c r="A9" s="29" t="s">
        <v>238</v>
      </c>
      <c r="B9" s="29">
        <v>1</v>
      </c>
      <c r="C9" s="30">
        <v>10500</v>
      </c>
      <c r="D9" s="31" t="s">
        <v>239</v>
      </c>
      <c r="E9" s="31">
        <f>IF(Schedule_Inputs!$C$9="Blueprint",$C9*IF(1-Schedule_Inputs!$B$9=0,Assumptions!$B$21,IF(1-Schedule_Inputs!$B$9=1,Assumptions!$C$21,IF(1-Schedule_Inputs!$B$9=2,Assumptions!$D$21,0))),IF(Schedule_Inputs!$C$9="Launch",$C9*IF(1-Schedule_Inputs!$B$9=0,Assumptions!$B$22,IF(1-Schedule_Inputs!$B$9=1,Assumptions!$C$22,IF(1-Schedule_Inputs!$B$9=2,Assumptions!$D$22,IF(1-Schedule_Inputs!$B$9=3,Assumptions!$B$23,0)))),IF(Schedule_Inputs!$C$9="Office Setup",$C9*IF(1-Schedule_Inputs!$B$9=0,Assumptions!$B$24,IF(1-Schedule_Inputs!$B$9=1,Assumptions!$C$24,IF(1-Schedule_Inputs!$B$9=2,Assumptions!$D$24,0))),IF(OR(Schedule_Inputs!$C$9="Monthly",Schedule_Inputs!$C$9="Periodic"),IF(AND(1&gt;=Schedule_Inputs!$B$9,MOD(1-Schedule_Inputs!$B$9,Schedule_Inputs!$E$9)=0,(1-Schedule_Inputs!$B$9)/Schedule_Inputs!$E$9&lt;Schedule_Inputs!$D$9),$C9/Schedule_Inputs!$D$9,0),0))))</f>
        <v>0</v>
      </c>
      <c r="F9" s="31">
        <f>IF(Schedule_Inputs!$C$9="Blueprint",$C9*IF(2-Schedule_Inputs!$B$9=0,Assumptions!$B$21,IF(2-Schedule_Inputs!$B$9=1,Assumptions!$C$21,IF(2-Schedule_Inputs!$B$9=2,Assumptions!$D$21,0))),IF(Schedule_Inputs!$C$9="Launch",$C9*IF(2-Schedule_Inputs!$B$9=0,Assumptions!$B$22,IF(2-Schedule_Inputs!$B$9=1,Assumptions!$C$22,IF(2-Schedule_Inputs!$B$9=2,Assumptions!$D$22,IF(2-Schedule_Inputs!$B$9=3,Assumptions!$B$23,0)))),IF(Schedule_Inputs!$C$9="Office Setup",$C9*IF(2-Schedule_Inputs!$B$9=0,Assumptions!$B$24,IF(2-Schedule_Inputs!$B$9=1,Assumptions!$C$24,IF(2-Schedule_Inputs!$B$9=2,Assumptions!$D$24,0))),IF(OR(Schedule_Inputs!$C$9="Monthly",Schedule_Inputs!$C$9="Periodic"),IF(AND(2&gt;=Schedule_Inputs!$B$9,MOD(2-Schedule_Inputs!$B$9,Schedule_Inputs!$E$9)=0,(2-Schedule_Inputs!$B$9)/Schedule_Inputs!$E$9&lt;Schedule_Inputs!$D$9),$C9/Schedule_Inputs!$D$9,0),0))))</f>
        <v>0</v>
      </c>
      <c r="G9" s="31">
        <f>IF(Schedule_Inputs!$C$9="Blueprint",$C9*IF(3-Schedule_Inputs!$B$9=0,Assumptions!$B$21,IF(3-Schedule_Inputs!$B$9=1,Assumptions!$C$21,IF(3-Schedule_Inputs!$B$9=2,Assumptions!$D$21,0))),IF(Schedule_Inputs!$C$9="Launch",$C9*IF(3-Schedule_Inputs!$B$9=0,Assumptions!$B$22,IF(3-Schedule_Inputs!$B$9=1,Assumptions!$C$22,IF(3-Schedule_Inputs!$B$9=2,Assumptions!$D$22,IF(3-Schedule_Inputs!$B$9=3,Assumptions!$B$23,0)))),IF(Schedule_Inputs!$C$9="Office Setup",$C9*IF(3-Schedule_Inputs!$B$9=0,Assumptions!$B$24,IF(3-Schedule_Inputs!$B$9=1,Assumptions!$C$24,IF(3-Schedule_Inputs!$B$9=2,Assumptions!$D$24,0))),IF(OR(Schedule_Inputs!$C$9="Monthly",Schedule_Inputs!$C$9="Periodic"),IF(AND(3&gt;=Schedule_Inputs!$B$9,MOD(3-Schedule_Inputs!$B$9,Schedule_Inputs!$E$9)=0,(3-Schedule_Inputs!$B$9)/Schedule_Inputs!$E$9&lt;Schedule_Inputs!$D$9),$C9/Schedule_Inputs!$D$9,0),0))))</f>
        <v>0</v>
      </c>
      <c r="H9" s="31">
        <f>IF(Schedule_Inputs!$C$9="Blueprint",$C9*IF(4-Schedule_Inputs!$B$9=0,Assumptions!$B$21,IF(4-Schedule_Inputs!$B$9=1,Assumptions!$C$21,IF(4-Schedule_Inputs!$B$9=2,Assumptions!$D$21,0))),IF(Schedule_Inputs!$C$9="Launch",$C9*IF(4-Schedule_Inputs!$B$9=0,Assumptions!$B$22,IF(4-Schedule_Inputs!$B$9=1,Assumptions!$C$22,IF(4-Schedule_Inputs!$B$9=2,Assumptions!$D$22,IF(4-Schedule_Inputs!$B$9=3,Assumptions!$B$23,0)))),IF(Schedule_Inputs!$C$9="Office Setup",$C9*IF(4-Schedule_Inputs!$B$9=0,Assumptions!$B$24,IF(4-Schedule_Inputs!$B$9=1,Assumptions!$C$24,IF(4-Schedule_Inputs!$B$9=2,Assumptions!$D$24,0))),IF(OR(Schedule_Inputs!$C$9="Monthly",Schedule_Inputs!$C$9="Periodic"),IF(AND(4&gt;=Schedule_Inputs!$B$9,MOD(4-Schedule_Inputs!$B$9,Schedule_Inputs!$E$9)=0,(4-Schedule_Inputs!$B$9)/Schedule_Inputs!$E$9&lt;Schedule_Inputs!$D$9),$C9/Schedule_Inputs!$D$9,0),0))))</f>
        <v>0</v>
      </c>
      <c r="I9" s="31">
        <f>IF(Schedule_Inputs!$C$9="Blueprint",$C9*IF(5-Schedule_Inputs!$B$9=0,Assumptions!$B$21,IF(5-Schedule_Inputs!$B$9=1,Assumptions!$C$21,IF(5-Schedule_Inputs!$B$9=2,Assumptions!$D$21,0))),IF(Schedule_Inputs!$C$9="Launch",$C9*IF(5-Schedule_Inputs!$B$9=0,Assumptions!$B$22,IF(5-Schedule_Inputs!$B$9=1,Assumptions!$C$22,IF(5-Schedule_Inputs!$B$9=2,Assumptions!$D$22,IF(5-Schedule_Inputs!$B$9=3,Assumptions!$B$23,0)))),IF(Schedule_Inputs!$C$9="Office Setup",$C9*IF(5-Schedule_Inputs!$B$9=0,Assumptions!$B$24,IF(5-Schedule_Inputs!$B$9=1,Assumptions!$C$24,IF(5-Schedule_Inputs!$B$9=2,Assumptions!$D$24,0))),IF(OR(Schedule_Inputs!$C$9="Monthly",Schedule_Inputs!$C$9="Periodic"),IF(AND(5&gt;=Schedule_Inputs!$B$9,MOD(5-Schedule_Inputs!$B$9,Schedule_Inputs!$E$9)=0,(5-Schedule_Inputs!$B$9)/Schedule_Inputs!$E$9&lt;Schedule_Inputs!$D$9),$C9/Schedule_Inputs!$D$9,0),0))))</f>
        <v>0</v>
      </c>
      <c r="J9" s="31">
        <f>IF(Schedule_Inputs!$C$9="Blueprint",$C9*IF(6-Schedule_Inputs!$B$9=0,Assumptions!$B$21,IF(6-Schedule_Inputs!$B$9=1,Assumptions!$C$21,IF(6-Schedule_Inputs!$B$9=2,Assumptions!$D$21,0))),IF(Schedule_Inputs!$C$9="Launch",$C9*IF(6-Schedule_Inputs!$B$9=0,Assumptions!$B$22,IF(6-Schedule_Inputs!$B$9=1,Assumptions!$C$22,IF(6-Schedule_Inputs!$B$9=2,Assumptions!$D$22,IF(6-Schedule_Inputs!$B$9=3,Assumptions!$B$23,0)))),IF(Schedule_Inputs!$C$9="Office Setup",$C9*IF(6-Schedule_Inputs!$B$9=0,Assumptions!$B$24,IF(6-Schedule_Inputs!$B$9=1,Assumptions!$C$24,IF(6-Schedule_Inputs!$B$9=2,Assumptions!$D$24,0))),IF(OR(Schedule_Inputs!$C$9="Monthly",Schedule_Inputs!$C$9="Periodic"),IF(AND(6&gt;=Schedule_Inputs!$B$9,MOD(6-Schedule_Inputs!$B$9,Schedule_Inputs!$E$9)=0,(6-Schedule_Inputs!$B$9)/Schedule_Inputs!$E$9&lt;Schedule_Inputs!$D$9),$C9/Schedule_Inputs!$D$9,0),0))))</f>
        <v>0</v>
      </c>
      <c r="K9" s="31">
        <f>IF(Schedule_Inputs!$C$9="Blueprint",$C9*IF(7-Schedule_Inputs!$B$9=0,Assumptions!$B$21,IF(7-Schedule_Inputs!$B$9=1,Assumptions!$C$21,IF(7-Schedule_Inputs!$B$9=2,Assumptions!$D$21,0))),IF(Schedule_Inputs!$C$9="Launch",$C9*IF(7-Schedule_Inputs!$B$9=0,Assumptions!$B$22,IF(7-Schedule_Inputs!$B$9=1,Assumptions!$C$22,IF(7-Schedule_Inputs!$B$9=2,Assumptions!$D$22,IF(7-Schedule_Inputs!$B$9=3,Assumptions!$B$23,0)))),IF(Schedule_Inputs!$C$9="Office Setup",$C9*IF(7-Schedule_Inputs!$B$9=0,Assumptions!$B$24,IF(7-Schedule_Inputs!$B$9=1,Assumptions!$C$24,IF(7-Schedule_Inputs!$B$9=2,Assumptions!$D$24,0))),IF(OR(Schedule_Inputs!$C$9="Monthly",Schedule_Inputs!$C$9="Periodic"),IF(AND(7&gt;=Schedule_Inputs!$B$9,MOD(7-Schedule_Inputs!$B$9,Schedule_Inputs!$E$9)=0,(7-Schedule_Inputs!$B$9)/Schedule_Inputs!$E$9&lt;Schedule_Inputs!$D$9),$C9/Schedule_Inputs!$D$9,0),0))))</f>
        <v>0</v>
      </c>
      <c r="L9" s="31">
        <f>IF(Schedule_Inputs!$C$9="Blueprint",$C9*IF(8-Schedule_Inputs!$B$9=0,Assumptions!$B$21,IF(8-Schedule_Inputs!$B$9=1,Assumptions!$C$21,IF(8-Schedule_Inputs!$B$9=2,Assumptions!$D$21,0))),IF(Schedule_Inputs!$C$9="Launch",$C9*IF(8-Schedule_Inputs!$B$9=0,Assumptions!$B$22,IF(8-Schedule_Inputs!$B$9=1,Assumptions!$C$22,IF(8-Schedule_Inputs!$B$9=2,Assumptions!$D$22,IF(8-Schedule_Inputs!$B$9=3,Assumptions!$B$23,0)))),IF(Schedule_Inputs!$C$9="Office Setup",$C9*IF(8-Schedule_Inputs!$B$9=0,Assumptions!$B$24,IF(8-Schedule_Inputs!$B$9=1,Assumptions!$C$24,IF(8-Schedule_Inputs!$B$9=2,Assumptions!$D$24,0))),IF(OR(Schedule_Inputs!$C$9="Monthly",Schedule_Inputs!$C$9="Periodic"),IF(AND(8&gt;=Schedule_Inputs!$B$9,MOD(8-Schedule_Inputs!$B$9,Schedule_Inputs!$E$9)=0,(8-Schedule_Inputs!$B$9)/Schedule_Inputs!$E$9&lt;Schedule_Inputs!$D$9),$C9/Schedule_Inputs!$D$9,0),0))))</f>
        <v>0</v>
      </c>
      <c r="M9" s="31">
        <f>IF(Schedule_Inputs!$C$9="Blueprint",$C9*IF(9-Schedule_Inputs!$B$9=0,Assumptions!$B$21,IF(9-Schedule_Inputs!$B$9=1,Assumptions!$C$21,IF(9-Schedule_Inputs!$B$9=2,Assumptions!$D$21,0))),IF(Schedule_Inputs!$C$9="Launch",$C9*IF(9-Schedule_Inputs!$B$9=0,Assumptions!$B$22,IF(9-Schedule_Inputs!$B$9=1,Assumptions!$C$22,IF(9-Schedule_Inputs!$B$9=2,Assumptions!$D$22,IF(9-Schedule_Inputs!$B$9=3,Assumptions!$B$23,0)))),IF(Schedule_Inputs!$C$9="Office Setup",$C9*IF(9-Schedule_Inputs!$B$9=0,Assumptions!$B$24,IF(9-Schedule_Inputs!$B$9=1,Assumptions!$C$24,IF(9-Schedule_Inputs!$B$9=2,Assumptions!$D$24,0))),IF(OR(Schedule_Inputs!$C$9="Monthly",Schedule_Inputs!$C$9="Periodic"),IF(AND(9&gt;=Schedule_Inputs!$B$9,MOD(9-Schedule_Inputs!$B$9,Schedule_Inputs!$E$9)=0,(9-Schedule_Inputs!$B$9)/Schedule_Inputs!$E$9&lt;Schedule_Inputs!$D$9),$C9/Schedule_Inputs!$D$9,0),0))))</f>
        <v>0</v>
      </c>
      <c r="N9" s="31">
        <f>IF(Schedule_Inputs!$C$9="Blueprint",$C9*IF(10-Schedule_Inputs!$B$9=0,Assumptions!$B$21,IF(10-Schedule_Inputs!$B$9=1,Assumptions!$C$21,IF(10-Schedule_Inputs!$B$9=2,Assumptions!$D$21,0))),IF(Schedule_Inputs!$C$9="Launch",$C9*IF(10-Schedule_Inputs!$B$9=0,Assumptions!$B$22,IF(10-Schedule_Inputs!$B$9=1,Assumptions!$C$22,IF(10-Schedule_Inputs!$B$9=2,Assumptions!$D$22,IF(10-Schedule_Inputs!$B$9=3,Assumptions!$B$23,0)))),IF(Schedule_Inputs!$C$9="Office Setup",$C9*IF(10-Schedule_Inputs!$B$9=0,Assumptions!$B$24,IF(10-Schedule_Inputs!$B$9=1,Assumptions!$C$24,IF(10-Schedule_Inputs!$B$9=2,Assumptions!$D$24,0))),IF(OR(Schedule_Inputs!$C$9="Monthly",Schedule_Inputs!$C$9="Periodic"),IF(AND(10&gt;=Schedule_Inputs!$B$9,MOD(10-Schedule_Inputs!$B$9,Schedule_Inputs!$E$9)=0,(10-Schedule_Inputs!$B$9)/Schedule_Inputs!$E$9&lt;Schedule_Inputs!$D$9),$C9/Schedule_Inputs!$D$9,0),0))))</f>
        <v>3500</v>
      </c>
      <c r="O9" s="31">
        <f>IF(Schedule_Inputs!$C$9="Blueprint",$C9*IF(11-Schedule_Inputs!$B$9=0,Assumptions!$B$21,IF(11-Schedule_Inputs!$B$9=1,Assumptions!$C$21,IF(11-Schedule_Inputs!$B$9=2,Assumptions!$D$21,0))),IF(Schedule_Inputs!$C$9="Launch",$C9*IF(11-Schedule_Inputs!$B$9=0,Assumptions!$B$22,IF(11-Schedule_Inputs!$B$9=1,Assumptions!$C$22,IF(11-Schedule_Inputs!$B$9=2,Assumptions!$D$22,IF(11-Schedule_Inputs!$B$9=3,Assumptions!$B$23,0)))),IF(Schedule_Inputs!$C$9="Office Setup",$C9*IF(11-Schedule_Inputs!$B$9=0,Assumptions!$B$24,IF(11-Schedule_Inputs!$B$9=1,Assumptions!$C$24,IF(11-Schedule_Inputs!$B$9=2,Assumptions!$D$24,0))),IF(OR(Schedule_Inputs!$C$9="Monthly",Schedule_Inputs!$C$9="Periodic"),IF(AND(11&gt;=Schedule_Inputs!$B$9,MOD(11-Schedule_Inputs!$B$9,Schedule_Inputs!$E$9)=0,(11-Schedule_Inputs!$B$9)/Schedule_Inputs!$E$9&lt;Schedule_Inputs!$D$9),$C9/Schedule_Inputs!$D$9,0),0))))</f>
        <v>3500</v>
      </c>
      <c r="P9" s="31">
        <f>IF(Schedule_Inputs!$C$9="Blueprint",$C9*IF(12-Schedule_Inputs!$B$9=0,Assumptions!$B$21,IF(12-Schedule_Inputs!$B$9=1,Assumptions!$C$21,IF(12-Schedule_Inputs!$B$9=2,Assumptions!$D$21,0))),IF(Schedule_Inputs!$C$9="Launch",$C9*IF(12-Schedule_Inputs!$B$9=0,Assumptions!$B$22,IF(12-Schedule_Inputs!$B$9=1,Assumptions!$C$22,IF(12-Schedule_Inputs!$B$9=2,Assumptions!$D$22,IF(12-Schedule_Inputs!$B$9=3,Assumptions!$B$23,0)))),IF(Schedule_Inputs!$C$9="Office Setup",$C9*IF(12-Schedule_Inputs!$B$9=0,Assumptions!$B$24,IF(12-Schedule_Inputs!$B$9=1,Assumptions!$C$24,IF(12-Schedule_Inputs!$B$9=2,Assumptions!$D$24,0))),IF(OR(Schedule_Inputs!$C$9="Monthly",Schedule_Inputs!$C$9="Periodic"),IF(AND(12&gt;=Schedule_Inputs!$B$9,MOD(12-Schedule_Inputs!$B$9,Schedule_Inputs!$E$9)=0,(12-Schedule_Inputs!$B$9)/Schedule_Inputs!$E$9&lt;Schedule_Inputs!$D$9),$C9/Schedule_Inputs!$D$9,0),0))))</f>
        <v>3500</v>
      </c>
      <c r="Q9" s="31">
        <f>IF(Schedule_Inputs!$C$9="Blueprint",$C9*IF(13-Schedule_Inputs!$B$9=0,Assumptions!$B$21,IF(13-Schedule_Inputs!$B$9=1,Assumptions!$C$21,IF(13-Schedule_Inputs!$B$9=2,Assumptions!$D$21,0))),IF(Schedule_Inputs!$C$9="Launch",$C9*IF(13-Schedule_Inputs!$B$9=0,Assumptions!$B$22,IF(13-Schedule_Inputs!$B$9=1,Assumptions!$C$22,IF(13-Schedule_Inputs!$B$9=2,Assumptions!$D$22,IF(13-Schedule_Inputs!$B$9=3,Assumptions!$B$23,0)))),IF(Schedule_Inputs!$C$9="Office Setup",$C9*IF(13-Schedule_Inputs!$B$9=0,Assumptions!$B$24,IF(13-Schedule_Inputs!$B$9=1,Assumptions!$C$24,IF(13-Schedule_Inputs!$B$9=2,Assumptions!$D$24,0))),IF(OR(Schedule_Inputs!$C$9="Monthly",Schedule_Inputs!$C$9="Periodic"),IF(AND(13&gt;=Schedule_Inputs!$B$9,MOD(13-Schedule_Inputs!$B$9,Schedule_Inputs!$E$9)=0,(13-Schedule_Inputs!$B$9)/Schedule_Inputs!$E$9&lt;Schedule_Inputs!$D$9),$C9/Schedule_Inputs!$D$9,0),0))))</f>
        <v>0</v>
      </c>
      <c r="R9" s="31">
        <f>IF(Schedule_Inputs!$C$9="Blueprint",$C9*IF(14-Schedule_Inputs!$B$9=0,Assumptions!$B$21,IF(14-Schedule_Inputs!$B$9=1,Assumptions!$C$21,IF(14-Schedule_Inputs!$B$9=2,Assumptions!$D$21,0))),IF(Schedule_Inputs!$C$9="Launch",$C9*IF(14-Schedule_Inputs!$B$9=0,Assumptions!$B$22,IF(14-Schedule_Inputs!$B$9=1,Assumptions!$C$22,IF(14-Schedule_Inputs!$B$9=2,Assumptions!$D$22,IF(14-Schedule_Inputs!$B$9=3,Assumptions!$B$23,0)))),IF(Schedule_Inputs!$C$9="Office Setup",$C9*IF(14-Schedule_Inputs!$B$9=0,Assumptions!$B$24,IF(14-Schedule_Inputs!$B$9=1,Assumptions!$C$24,IF(14-Schedule_Inputs!$B$9=2,Assumptions!$D$24,0))),IF(OR(Schedule_Inputs!$C$9="Monthly",Schedule_Inputs!$C$9="Periodic"),IF(AND(14&gt;=Schedule_Inputs!$B$9,MOD(14-Schedule_Inputs!$B$9,Schedule_Inputs!$E$9)=0,(14-Schedule_Inputs!$B$9)/Schedule_Inputs!$E$9&lt;Schedule_Inputs!$D$9),$C9/Schedule_Inputs!$D$9,0),0))))</f>
        <v>0</v>
      </c>
      <c r="S9" s="31">
        <f>IF(Schedule_Inputs!$C$9="Blueprint",$C9*IF(15-Schedule_Inputs!$B$9=0,Assumptions!$B$21,IF(15-Schedule_Inputs!$B$9=1,Assumptions!$C$21,IF(15-Schedule_Inputs!$B$9=2,Assumptions!$D$21,0))),IF(Schedule_Inputs!$C$9="Launch",$C9*IF(15-Schedule_Inputs!$B$9=0,Assumptions!$B$22,IF(15-Schedule_Inputs!$B$9=1,Assumptions!$C$22,IF(15-Schedule_Inputs!$B$9=2,Assumptions!$D$22,IF(15-Schedule_Inputs!$B$9=3,Assumptions!$B$23,0)))),IF(Schedule_Inputs!$C$9="Office Setup",$C9*IF(15-Schedule_Inputs!$B$9=0,Assumptions!$B$24,IF(15-Schedule_Inputs!$B$9=1,Assumptions!$C$24,IF(15-Schedule_Inputs!$B$9=2,Assumptions!$D$24,0))),IF(OR(Schedule_Inputs!$C$9="Monthly",Schedule_Inputs!$C$9="Periodic"),IF(AND(15&gt;=Schedule_Inputs!$B$9,MOD(15-Schedule_Inputs!$B$9,Schedule_Inputs!$E$9)=0,(15-Schedule_Inputs!$B$9)/Schedule_Inputs!$E$9&lt;Schedule_Inputs!$D$9),$C9/Schedule_Inputs!$D$9,0),0))))</f>
        <v>0</v>
      </c>
      <c r="T9" s="31">
        <f>IF(Schedule_Inputs!$C$9="Blueprint",$C9*IF(16-Schedule_Inputs!$B$9=0,Assumptions!$B$21,IF(16-Schedule_Inputs!$B$9=1,Assumptions!$C$21,IF(16-Schedule_Inputs!$B$9=2,Assumptions!$D$21,0))),IF(Schedule_Inputs!$C$9="Launch",$C9*IF(16-Schedule_Inputs!$B$9=0,Assumptions!$B$22,IF(16-Schedule_Inputs!$B$9=1,Assumptions!$C$22,IF(16-Schedule_Inputs!$B$9=2,Assumptions!$D$22,IF(16-Schedule_Inputs!$B$9=3,Assumptions!$B$23,0)))),IF(Schedule_Inputs!$C$9="Office Setup",$C9*IF(16-Schedule_Inputs!$B$9=0,Assumptions!$B$24,IF(16-Schedule_Inputs!$B$9=1,Assumptions!$C$24,IF(16-Schedule_Inputs!$B$9=2,Assumptions!$D$24,0))),IF(OR(Schedule_Inputs!$C$9="Monthly",Schedule_Inputs!$C$9="Periodic"),IF(AND(16&gt;=Schedule_Inputs!$B$9,MOD(16-Schedule_Inputs!$B$9,Schedule_Inputs!$E$9)=0,(16-Schedule_Inputs!$B$9)/Schedule_Inputs!$E$9&lt;Schedule_Inputs!$D$9),$C9/Schedule_Inputs!$D$9,0),0))))</f>
        <v>0</v>
      </c>
      <c r="U9" s="31">
        <f>IF(Schedule_Inputs!$C$9="Blueprint",$C9*IF(17-Schedule_Inputs!$B$9=0,Assumptions!$B$21,IF(17-Schedule_Inputs!$B$9=1,Assumptions!$C$21,IF(17-Schedule_Inputs!$B$9=2,Assumptions!$D$21,0))),IF(Schedule_Inputs!$C$9="Launch",$C9*IF(17-Schedule_Inputs!$B$9=0,Assumptions!$B$22,IF(17-Schedule_Inputs!$B$9=1,Assumptions!$C$22,IF(17-Schedule_Inputs!$B$9=2,Assumptions!$D$22,IF(17-Schedule_Inputs!$B$9=3,Assumptions!$B$23,0)))),IF(Schedule_Inputs!$C$9="Office Setup",$C9*IF(17-Schedule_Inputs!$B$9=0,Assumptions!$B$24,IF(17-Schedule_Inputs!$B$9=1,Assumptions!$C$24,IF(17-Schedule_Inputs!$B$9=2,Assumptions!$D$24,0))),IF(OR(Schedule_Inputs!$C$9="Monthly",Schedule_Inputs!$C$9="Periodic"),IF(AND(17&gt;=Schedule_Inputs!$B$9,MOD(17-Schedule_Inputs!$B$9,Schedule_Inputs!$E$9)=0,(17-Schedule_Inputs!$B$9)/Schedule_Inputs!$E$9&lt;Schedule_Inputs!$D$9),$C9/Schedule_Inputs!$D$9,0),0))))</f>
        <v>0</v>
      </c>
      <c r="V9" s="31">
        <f>IF(Schedule_Inputs!$C$9="Blueprint",$C9*IF(18-Schedule_Inputs!$B$9=0,Assumptions!$B$21,IF(18-Schedule_Inputs!$B$9=1,Assumptions!$C$21,IF(18-Schedule_Inputs!$B$9=2,Assumptions!$D$21,0))),IF(Schedule_Inputs!$C$9="Launch",$C9*IF(18-Schedule_Inputs!$B$9=0,Assumptions!$B$22,IF(18-Schedule_Inputs!$B$9=1,Assumptions!$C$22,IF(18-Schedule_Inputs!$B$9=2,Assumptions!$D$22,IF(18-Schedule_Inputs!$B$9=3,Assumptions!$B$23,0)))),IF(Schedule_Inputs!$C$9="Office Setup",$C9*IF(18-Schedule_Inputs!$B$9=0,Assumptions!$B$24,IF(18-Schedule_Inputs!$B$9=1,Assumptions!$C$24,IF(18-Schedule_Inputs!$B$9=2,Assumptions!$D$24,0))),IF(OR(Schedule_Inputs!$C$9="Monthly",Schedule_Inputs!$C$9="Periodic"),IF(AND(18&gt;=Schedule_Inputs!$B$9,MOD(18-Schedule_Inputs!$B$9,Schedule_Inputs!$E$9)=0,(18-Schedule_Inputs!$B$9)/Schedule_Inputs!$E$9&lt;Schedule_Inputs!$D$9),$C9/Schedule_Inputs!$D$9,0),0))))</f>
        <v>0</v>
      </c>
      <c r="W9" s="31">
        <f>IF(Schedule_Inputs!$C$9="Blueprint",$C9*IF(19-Schedule_Inputs!$B$9=0,Assumptions!$B$21,IF(19-Schedule_Inputs!$B$9=1,Assumptions!$C$21,IF(19-Schedule_Inputs!$B$9=2,Assumptions!$D$21,0))),IF(Schedule_Inputs!$C$9="Launch",$C9*IF(19-Schedule_Inputs!$B$9=0,Assumptions!$B$22,IF(19-Schedule_Inputs!$B$9=1,Assumptions!$C$22,IF(19-Schedule_Inputs!$B$9=2,Assumptions!$D$22,IF(19-Schedule_Inputs!$B$9=3,Assumptions!$B$23,0)))),IF(Schedule_Inputs!$C$9="Office Setup",$C9*IF(19-Schedule_Inputs!$B$9=0,Assumptions!$B$24,IF(19-Schedule_Inputs!$B$9=1,Assumptions!$C$24,IF(19-Schedule_Inputs!$B$9=2,Assumptions!$D$24,0))),IF(OR(Schedule_Inputs!$C$9="Monthly",Schedule_Inputs!$C$9="Periodic"),IF(AND(19&gt;=Schedule_Inputs!$B$9,MOD(19-Schedule_Inputs!$B$9,Schedule_Inputs!$E$9)=0,(19-Schedule_Inputs!$B$9)/Schedule_Inputs!$E$9&lt;Schedule_Inputs!$D$9),$C9/Schedule_Inputs!$D$9,0),0))))</f>
        <v>0</v>
      </c>
      <c r="X9" s="31">
        <f>IF(Schedule_Inputs!$C$9="Blueprint",$C9*IF(20-Schedule_Inputs!$B$9=0,Assumptions!$B$21,IF(20-Schedule_Inputs!$B$9=1,Assumptions!$C$21,IF(20-Schedule_Inputs!$B$9=2,Assumptions!$D$21,0))),IF(Schedule_Inputs!$C$9="Launch",$C9*IF(20-Schedule_Inputs!$B$9=0,Assumptions!$B$22,IF(20-Schedule_Inputs!$B$9=1,Assumptions!$C$22,IF(20-Schedule_Inputs!$B$9=2,Assumptions!$D$22,IF(20-Schedule_Inputs!$B$9=3,Assumptions!$B$23,0)))),IF(Schedule_Inputs!$C$9="Office Setup",$C9*IF(20-Schedule_Inputs!$B$9=0,Assumptions!$B$24,IF(20-Schedule_Inputs!$B$9=1,Assumptions!$C$24,IF(20-Schedule_Inputs!$B$9=2,Assumptions!$D$24,0))),IF(OR(Schedule_Inputs!$C$9="Monthly",Schedule_Inputs!$C$9="Periodic"),IF(AND(20&gt;=Schedule_Inputs!$B$9,MOD(20-Schedule_Inputs!$B$9,Schedule_Inputs!$E$9)=0,(20-Schedule_Inputs!$B$9)/Schedule_Inputs!$E$9&lt;Schedule_Inputs!$D$9),$C9/Schedule_Inputs!$D$9,0),0))))</f>
        <v>0</v>
      </c>
      <c r="Y9" s="31">
        <f>IF(Schedule_Inputs!$C$9="Blueprint",$C9*IF(21-Schedule_Inputs!$B$9=0,Assumptions!$B$21,IF(21-Schedule_Inputs!$B$9=1,Assumptions!$C$21,IF(21-Schedule_Inputs!$B$9=2,Assumptions!$D$21,0))),IF(Schedule_Inputs!$C$9="Launch",$C9*IF(21-Schedule_Inputs!$B$9=0,Assumptions!$B$22,IF(21-Schedule_Inputs!$B$9=1,Assumptions!$C$22,IF(21-Schedule_Inputs!$B$9=2,Assumptions!$D$22,IF(21-Schedule_Inputs!$B$9=3,Assumptions!$B$23,0)))),IF(Schedule_Inputs!$C$9="Office Setup",$C9*IF(21-Schedule_Inputs!$B$9=0,Assumptions!$B$24,IF(21-Schedule_Inputs!$B$9=1,Assumptions!$C$24,IF(21-Schedule_Inputs!$B$9=2,Assumptions!$D$24,0))),IF(OR(Schedule_Inputs!$C$9="Monthly",Schedule_Inputs!$C$9="Periodic"),IF(AND(21&gt;=Schedule_Inputs!$B$9,MOD(21-Schedule_Inputs!$B$9,Schedule_Inputs!$E$9)=0,(21-Schedule_Inputs!$B$9)/Schedule_Inputs!$E$9&lt;Schedule_Inputs!$D$9),$C9/Schedule_Inputs!$D$9,0),0))))</f>
        <v>0</v>
      </c>
      <c r="Z9" s="31">
        <f>IF(Schedule_Inputs!$C$9="Blueprint",$C9*IF(22-Schedule_Inputs!$B$9=0,Assumptions!$B$21,IF(22-Schedule_Inputs!$B$9=1,Assumptions!$C$21,IF(22-Schedule_Inputs!$B$9=2,Assumptions!$D$21,0))),IF(Schedule_Inputs!$C$9="Launch",$C9*IF(22-Schedule_Inputs!$B$9=0,Assumptions!$B$22,IF(22-Schedule_Inputs!$B$9=1,Assumptions!$C$22,IF(22-Schedule_Inputs!$B$9=2,Assumptions!$D$22,IF(22-Schedule_Inputs!$B$9=3,Assumptions!$B$23,0)))),IF(Schedule_Inputs!$C$9="Office Setup",$C9*IF(22-Schedule_Inputs!$B$9=0,Assumptions!$B$24,IF(22-Schedule_Inputs!$B$9=1,Assumptions!$C$24,IF(22-Schedule_Inputs!$B$9=2,Assumptions!$D$24,0))),IF(OR(Schedule_Inputs!$C$9="Monthly",Schedule_Inputs!$C$9="Periodic"),IF(AND(22&gt;=Schedule_Inputs!$B$9,MOD(22-Schedule_Inputs!$B$9,Schedule_Inputs!$E$9)=0,(22-Schedule_Inputs!$B$9)/Schedule_Inputs!$E$9&lt;Schedule_Inputs!$D$9),$C9/Schedule_Inputs!$D$9,0),0))))</f>
        <v>0</v>
      </c>
      <c r="AA9" s="31">
        <f>IF(Schedule_Inputs!$C$9="Blueprint",$C9*IF(23-Schedule_Inputs!$B$9=0,Assumptions!$B$21,IF(23-Schedule_Inputs!$B$9=1,Assumptions!$C$21,IF(23-Schedule_Inputs!$B$9=2,Assumptions!$D$21,0))),IF(Schedule_Inputs!$C$9="Launch",$C9*IF(23-Schedule_Inputs!$B$9=0,Assumptions!$B$22,IF(23-Schedule_Inputs!$B$9=1,Assumptions!$C$22,IF(23-Schedule_Inputs!$B$9=2,Assumptions!$D$22,IF(23-Schedule_Inputs!$B$9=3,Assumptions!$B$23,0)))),IF(Schedule_Inputs!$C$9="Office Setup",$C9*IF(23-Schedule_Inputs!$B$9=0,Assumptions!$B$24,IF(23-Schedule_Inputs!$B$9=1,Assumptions!$C$24,IF(23-Schedule_Inputs!$B$9=2,Assumptions!$D$24,0))),IF(OR(Schedule_Inputs!$C$9="Monthly",Schedule_Inputs!$C$9="Periodic"),IF(AND(23&gt;=Schedule_Inputs!$B$9,MOD(23-Schedule_Inputs!$B$9,Schedule_Inputs!$E$9)=0,(23-Schedule_Inputs!$B$9)/Schedule_Inputs!$E$9&lt;Schedule_Inputs!$D$9),$C9/Schedule_Inputs!$D$9,0),0))))</f>
        <v>0</v>
      </c>
      <c r="AB9" s="31">
        <f>IF(Schedule_Inputs!$C$9="Blueprint",$C9*IF(24-Schedule_Inputs!$B$9=0,Assumptions!$B$21,IF(24-Schedule_Inputs!$B$9=1,Assumptions!$C$21,IF(24-Schedule_Inputs!$B$9=2,Assumptions!$D$21,0))),IF(Schedule_Inputs!$C$9="Launch",$C9*IF(24-Schedule_Inputs!$B$9=0,Assumptions!$B$22,IF(24-Schedule_Inputs!$B$9=1,Assumptions!$C$22,IF(24-Schedule_Inputs!$B$9=2,Assumptions!$D$22,IF(24-Schedule_Inputs!$B$9=3,Assumptions!$B$23,0)))),IF(Schedule_Inputs!$C$9="Office Setup",$C9*IF(24-Schedule_Inputs!$B$9=0,Assumptions!$B$24,IF(24-Schedule_Inputs!$B$9=1,Assumptions!$C$24,IF(24-Schedule_Inputs!$B$9=2,Assumptions!$D$24,0))),IF(OR(Schedule_Inputs!$C$9="Monthly",Schedule_Inputs!$C$9="Periodic"),IF(AND(24&gt;=Schedule_Inputs!$B$9,MOD(24-Schedule_Inputs!$B$9,Schedule_Inputs!$E$9)=0,(24-Schedule_Inputs!$B$9)/Schedule_Inputs!$E$9&lt;Schedule_Inputs!$D$9),$C9/Schedule_Inputs!$D$9,0),0))))</f>
        <v>0</v>
      </c>
      <c r="AC9" s="31">
        <f>IF(Schedule_Inputs!$C$9="Blueprint",$C9*IF(25-Schedule_Inputs!$B$9=0,Assumptions!$B$21,IF(25-Schedule_Inputs!$B$9=1,Assumptions!$C$21,IF(25-Schedule_Inputs!$B$9=2,Assumptions!$D$21,0))),IF(Schedule_Inputs!$C$9="Launch",$C9*IF(25-Schedule_Inputs!$B$9=0,Assumptions!$B$22,IF(25-Schedule_Inputs!$B$9=1,Assumptions!$C$22,IF(25-Schedule_Inputs!$B$9=2,Assumptions!$D$22,IF(25-Schedule_Inputs!$B$9=3,Assumptions!$B$23,0)))),IF(Schedule_Inputs!$C$9="Office Setup",$C9*IF(25-Schedule_Inputs!$B$9=0,Assumptions!$B$24,IF(25-Schedule_Inputs!$B$9=1,Assumptions!$C$24,IF(25-Schedule_Inputs!$B$9=2,Assumptions!$D$24,0))),IF(OR(Schedule_Inputs!$C$9="Monthly",Schedule_Inputs!$C$9="Periodic"),IF(AND(25&gt;=Schedule_Inputs!$B$9,MOD(25-Schedule_Inputs!$B$9,Schedule_Inputs!$E$9)=0,(25-Schedule_Inputs!$B$9)/Schedule_Inputs!$E$9&lt;Schedule_Inputs!$D$9),$C9/Schedule_Inputs!$D$9,0),0))))</f>
        <v>0</v>
      </c>
      <c r="AD9" s="31">
        <f>IF(Schedule_Inputs!$C$9="Blueprint",$C9*IF(26-Schedule_Inputs!$B$9=0,Assumptions!$B$21,IF(26-Schedule_Inputs!$B$9=1,Assumptions!$C$21,IF(26-Schedule_Inputs!$B$9=2,Assumptions!$D$21,0))),IF(Schedule_Inputs!$C$9="Launch",$C9*IF(26-Schedule_Inputs!$B$9=0,Assumptions!$B$22,IF(26-Schedule_Inputs!$B$9=1,Assumptions!$C$22,IF(26-Schedule_Inputs!$B$9=2,Assumptions!$D$22,IF(26-Schedule_Inputs!$B$9=3,Assumptions!$B$23,0)))),IF(Schedule_Inputs!$C$9="Office Setup",$C9*IF(26-Schedule_Inputs!$B$9=0,Assumptions!$B$24,IF(26-Schedule_Inputs!$B$9=1,Assumptions!$C$24,IF(26-Schedule_Inputs!$B$9=2,Assumptions!$D$24,0))),IF(OR(Schedule_Inputs!$C$9="Monthly",Schedule_Inputs!$C$9="Periodic"),IF(AND(26&gt;=Schedule_Inputs!$B$9,MOD(26-Schedule_Inputs!$B$9,Schedule_Inputs!$E$9)=0,(26-Schedule_Inputs!$B$9)/Schedule_Inputs!$E$9&lt;Schedule_Inputs!$D$9),$C9/Schedule_Inputs!$D$9,0),0))))</f>
        <v>0</v>
      </c>
      <c r="AE9" s="31">
        <f>IF(Schedule_Inputs!$C$9="Blueprint",$C9*IF(27-Schedule_Inputs!$B$9=0,Assumptions!$B$21,IF(27-Schedule_Inputs!$B$9=1,Assumptions!$C$21,IF(27-Schedule_Inputs!$B$9=2,Assumptions!$D$21,0))),IF(Schedule_Inputs!$C$9="Launch",$C9*IF(27-Schedule_Inputs!$B$9=0,Assumptions!$B$22,IF(27-Schedule_Inputs!$B$9=1,Assumptions!$C$22,IF(27-Schedule_Inputs!$B$9=2,Assumptions!$D$22,IF(27-Schedule_Inputs!$B$9=3,Assumptions!$B$23,0)))),IF(Schedule_Inputs!$C$9="Office Setup",$C9*IF(27-Schedule_Inputs!$B$9=0,Assumptions!$B$24,IF(27-Schedule_Inputs!$B$9=1,Assumptions!$C$24,IF(27-Schedule_Inputs!$B$9=2,Assumptions!$D$24,0))),IF(OR(Schedule_Inputs!$C$9="Monthly",Schedule_Inputs!$C$9="Periodic"),IF(AND(27&gt;=Schedule_Inputs!$B$9,MOD(27-Schedule_Inputs!$B$9,Schedule_Inputs!$E$9)=0,(27-Schedule_Inputs!$B$9)/Schedule_Inputs!$E$9&lt;Schedule_Inputs!$D$9),$C9/Schedule_Inputs!$D$9,0),0))))</f>
        <v>0</v>
      </c>
      <c r="AF9" s="31">
        <f>IF(Schedule_Inputs!$C$9="Blueprint",$C9*IF(28-Schedule_Inputs!$B$9=0,Assumptions!$B$21,IF(28-Schedule_Inputs!$B$9=1,Assumptions!$C$21,IF(28-Schedule_Inputs!$B$9=2,Assumptions!$D$21,0))),IF(Schedule_Inputs!$C$9="Launch",$C9*IF(28-Schedule_Inputs!$B$9=0,Assumptions!$B$22,IF(28-Schedule_Inputs!$B$9=1,Assumptions!$C$22,IF(28-Schedule_Inputs!$B$9=2,Assumptions!$D$22,IF(28-Schedule_Inputs!$B$9=3,Assumptions!$B$23,0)))),IF(Schedule_Inputs!$C$9="Office Setup",$C9*IF(28-Schedule_Inputs!$B$9=0,Assumptions!$B$24,IF(28-Schedule_Inputs!$B$9=1,Assumptions!$C$24,IF(28-Schedule_Inputs!$B$9=2,Assumptions!$D$24,0))),IF(OR(Schedule_Inputs!$C$9="Monthly",Schedule_Inputs!$C$9="Periodic"),IF(AND(28&gt;=Schedule_Inputs!$B$9,MOD(28-Schedule_Inputs!$B$9,Schedule_Inputs!$E$9)=0,(28-Schedule_Inputs!$B$9)/Schedule_Inputs!$E$9&lt;Schedule_Inputs!$D$9),$C9/Schedule_Inputs!$D$9,0),0))))</f>
        <v>0</v>
      </c>
      <c r="AG9" s="31">
        <f>IF(Schedule_Inputs!$C$9="Blueprint",$C9*IF(29-Schedule_Inputs!$B$9=0,Assumptions!$B$21,IF(29-Schedule_Inputs!$B$9=1,Assumptions!$C$21,IF(29-Schedule_Inputs!$B$9=2,Assumptions!$D$21,0))),IF(Schedule_Inputs!$C$9="Launch",$C9*IF(29-Schedule_Inputs!$B$9=0,Assumptions!$B$22,IF(29-Schedule_Inputs!$B$9=1,Assumptions!$C$22,IF(29-Schedule_Inputs!$B$9=2,Assumptions!$D$22,IF(29-Schedule_Inputs!$B$9=3,Assumptions!$B$23,0)))),IF(Schedule_Inputs!$C$9="Office Setup",$C9*IF(29-Schedule_Inputs!$B$9=0,Assumptions!$B$24,IF(29-Schedule_Inputs!$B$9=1,Assumptions!$C$24,IF(29-Schedule_Inputs!$B$9=2,Assumptions!$D$24,0))),IF(OR(Schedule_Inputs!$C$9="Monthly",Schedule_Inputs!$C$9="Periodic"),IF(AND(29&gt;=Schedule_Inputs!$B$9,MOD(29-Schedule_Inputs!$B$9,Schedule_Inputs!$E$9)=0,(29-Schedule_Inputs!$B$9)/Schedule_Inputs!$E$9&lt;Schedule_Inputs!$D$9),$C9/Schedule_Inputs!$D$9,0),0))))</f>
        <v>0</v>
      </c>
      <c r="AH9" s="31">
        <f>IF(Schedule_Inputs!$C$9="Blueprint",$C9*IF(30-Schedule_Inputs!$B$9=0,Assumptions!$B$21,IF(30-Schedule_Inputs!$B$9=1,Assumptions!$C$21,IF(30-Schedule_Inputs!$B$9=2,Assumptions!$D$21,0))),IF(Schedule_Inputs!$C$9="Launch",$C9*IF(30-Schedule_Inputs!$B$9=0,Assumptions!$B$22,IF(30-Schedule_Inputs!$B$9=1,Assumptions!$C$22,IF(30-Schedule_Inputs!$B$9=2,Assumptions!$D$22,IF(30-Schedule_Inputs!$B$9=3,Assumptions!$B$23,0)))),IF(Schedule_Inputs!$C$9="Office Setup",$C9*IF(30-Schedule_Inputs!$B$9=0,Assumptions!$B$24,IF(30-Schedule_Inputs!$B$9=1,Assumptions!$C$24,IF(30-Schedule_Inputs!$B$9=2,Assumptions!$D$24,0))),IF(OR(Schedule_Inputs!$C$9="Monthly",Schedule_Inputs!$C$9="Periodic"),IF(AND(30&gt;=Schedule_Inputs!$B$9,MOD(30-Schedule_Inputs!$B$9,Schedule_Inputs!$E$9)=0,(30-Schedule_Inputs!$B$9)/Schedule_Inputs!$E$9&lt;Schedule_Inputs!$D$9),$C9/Schedule_Inputs!$D$9,0),0))))</f>
        <v>0</v>
      </c>
      <c r="AI9" s="31">
        <f>IF(Schedule_Inputs!$C$9="Blueprint",$C9*IF(31-Schedule_Inputs!$B$9=0,Assumptions!$B$21,IF(31-Schedule_Inputs!$B$9=1,Assumptions!$C$21,IF(31-Schedule_Inputs!$B$9=2,Assumptions!$D$21,0))),IF(Schedule_Inputs!$C$9="Launch",$C9*IF(31-Schedule_Inputs!$B$9=0,Assumptions!$B$22,IF(31-Schedule_Inputs!$B$9=1,Assumptions!$C$22,IF(31-Schedule_Inputs!$B$9=2,Assumptions!$D$22,IF(31-Schedule_Inputs!$B$9=3,Assumptions!$B$23,0)))),IF(Schedule_Inputs!$C$9="Office Setup",$C9*IF(31-Schedule_Inputs!$B$9=0,Assumptions!$B$24,IF(31-Schedule_Inputs!$B$9=1,Assumptions!$C$24,IF(31-Schedule_Inputs!$B$9=2,Assumptions!$D$24,0))),IF(OR(Schedule_Inputs!$C$9="Monthly",Schedule_Inputs!$C$9="Periodic"),IF(AND(31&gt;=Schedule_Inputs!$B$9,MOD(31-Schedule_Inputs!$B$9,Schedule_Inputs!$E$9)=0,(31-Schedule_Inputs!$B$9)/Schedule_Inputs!$E$9&lt;Schedule_Inputs!$D$9),$C9/Schedule_Inputs!$D$9,0),0))))</f>
        <v>0</v>
      </c>
      <c r="AJ9" s="31">
        <f>IF(Schedule_Inputs!$C$9="Blueprint",$C9*IF(32-Schedule_Inputs!$B$9=0,Assumptions!$B$21,IF(32-Schedule_Inputs!$B$9=1,Assumptions!$C$21,IF(32-Schedule_Inputs!$B$9=2,Assumptions!$D$21,0))),IF(Schedule_Inputs!$C$9="Launch",$C9*IF(32-Schedule_Inputs!$B$9=0,Assumptions!$B$22,IF(32-Schedule_Inputs!$B$9=1,Assumptions!$C$22,IF(32-Schedule_Inputs!$B$9=2,Assumptions!$D$22,IF(32-Schedule_Inputs!$B$9=3,Assumptions!$B$23,0)))),IF(Schedule_Inputs!$C$9="Office Setup",$C9*IF(32-Schedule_Inputs!$B$9=0,Assumptions!$B$24,IF(32-Schedule_Inputs!$B$9=1,Assumptions!$C$24,IF(32-Schedule_Inputs!$B$9=2,Assumptions!$D$24,0))),IF(OR(Schedule_Inputs!$C$9="Monthly",Schedule_Inputs!$C$9="Periodic"),IF(AND(32&gt;=Schedule_Inputs!$B$9,MOD(32-Schedule_Inputs!$B$9,Schedule_Inputs!$E$9)=0,(32-Schedule_Inputs!$B$9)/Schedule_Inputs!$E$9&lt;Schedule_Inputs!$D$9),$C9/Schedule_Inputs!$D$9,0),0))))</f>
        <v>0</v>
      </c>
      <c r="AK9" s="31">
        <f>IF(Schedule_Inputs!$C$9="Blueprint",$C9*IF(33-Schedule_Inputs!$B$9=0,Assumptions!$B$21,IF(33-Schedule_Inputs!$B$9=1,Assumptions!$C$21,IF(33-Schedule_Inputs!$B$9=2,Assumptions!$D$21,0))),IF(Schedule_Inputs!$C$9="Launch",$C9*IF(33-Schedule_Inputs!$B$9=0,Assumptions!$B$22,IF(33-Schedule_Inputs!$B$9=1,Assumptions!$C$22,IF(33-Schedule_Inputs!$B$9=2,Assumptions!$D$22,IF(33-Schedule_Inputs!$B$9=3,Assumptions!$B$23,0)))),IF(Schedule_Inputs!$C$9="Office Setup",$C9*IF(33-Schedule_Inputs!$B$9=0,Assumptions!$B$24,IF(33-Schedule_Inputs!$B$9=1,Assumptions!$C$24,IF(33-Schedule_Inputs!$B$9=2,Assumptions!$D$24,0))),IF(OR(Schedule_Inputs!$C$9="Monthly",Schedule_Inputs!$C$9="Periodic"),IF(AND(33&gt;=Schedule_Inputs!$B$9,MOD(33-Schedule_Inputs!$B$9,Schedule_Inputs!$E$9)=0,(33-Schedule_Inputs!$B$9)/Schedule_Inputs!$E$9&lt;Schedule_Inputs!$D$9),$C9/Schedule_Inputs!$D$9,0),0))))</f>
        <v>0</v>
      </c>
      <c r="AL9" s="31">
        <f>IF(Schedule_Inputs!$C$9="Blueprint",$C9*IF(34-Schedule_Inputs!$B$9=0,Assumptions!$B$21,IF(34-Schedule_Inputs!$B$9=1,Assumptions!$C$21,IF(34-Schedule_Inputs!$B$9=2,Assumptions!$D$21,0))),IF(Schedule_Inputs!$C$9="Launch",$C9*IF(34-Schedule_Inputs!$B$9=0,Assumptions!$B$22,IF(34-Schedule_Inputs!$B$9=1,Assumptions!$C$22,IF(34-Schedule_Inputs!$B$9=2,Assumptions!$D$22,IF(34-Schedule_Inputs!$B$9=3,Assumptions!$B$23,0)))),IF(Schedule_Inputs!$C$9="Office Setup",$C9*IF(34-Schedule_Inputs!$B$9=0,Assumptions!$B$24,IF(34-Schedule_Inputs!$B$9=1,Assumptions!$C$24,IF(34-Schedule_Inputs!$B$9=2,Assumptions!$D$24,0))),IF(OR(Schedule_Inputs!$C$9="Monthly",Schedule_Inputs!$C$9="Periodic"),IF(AND(34&gt;=Schedule_Inputs!$B$9,MOD(34-Schedule_Inputs!$B$9,Schedule_Inputs!$E$9)=0,(34-Schedule_Inputs!$B$9)/Schedule_Inputs!$E$9&lt;Schedule_Inputs!$D$9),$C9/Schedule_Inputs!$D$9,0),0))))</f>
        <v>0</v>
      </c>
      <c r="AM9" s="31">
        <f>IF(Schedule_Inputs!$C$9="Blueprint",$C9*IF(35-Schedule_Inputs!$B$9=0,Assumptions!$B$21,IF(35-Schedule_Inputs!$B$9=1,Assumptions!$C$21,IF(35-Schedule_Inputs!$B$9=2,Assumptions!$D$21,0))),IF(Schedule_Inputs!$C$9="Launch",$C9*IF(35-Schedule_Inputs!$B$9=0,Assumptions!$B$22,IF(35-Schedule_Inputs!$B$9=1,Assumptions!$C$22,IF(35-Schedule_Inputs!$B$9=2,Assumptions!$D$22,IF(35-Schedule_Inputs!$B$9=3,Assumptions!$B$23,0)))),IF(Schedule_Inputs!$C$9="Office Setup",$C9*IF(35-Schedule_Inputs!$B$9=0,Assumptions!$B$24,IF(35-Schedule_Inputs!$B$9=1,Assumptions!$C$24,IF(35-Schedule_Inputs!$B$9=2,Assumptions!$D$24,0))),IF(OR(Schedule_Inputs!$C$9="Monthly",Schedule_Inputs!$C$9="Periodic"),IF(AND(35&gt;=Schedule_Inputs!$B$9,MOD(35-Schedule_Inputs!$B$9,Schedule_Inputs!$E$9)=0,(35-Schedule_Inputs!$B$9)/Schedule_Inputs!$E$9&lt;Schedule_Inputs!$D$9),$C9/Schedule_Inputs!$D$9,0),0))))</f>
        <v>0</v>
      </c>
      <c r="AN9" s="31">
        <f>IF(Schedule_Inputs!$C$9="Blueprint",$C9*IF(36-Schedule_Inputs!$B$9=0,Assumptions!$B$21,IF(36-Schedule_Inputs!$B$9=1,Assumptions!$C$21,IF(36-Schedule_Inputs!$B$9=2,Assumptions!$D$21,0))),IF(Schedule_Inputs!$C$9="Launch",$C9*IF(36-Schedule_Inputs!$B$9=0,Assumptions!$B$22,IF(36-Schedule_Inputs!$B$9=1,Assumptions!$C$22,IF(36-Schedule_Inputs!$B$9=2,Assumptions!$D$22,IF(36-Schedule_Inputs!$B$9=3,Assumptions!$B$23,0)))),IF(Schedule_Inputs!$C$9="Office Setup",$C9*IF(36-Schedule_Inputs!$B$9=0,Assumptions!$B$24,IF(36-Schedule_Inputs!$B$9=1,Assumptions!$C$24,IF(36-Schedule_Inputs!$B$9=2,Assumptions!$D$24,0))),IF(OR(Schedule_Inputs!$C$9="Monthly",Schedule_Inputs!$C$9="Periodic"),IF(AND(36&gt;=Schedule_Inputs!$B$9,MOD(36-Schedule_Inputs!$B$9,Schedule_Inputs!$E$9)=0,(36-Schedule_Inputs!$B$9)/Schedule_Inputs!$E$9&lt;Schedule_Inputs!$D$9),$C9/Schedule_Inputs!$D$9,0),0))))</f>
        <v>0</v>
      </c>
    </row>
    <row r="10" spans="1:40">
      <c r="A10" s="29" t="s">
        <v>240</v>
      </c>
      <c r="B10" s="29">
        <v>2</v>
      </c>
      <c r="C10" s="30">
        <v>21000</v>
      </c>
      <c r="D10" s="31" t="s">
        <v>230</v>
      </c>
      <c r="E10" s="31">
        <f>IF(Schedule_Inputs!$C$10="Blueprint",$C10*IF(1-Schedule_Inputs!$B$10=0,Assumptions!$B$21,IF(1-Schedule_Inputs!$B$10=1,Assumptions!$C$21,IF(1-Schedule_Inputs!$B$10=2,Assumptions!$D$21,0))),IF(Schedule_Inputs!$C$10="Launch",$C10*IF(1-Schedule_Inputs!$B$10=0,Assumptions!$B$22,IF(1-Schedule_Inputs!$B$10=1,Assumptions!$C$22,IF(1-Schedule_Inputs!$B$10=2,Assumptions!$D$22,IF(1-Schedule_Inputs!$B$10=3,Assumptions!$B$23,0)))),IF(Schedule_Inputs!$C$10="Office Setup",$C10*IF(1-Schedule_Inputs!$B$10=0,Assumptions!$B$24,IF(1-Schedule_Inputs!$B$10=1,Assumptions!$C$24,IF(1-Schedule_Inputs!$B$10=2,Assumptions!$D$24,0))),IF(OR(Schedule_Inputs!$C$10="Monthly",Schedule_Inputs!$C$10="Periodic"),IF(AND(1&gt;=Schedule_Inputs!$B$10,MOD(1-Schedule_Inputs!$B$10,Schedule_Inputs!$E$10)=0,(1-Schedule_Inputs!$B$10)/Schedule_Inputs!$E$10&lt;Schedule_Inputs!$D$10),$C10/Schedule_Inputs!$D$10,0),0))))</f>
        <v>0</v>
      </c>
      <c r="F10" s="31">
        <f>IF(Schedule_Inputs!$C$10="Blueprint",$C10*IF(2-Schedule_Inputs!$B$10=0,Assumptions!$B$21,IF(2-Schedule_Inputs!$B$10=1,Assumptions!$C$21,IF(2-Schedule_Inputs!$B$10=2,Assumptions!$D$21,0))),IF(Schedule_Inputs!$C$10="Launch",$C10*IF(2-Schedule_Inputs!$B$10=0,Assumptions!$B$22,IF(2-Schedule_Inputs!$B$10=1,Assumptions!$C$22,IF(2-Schedule_Inputs!$B$10=2,Assumptions!$D$22,IF(2-Schedule_Inputs!$B$10=3,Assumptions!$B$23,0)))),IF(Schedule_Inputs!$C$10="Office Setup",$C10*IF(2-Schedule_Inputs!$B$10=0,Assumptions!$B$24,IF(2-Schedule_Inputs!$B$10=1,Assumptions!$C$24,IF(2-Schedule_Inputs!$B$10=2,Assumptions!$D$24,0))),IF(OR(Schedule_Inputs!$C$10="Monthly",Schedule_Inputs!$C$10="Periodic"),IF(AND(2&gt;=Schedule_Inputs!$B$10,MOD(2-Schedule_Inputs!$B$10,Schedule_Inputs!$E$10)=0,(2-Schedule_Inputs!$B$10)/Schedule_Inputs!$E$10&lt;Schedule_Inputs!$D$10),$C10/Schedule_Inputs!$D$10,0),0))))</f>
        <v>0</v>
      </c>
      <c r="G10" s="31">
        <f>IF(Schedule_Inputs!$C$10="Blueprint",$C10*IF(3-Schedule_Inputs!$B$10=0,Assumptions!$B$21,IF(3-Schedule_Inputs!$B$10=1,Assumptions!$C$21,IF(3-Schedule_Inputs!$B$10=2,Assumptions!$D$21,0))),IF(Schedule_Inputs!$C$10="Launch",$C10*IF(3-Schedule_Inputs!$B$10=0,Assumptions!$B$22,IF(3-Schedule_Inputs!$B$10=1,Assumptions!$C$22,IF(3-Schedule_Inputs!$B$10=2,Assumptions!$D$22,IF(3-Schedule_Inputs!$B$10=3,Assumptions!$B$23,0)))),IF(Schedule_Inputs!$C$10="Office Setup",$C10*IF(3-Schedule_Inputs!$B$10=0,Assumptions!$B$24,IF(3-Schedule_Inputs!$B$10=1,Assumptions!$C$24,IF(3-Schedule_Inputs!$B$10=2,Assumptions!$D$24,0))),IF(OR(Schedule_Inputs!$C$10="Monthly",Schedule_Inputs!$C$10="Periodic"),IF(AND(3&gt;=Schedule_Inputs!$B$10,MOD(3-Schedule_Inputs!$B$10,Schedule_Inputs!$E$10)=0,(3-Schedule_Inputs!$B$10)/Schedule_Inputs!$E$10&lt;Schedule_Inputs!$D$10),$C10/Schedule_Inputs!$D$10,0),0))))</f>
        <v>0</v>
      </c>
      <c r="H10" s="31">
        <f>IF(Schedule_Inputs!$C$10="Blueprint",$C10*IF(4-Schedule_Inputs!$B$10=0,Assumptions!$B$21,IF(4-Schedule_Inputs!$B$10=1,Assumptions!$C$21,IF(4-Schedule_Inputs!$B$10=2,Assumptions!$D$21,0))),IF(Schedule_Inputs!$C$10="Launch",$C10*IF(4-Schedule_Inputs!$B$10=0,Assumptions!$B$22,IF(4-Schedule_Inputs!$B$10=1,Assumptions!$C$22,IF(4-Schedule_Inputs!$B$10=2,Assumptions!$D$22,IF(4-Schedule_Inputs!$B$10=3,Assumptions!$B$23,0)))),IF(Schedule_Inputs!$C$10="Office Setup",$C10*IF(4-Schedule_Inputs!$B$10=0,Assumptions!$B$24,IF(4-Schedule_Inputs!$B$10=1,Assumptions!$C$24,IF(4-Schedule_Inputs!$B$10=2,Assumptions!$D$24,0))),IF(OR(Schedule_Inputs!$C$10="Monthly",Schedule_Inputs!$C$10="Periodic"),IF(AND(4&gt;=Schedule_Inputs!$B$10,MOD(4-Schedule_Inputs!$B$10,Schedule_Inputs!$E$10)=0,(4-Schedule_Inputs!$B$10)/Schedule_Inputs!$E$10&lt;Schedule_Inputs!$D$10),$C10/Schedule_Inputs!$D$10,0),0))))</f>
        <v>0</v>
      </c>
      <c r="I10" s="31">
        <f>IF(Schedule_Inputs!$C$10="Blueprint",$C10*IF(5-Schedule_Inputs!$B$10=0,Assumptions!$B$21,IF(5-Schedule_Inputs!$B$10=1,Assumptions!$C$21,IF(5-Schedule_Inputs!$B$10=2,Assumptions!$D$21,0))),IF(Schedule_Inputs!$C$10="Launch",$C10*IF(5-Schedule_Inputs!$B$10=0,Assumptions!$B$22,IF(5-Schedule_Inputs!$B$10=1,Assumptions!$C$22,IF(5-Schedule_Inputs!$B$10=2,Assumptions!$D$22,IF(5-Schedule_Inputs!$B$10=3,Assumptions!$B$23,0)))),IF(Schedule_Inputs!$C$10="Office Setup",$C10*IF(5-Schedule_Inputs!$B$10=0,Assumptions!$B$24,IF(5-Schedule_Inputs!$B$10=1,Assumptions!$C$24,IF(5-Schedule_Inputs!$B$10=2,Assumptions!$D$24,0))),IF(OR(Schedule_Inputs!$C$10="Monthly",Schedule_Inputs!$C$10="Periodic"),IF(AND(5&gt;=Schedule_Inputs!$B$10,MOD(5-Schedule_Inputs!$B$10,Schedule_Inputs!$E$10)=0,(5-Schedule_Inputs!$B$10)/Schedule_Inputs!$E$10&lt;Schedule_Inputs!$D$10),$C10/Schedule_Inputs!$D$10,0),0))))</f>
        <v>0</v>
      </c>
      <c r="J10" s="31">
        <f>IF(Schedule_Inputs!$C$10="Blueprint",$C10*IF(6-Schedule_Inputs!$B$10=0,Assumptions!$B$21,IF(6-Schedule_Inputs!$B$10=1,Assumptions!$C$21,IF(6-Schedule_Inputs!$B$10=2,Assumptions!$D$21,0))),IF(Schedule_Inputs!$C$10="Launch",$C10*IF(6-Schedule_Inputs!$B$10=0,Assumptions!$B$22,IF(6-Schedule_Inputs!$B$10=1,Assumptions!$C$22,IF(6-Schedule_Inputs!$B$10=2,Assumptions!$D$22,IF(6-Schedule_Inputs!$B$10=3,Assumptions!$B$23,0)))),IF(Schedule_Inputs!$C$10="Office Setup",$C10*IF(6-Schedule_Inputs!$B$10=0,Assumptions!$B$24,IF(6-Schedule_Inputs!$B$10=1,Assumptions!$C$24,IF(6-Schedule_Inputs!$B$10=2,Assumptions!$D$24,0))),IF(OR(Schedule_Inputs!$C$10="Monthly",Schedule_Inputs!$C$10="Periodic"),IF(AND(6&gt;=Schedule_Inputs!$B$10,MOD(6-Schedule_Inputs!$B$10,Schedule_Inputs!$E$10)=0,(6-Schedule_Inputs!$B$10)/Schedule_Inputs!$E$10&lt;Schedule_Inputs!$D$10),$C10/Schedule_Inputs!$D$10,0),0))))</f>
        <v>0</v>
      </c>
      <c r="K10" s="31">
        <f>IF(Schedule_Inputs!$C$10="Blueprint",$C10*IF(7-Schedule_Inputs!$B$10=0,Assumptions!$B$21,IF(7-Schedule_Inputs!$B$10=1,Assumptions!$C$21,IF(7-Schedule_Inputs!$B$10=2,Assumptions!$D$21,0))),IF(Schedule_Inputs!$C$10="Launch",$C10*IF(7-Schedule_Inputs!$B$10=0,Assumptions!$B$22,IF(7-Schedule_Inputs!$B$10=1,Assumptions!$C$22,IF(7-Schedule_Inputs!$B$10=2,Assumptions!$D$22,IF(7-Schedule_Inputs!$B$10=3,Assumptions!$B$23,0)))),IF(Schedule_Inputs!$C$10="Office Setup",$C10*IF(7-Schedule_Inputs!$B$10=0,Assumptions!$B$24,IF(7-Schedule_Inputs!$B$10=1,Assumptions!$C$24,IF(7-Schedule_Inputs!$B$10=2,Assumptions!$D$24,0))),IF(OR(Schedule_Inputs!$C$10="Monthly",Schedule_Inputs!$C$10="Periodic"),IF(AND(7&gt;=Schedule_Inputs!$B$10,MOD(7-Schedule_Inputs!$B$10,Schedule_Inputs!$E$10)=0,(7-Schedule_Inputs!$B$10)/Schedule_Inputs!$E$10&lt;Schedule_Inputs!$D$10),$C10/Schedule_Inputs!$D$10,0),0))))</f>
        <v>0</v>
      </c>
      <c r="L10" s="31">
        <f>IF(Schedule_Inputs!$C$10="Blueprint",$C10*IF(8-Schedule_Inputs!$B$10=0,Assumptions!$B$21,IF(8-Schedule_Inputs!$B$10=1,Assumptions!$C$21,IF(8-Schedule_Inputs!$B$10=2,Assumptions!$D$21,0))),IF(Schedule_Inputs!$C$10="Launch",$C10*IF(8-Schedule_Inputs!$B$10=0,Assumptions!$B$22,IF(8-Schedule_Inputs!$B$10=1,Assumptions!$C$22,IF(8-Schedule_Inputs!$B$10=2,Assumptions!$D$22,IF(8-Schedule_Inputs!$B$10=3,Assumptions!$B$23,0)))),IF(Schedule_Inputs!$C$10="Office Setup",$C10*IF(8-Schedule_Inputs!$B$10=0,Assumptions!$B$24,IF(8-Schedule_Inputs!$B$10=1,Assumptions!$C$24,IF(8-Schedule_Inputs!$B$10=2,Assumptions!$D$24,0))),IF(OR(Schedule_Inputs!$C$10="Monthly",Schedule_Inputs!$C$10="Periodic"),IF(AND(8&gt;=Schedule_Inputs!$B$10,MOD(8-Schedule_Inputs!$B$10,Schedule_Inputs!$E$10)=0,(8-Schedule_Inputs!$B$10)/Schedule_Inputs!$E$10&lt;Schedule_Inputs!$D$10),$C10/Schedule_Inputs!$D$10,0),0))))</f>
        <v>0</v>
      </c>
      <c r="M10" s="31">
        <f>IF(Schedule_Inputs!$C$10="Blueprint",$C10*IF(9-Schedule_Inputs!$B$10=0,Assumptions!$B$21,IF(9-Schedule_Inputs!$B$10=1,Assumptions!$C$21,IF(9-Schedule_Inputs!$B$10=2,Assumptions!$D$21,0))),IF(Schedule_Inputs!$C$10="Launch",$C10*IF(9-Schedule_Inputs!$B$10=0,Assumptions!$B$22,IF(9-Schedule_Inputs!$B$10=1,Assumptions!$C$22,IF(9-Schedule_Inputs!$B$10=2,Assumptions!$D$22,IF(9-Schedule_Inputs!$B$10=3,Assumptions!$B$23,0)))),IF(Schedule_Inputs!$C$10="Office Setup",$C10*IF(9-Schedule_Inputs!$B$10=0,Assumptions!$B$24,IF(9-Schedule_Inputs!$B$10=1,Assumptions!$C$24,IF(9-Schedule_Inputs!$B$10=2,Assumptions!$D$24,0))),IF(OR(Schedule_Inputs!$C$10="Monthly",Schedule_Inputs!$C$10="Periodic"),IF(AND(9&gt;=Schedule_Inputs!$B$10,MOD(9-Schedule_Inputs!$B$10,Schedule_Inputs!$E$10)=0,(9-Schedule_Inputs!$B$10)/Schedule_Inputs!$E$10&lt;Schedule_Inputs!$D$10),$C10/Schedule_Inputs!$D$10,0),0))))</f>
        <v>0</v>
      </c>
      <c r="N10" s="31">
        <f>IF(Schedule_Inputs!$C$10="Blueprint",$C10*IF(10-Schedule_Inputs!$B$10=0,Assumptions!$B$21,IF(10-Schedule_Inputs!$B$10=1,Assumptions!$C$21,IF(10-Schedule_Inputs!$B$10=2,Assumptions!$D$21,0))),IF(Schedule_Inputs!$C$10="Launch",$C10*IF(10-Schedule_Inputs!$B$10=0,Assumptions!$B$22,IF(10-Schedule_Inputs!$B$10=1,Assumptions!$C$22,IF(10-Schedule_Inputs!$B$10=2,Assumptions!$D$22,IF(10-Schedule_Inputs!$B$10=3,Assumptions!$B$23,0)))),IF(Schedule_Inputs!$C$10="Office Setup",$C10*IF(10-Schedule_Inputs!$B$10=0,Assumptions!$B$24,IF(10-Schedule_Inputs!$B$10=1,Assumptions!$C$24,IF(10-Schedule_Inputs!$B$10=2,Assumptions!$D$24,0))),IF(OR(Schedule_Inputs!$C$10="Monthly",Schedule_Inputs!$C$10="Periodic"),IF(AND(10&gt;=Schedule_Inputs!$B$10,MOD(10-Schedule_Inputs!$B$10,Schedule_Inputs!$E$10)=0,(10-Schedule_Inputs!$B$10)/Schedule_Inputs!$E$10&lt;Schedule_Inputs!$D$10),$C10/Schedule_Inputs!$D$10,0),0))))</f>
        <v>0</v>
      </c>
      <c r="O10" s="31">
        <f>IF(Schedule_Inputs!$C$10="Blueprint",$C10*IF(11-Schedule_Inputs!$B$10=0,Assumptions!$B$21,IF(11-Schedule_Inputs!$B$10=1,Assumptions!$C$21,IF(11-Schedule_Inputs!$B$10=2,Assumptions!$D$21,0))),IF(Schedule_Inputs!$C$10="Launch",$C10*IF(11-Schedule_Inputs!$B$10=0,Assumptions!$B$22,IF(11-Schedule_Inputs!$B$10=1,Assumptions!$C$22,IF(11-Schedule_Inputs!$B$10=2,Assumptions!$D$22,IF(11-Schedule_Inputs!$B$10=3,Assumptions!$B$23,0)))),IF(Schedule_Inputs!$C$10="Office Setup",$C10*IF(11-Schedule_Inputs!$B$10=0,Assumptions!$B$24,IF(11-Schedule_Inputs!$B$10=1,Assumptions!$C$24,IF(11-Schedule_Inputs!$B$10=2,Assumptions!$D$24,0))),IF(OR(Schedule_Inputs!$C$10="Monthly",Schedule_Inputs!$C$10="Periodic"),IF(AND(11&gt;=Schedule_Inputs!$B$10,MOD(11-Schedule_Inputs!$B$10,Schedule_Inputs!$E$10)=0,(11-Schedule_Inputs!$B$10)/Schedule_Inputs!$E$10&lt;Schedule_Inputs!$D$10),$C10/Schedule_Inputs!$D$10,0),0))))</f>
        <v>0</v>
      </c>
      <c r="P10" s="31">
        <f>IF(Schedule_Inputs!$C$10="Blueprint",$C10*IF(12-Schedule_Inputs!$B$10=0,Assumptions!$B$21,IF(12-Schedule_Inputs!$B$10=1,Assumptions!$C$21,IF(12-Schedule_Inputs!$B$10=2,Assumptions!$D$21,0))),IF(Schedule_Inputs!$C$10="Launch",$C10*IF(12-Schedule_Inputs!$B$10=0,Assumptions!$B$22,IF(12-Schedule_Inputs!$B$10=1,Assumptions!$C$22,IF(12-Schedule_Inputs!$B$10=2,Assumptions!$D$22,IF(12-Schedule_Inputs!$B$10=3,Assumptions!$B$23,0)))),IF(Schedule_Inputs!$C$10="Office Setup",$C10*IF(12-Schedule_Inputs!$B$10=0,Assumptions!$B$24,IF(12-Schedule_Inputs!$B$10=1,Assumptions!$C$24,IF(12-Schedule_Inputs!$B$10=2,Assumptions!$D$24,0))),IF(OR(Schedule_Inputs!$C$10="Monthly",Schedule_Inputs!$C$10="Periodic"),IF(AND(12&gt;=Schedule_Inputs!$B$10,MOD(12-Schedule_Inputs!$B$10,Schedule_Inputs!$E$10)=0,(12-Schedule_Inputs!$B$10)/Schedule_Inputs!$E$10&lt;Schedule_Inputs!$D$10),$C10/Schedule_Inputs!$D$10,0),0))))</f>
        <v>0</v>
      </c>
      <c r="Q10" s="31">
        <f>IF(Schedule_Inputs!$C$10="Blueprint",$C10*IF(13-Schedule_Inputs!$B$10=0,Assumptions!$B$21,IF(13-Schedule_Inputs!$B$10=1,Assumptions!$C$21,IF(13-Schedule_Inputs!$B$10=2,Assumptions!$D$21,0))),IF(Schedule_Inputs!$C$10="Launch",$C10*IF(13-Schedule_Inputs!$B$10=0,Assumptions!$B$22,IF(13-Schedule_Inputs!$B$10=1,Assumptions!$C$22,IF(13-Schedule_Inputs!$B$10=2,Assumptions!$D$22,IF(13-Schedule_Inputs!$B$10=3,Assumptions!$B$23,0)))),IF(Schedule_Inputs!$C$10="Office Setup",$C10*IF(13-Schedule_Inputs!$B$10=0,Assumptions!$B$24,IF(13-Schedule_Inputs!$B$10=1,Assumptions!$C$24,IF(13-Schedule_Inputs!$B$10=2,Assumptions!$D$24,0))),IF(OR(Schedule_Inputs!$C$10="Monthly",Schedule_Inputs!$C$10="Periodic"),IF(AND(13&gt;=Schedule_Inputs!$B$10,MOD(13-Schedule_Inputs!$B$10,Schedule_Inputs!$E$10)=0,(13-Schedule_Inputs!$B$10)/Schedule_Inputs!$E$10&lt;Schedule_Inputs!$D$10),$C10/Schedule_Inputs!$D$10,0),0))))</f>
        <v>8400</v>
      </c>
      <c r="R10" s="31">
        <f>IF(Schedule_Inputs!$C$10="Blueprint",$C10*IF(14-Schedule_Inputs!$B$10=0,Assumptions!$B$21,IF(14-Schedule_Inputs!$B$10=1,Assumptions!$C$21,IF(14-Schedule_Inputs!$B$10=2,Assumptions!$D$21,0))),IF(Schedule_Inputs!$C$10="Launch",$C10*IF(14-Schedule_Inputs!$B$10=0,Assumptions!$B$22,IF(14-Schedule_Inputs!$B$10=1,Assumptions!$C$22,IF(14-Schedule_Inputs!$B$10=2,Assumptions!$D$22,IF(14-Schedule_Inputs!$B$10=3,Assumptions!$B$23,0)))),IF(Schedule_Inputs!$C$10="Office Setup",$C10*IF(14-Schedule_Inputs!$B$10=0,Assumptions!$B$24,IF(14-Schedule_Inputs!$B$10=1,Assumptions!$C$24,IF(14-Schedule_Inputs!$B$10=2,Assumptions!$D$24,0))),IF(OR(Schedule_Inputs!$C$10="Monthly",Schedule_Inputs!$C$10="Periodic"),IF(AND(14&gt;=Schedule_Inputs!$B$10,MOD(14-Schedule_Inputs!$B$10,Schedule_Inputs!$E$10)=0,(14-Schedule_Inputs!$B$10)/Schedule_Inputs!$E$10&lt;Schedule_Inputs!$D$10),$C10/Schedule_Inputs!$D$10,0),0))))</f>
        <v>8400</v>
      </c>
      <c r="S10" s="31">
        <f>IF(Schedule_Inputs!$C$10="Blueprint",$C10*IF(15-Schedule_Inputs!$B$10=0,Assumptions!$B$21,IF(15-Schedule_Inputs!$B$10=1,Assumptions!$C$21,IF(15-Schedule_Inputs!$B$10=2,Assumptions!$D$21,0))),IF(Schedule_Inputs!$C$10="Launch",$C10*IF(15-Schedule_Inputs!$B$10=0,Assumptions!$B$22,IF(15-Schedule_Inputs!$B$10=1,Assumptions!$C$22,IF(15-Schedule_Inputs!$B$10=2,Assumptions!$D$22,IF(15-Schedule_Inputs!$B$10=3,Assumptions!$B$23,0)))),IF(Schedule_Inputs!$C$10="Office Setup",$C10*IF(15-Schedule_Inputs!$B$10=0,Assumptions!$B$24,IF(15-Schedule_Inputs!$B$10=1,Assumptions!$C$24,IF(15-Schedule_Inputs!$B$10=2,Assumptions!$D$24,0))),IF(OR(Schedule_Inputs!$C$10="Monthly",Schedule_Inputs!$C$10="Periodic"),IF(AND(15&gt;=Schedule_Inputs!$B$10,MOD(15-Schedule_Inputs!$B$10,Schedule_Inputs!$E$10)=0,(15-Schedule_Inputs!$B$10)/Schedule_Inputs!$E$10&lt;Schedule_Inputs!$D$10),$C10/Schedule_Inputs!$D$10,0),0))))</f>
        <v>4200</v>
      </c>
      <c r="T10" s="31">
        <f>IF(Schedule_Inputs!$C$10="Blueprint",$C10*IF(16-Schedule_Inputs!$B$10=0,Assumptions!$B$21,IF(16-Schedule_Inputs!$B$10=1,Assumptions!$C$21,IF(16-Schedule_Inputs!$B$10=2,Assumptions!$D$21,0))),IF(Schedule_Inputs!$C$10="Launch",$C10*IF(16-Schedule_Inputs!$B$10=0,Assumptions!$B$22,IF(16-Schedule_Inputs!$B$10=1,Assumptions!$C$22,IF(16-Schedule_Inputs!$B$10=2,Assumptions!$D$22,IF(16-Schedule_Inputs!$B$10=3,Assumptions!$B$23,0)))),IF(Schedule_Inputs!$C$10="Office Setup",$C10*IF(16-Schedule_Inputs!$B$10=0,Assumptions!$B$24,IF(16-Schedule_Inputs!$B$10=1,Assumptions!$C$24,IF(16-Schedule_Inputs!$B$10=2,Assumptions!$D$24,0))),IF(OR(Schedule_Inputs!$C$10="Monthly",Schedule_Inputs!$C$10="Periodic"),IF(AND(16&gt;=Schedule_Inputs!$B$10,MOD(16-Schedule_Inputs!$B$10,Schedule_Inputs!$E$10)=0,(16-Schedule_Inputs!$B$10)/Schedule_Inputs!$E$10&lt;Schedule_Inputs!$D$10),$C10/Schedule_Inputs!$D$10,0),0))))</f>
        <v>0</v>
      </c>
      <c r="U10" s="31">
        <f>IF(Schedule_Inputs!$C$10="Blueprint",$C10*IF(17-Schedule_Inputs!$B$10=0,Assumptions!$B$21,IF(17-Schedule_Inputs!$B$10=1,Assumptions!$C$21,IF(17-Schedule_Inputs!$B$10=2,Assumptions!$D$21,0))),IF(Schedule_Inputs!$C$10="Launch",$C10*IF(17-Schedule_Inputs!$B$10=0,Assumptions!$B$22,IF(17-Schedule_Inputs!$B$10=1,Assumptions!$C$22,IF(17-Schedule_Inputs!$B$10=2,Assumptions!$D$22,IF(17-Schedule_Inputs!$B$10=3,Assumptions!$B$23,0)))),IF(Schedule_Inputs!$C$10="Office Setup",$C10*IF(17-Schedule_Inputs!$B$10=0,Assumptions!$B$24,IF(17-Schedule_Inputs!$B$10=1,Assumptions!$C$24,IF(17-Schedule_Inputs!$B$10=2,Assumptions!$D$24,0))),IF(OR(Schedule_Inputs!$C$10="Monthly",Schedule_Inputs!$C$10="Periodic"),IF(AND(17&gt;=Schedule_Inputs!$B$10,MOD(17-Schedule_Inputs!$B$10,Schedule_Inputs!$E$10)=0,(17-Schedule_Inputs!$B$10)/Schedule_Inputs!$E$10&lt;Schedule_Inputs!$D$10),$C10/Schedule_Inputs!$D$10,0),0))))</f>
        <v>0</v>
      </c>
      <c r="V10" s="31">
        <f>IF(Schedule_Inputs!$C$10="Blueprint",$C10*IF(18-Schedule_Inputs!$B$10=0,Assumptions!$B$21,IF(18-Schedule_Inputs!$B$10=1,Assumptions!$C$21,IF(18-Schedule_Inputs!$B$10=2,Assumptions!$D$21,0))),IF(Schedule_Inputs!$C$10="Launch",$C10*IF(18-Schedule_Inputs!$B$10=0,Assumptions!$B$22,IF(18-Schedule_Inputs!$B$10=1,Assumptions!$C$22,IF(18-Schedule_Inputs!$B$10=2,Assumptions!$D$22,IF(18-Schedule_Inputs!$B$10=3,Assumptions!$B$23,0)))),IF(Schedule_Inputs!$C$10="Office Setup",$C10*IF(18-Schedule_Inputs!$B$10=0,Assumptions!$B$24,IF(18-Schedule_Inputs!$B$10=1,Assumptions!$C$24,IF(18-Schedule_Inputs!$B$10=2,Assumptions!$D$24,0))),IF(OR(Schedule_Inputs!$C$10="Monthly",Schedule_Inputs!$C$10="Periodic"),IF(AND(18&gt;=Schedule_Inputs!$B$10,MOD(18-Schedule_Inputs!$B$10,Schedule_Inputs!$E$10)=0,(18-Schedule_Inputs!$B$10)/Schedule_Inputs!$E$10&lt;Schedule_Inputs!$D$10),$C10/Schedule_Inputs!$D$10,0),0))))</f>
        <v>0</v>
      </c>
      <c r="W10" s="31">
        <f>IF(Schedule_Inputs!$C$10="Blueprint",$C10*IF(19-Schedule_Inputs!$B$10=0,Assumptions!$B$21,IF(19-Schedule_Inputs!$B$10=1,Assumptions!$C$21,IF(19-Schedule_Inputs!$B$10=2,Assumptions!$D$21,0))),IF(Schedule_Inputs!$C$10="Launch",$C10*IF(19-Schedule_Inputs!$B$10=0,Assumptions!$B$22,IF(19-Schedule_Inputs!$B$10=1,Assumptions!$C$22,IF(19-Schedule_Inputs!$B$10=2,Assumptions!$D$22,IF(19-Schedule_Inputs!$B$10=3,Assumptions!$B$23,0)))),IF(Schedule_Inputs!$C$10="Office Setup",$C10*IF(19-Schedule_Inputs!$B$10=0,Assumptions!$B$24,IF(19-Schedule_Inputs!$B$10=1,Assumptions!$C$24,IF(19-Schedule_Inputs!$B$10=2,Assumptions!$D$24,0))),IF(OR(Schedule_Inputs!$C$10="Monthly",Schedule_Inputs!$C$10="Periodic"),IF(AND(19&gt;=Schedule_Inputs!$B$10,MOD(19-Schedule_Inputs!$B$10,Schedule_Inputs!$E$10)=0,(19-Schedule_Inputs!$B$10)/Schedule_Inputs!$E$10&lt;Schedule_Inputs!$D$10),$C10/Schedule_Inputs!$D$10,0),0))))</f>
        <v>0</v>
      </c>
      <c r="X10" s="31">
        <f>IF(Schedule_Inputs!$C$10="Blueprint",$C10*IF(20-Schedule_Inputs!$B$10=0,Assumptions!$B$21,IF(20-Schedule_Inputs!$B$10=1,Assumptions!$C$21,IF(20-Schedule_Inputs!$B$10=2,Assumptions!$D$21,0))),IF(Schedule_Inputs!$C$10="Launch",$C10*IF(20-Schedule_Inputs!$B$10=0,Assumptions!$B$22,IF(20-Schedule_Inputs!$B$10=1,Assumptions!$C$22,IF(20-Schedule_Inputs!$B$10=2,Assumptions!$D$22,IF(20-Schedule_Inputs!$B$10=3,Assumptions!$B$23,0)))),IF(Schedule_Inputs!$C$10="Office Setup",$C10*IF(20-Schedule_Inputs!$B$10=0,Assumptions!$B$24,IF(20-Schedule_Inputs!$B$10=1,Assumptions!$C$24,IF(20-Schedule_Inputs!$B$10=2,Assumptions!$D$24,0))),IF(OR(Schedule_Inputs!$C$10="Monthly",Schedule_Inputs!$C$10="Periodic"),IF(AND(20&gt;=Schedule_Inputs!$B$10,MOD(20-Schedule_Inputs!$B$10,Schedule_Inputs!$E$10)=0,(20-Schedule_Inputs!$B$10)/Schedule_Inputs!$E$10&lt;Schedule_Inputs!$D$10),$C10/Schedule_Inputs!$D$10,0),0))))</f>
        <v>0</v>
      </c>
      <c r="Y10" s="31">
        <f>IF(Schedule_Inputs!$C$10="Blueprint",$C10*IF(21-Schedule_Inputs!$B$10=0,Assumptions!$B$21,IF(21-Schedule_Inputs!$B$10=1,Assumptions!$C$21,IF(21-Schedule_Inputs!$B$10=2,Assumptions!$D$21,0))),IF(Schedule_Inputs!$C$10="Launch",$C10*IF(21-Schedule_Inputs!$B$10=0,Assumptions!$B$22,IF(21-Schedule_Inputs!$B$10=1,Assumptions!$C$22,IF(21-Schedule_Inputs!$B$10=2,Assumptions!$D$22,IF(21-Schedule_Inputs!$B$10=3,Assumptions!$B$23,0)))),IF(Schedule_Inputs!$C$10="Office Setup",$C10*IF(21-Schedule_Inputs!$B$10=0,Assumptions!$B$24,IF(21-Schedule_Inputs!$B$10=1,Assumptions!$C$24,IF(21-Schedule_Inputs!$B$10=2,Assumptions!$D$24,0))),IF(OR(Schedule_Inputs!$C$10="Monthly",Schedule_Inputs!$C$10="Periodic"),IF(AND(21&gt;=Schedule_Inputs!$B$10,MOD(21-Schedule_Inputs!$B$10,Schedule_Inputs!$E$10)=0,(21-Schedule_Inputs!$B$10)/Schedule_Inputs!$E$10&lt;Schedule_Inputs!$D$10),$C10/Schedule_Inputs!$D$10,0),0))))</f>
        <v>0</v>
      </c>
      <c r="Z10" s="31">
        <f>IF(Schedule_Inputs!$C$10="Blueprint",$C10*IF(22-Schedule_Inputs!$B$10=0,Assumptions!$B$21,IF(22-Schedule_Inputs!$B$10=1,Assumptions!$C$21,IF(22-Schedule_Inputs!$B$10=2,Assumptions!$D$21,0))),IF(Schedule_Inputs!$C$10="Launch",$C10*IF(22-Schedule_Inputs!$B$10=0,Assumptions!$B$22,IF(22-Schedule_Inputs!$B$10=1,Assumptions!$C$22,IF(22-Schedule_Inputs!$B$10=2,Assumptions!$D$22,IF(22-Schedule_Inputs!$B$10=3,Assumptions!$B$23,0)))),IF(Schedule_Inputs!$C$10="Office Setup",$C10*IF(22-Schedule_Inputs!$B$10=0,Assumptions!$B$24,IF(22-Schedule_Inputs!$B$10=1,Assumptions!$C$24,IF(22-Schedule_Inputs!$B$10=2,Assumptions!$D$24,0))),IF(OR(Schedule_Inputs!$C$10="Monthly",Schedule_Inputs!$C$10="Periodic"),IF(AND(22&gt;=Schedule_Inputs!$B$10,MOD(22-Schedule_Inputs!$B$10,Schedule_Inputs!$E$10)=0,(22-Schedule_Inputs!$B$10)/Schedule_Inputs!$E$10&lt;Schedule_Inputs!$D$10),$C10/Schedule_Inputs!$D$10,0),0))))</f>
        <v>0</v>
      </c>
      <c r="AA10" s="31">
        <f>IF(Schedule_Inputs!$C$10="Blueprint",$C10*IF(23-Schedule_Inputs!$B$10=0,Assumptions!$B$21,IF(23-Schedule_Inputs!$B$10=1,Assumptions!$C$21,IF(23-Schedule_Inputs!$B$10=2,Assumptions!$D$21,0))),IF(Schedule_Inputs!$C$10="Launch",$C10*IF(23-Schedule_Inputs!$B$10=0,Assumptions!$B$22,IF(23-Schedule_Inputs!$B$10=1,Assumptions!$C$22,IF(23-Schedule_Inputs!$B$10=2,Assumptions!$D$22,IF(23-Schedule_Inputs!$B$10=3,Assumptions!$B$23,0)))),IF(Schedule_Inputs!$C$10="Office Setup",$C10*IF(23-Schedule_Inputs!$B$10=0,Assumptions!$B$24,IF(23-Schedule_Inputs!$B$10=1,Assumptions!$C$24,IF(23-Schedule_Inputs!$B$10=2,Assumptions!$D$24,0))),IF(OR(Schedule_Inputs!$C$10="Monthly",Schedule_Inputs!$C$10="Periodic"),IF(AND(23&gt;=Schedule_Inputs!$B$10,MOD(23-Schedule_Inputs!$B$10,Schedule_Inputs!$E$10)=0,(23-Schedule_Inputs!$B$10)/Schedule_Inputs!$E$10&lt;Schedule_Inputs!$D$10),$C10/Schedule_Inputs!$D$10,0),0))))</f>
        <v>0</v>
      </c>
      <c r="AB10" s="31">
        <f>IF(Schedule_Inputs!$C$10="Blueprint",$C10*IF(24-Schedule_Inputs!$B$10=0,Assumptions!$B$21,IF(24-Schedule_Inputs!$B$10=1,Assumptions!$C$21,IF(24-Schedule_Inputs!$B$10=2,Assumptions!$D$21,0))),IF(Schedule_Inputs!$C$10="Launch",$C10*IF(24-Schedule_Inputs!$B$10=0,Assumptions!$B$22,IF(24-Schedule_Inputs!$B$10=1,Assumptions!$C$22,IF(24-Schedule_Inputs!$B$10=2,Assumptions!$D$22,IF(24-Schedule_Inputs!$B$10=3,Assumptions!$B$23,0)))),IF(Schedule_Inputs!$C$10="Office Setup",$C10*IF(24-Schedule_Inputs!$B$10=0,Assumptions!$B$24,IF(24-Schedule_Inputs!$B$10=1,Assumptions!$C$24,IF(24-Schedule_Inputs!$B$10=2,Assumptions!$D$24,0))),IF(OR(Schedule_Inputs!$C$10="Monthly",Schedule_Inputs!$C$10="Periodic"),IF(AND(24&gt;=Schedule_Inputs!$B$10,MOD(24-Schedule_Inputs!$B$10,Schedule_Inputs!$E$10)=0,(24-Schedule_Inputs!$B$10)/Schedule_Inputs!$E$10&lt;Schedule_Inputs!$D$10),$C10/Schedule_Inputs!$D$10,0),0))))</f>
        <v>0</v>
      </c>
      <c r="AC10" s="31">
        <f>IF(Schedule_Inputs!$C$10="Blueprint",$C10*IF(25-Schedule_Inputs!$B$10=0,Assumptions!$B$21,IF(25-Schedule_Inputs!$B$10=1,Assumptions!$C$21,IF(25-Schedule_Inputs!$B$10=2,Assumptions!$D$21,0))),IF(Schedule_Inputs!$C$10="Launch",$C10*IF(25-Schedule_Inputs!$B$10=0,Assumptions!$B$22,IF(25-Schedule_Inputs!$B$10=1,Assumptions!$C$22,IF(25-Schedule_Inputs!$B$10=2,Assumptions!$D$22,IF(25-Schedule_Inputs!$B$10=3,Assumptions!$B$23,0)))),IF(Schedule_Inputs!$C$10="Office Setup",$C10*IF(25-Schedule_Inputs!$B$10=0,Assumptions!$B$24,IF(25-Schedule_Inputs!$B$10=1,Assumptions!$C$24,IF(25-Schedule_Inputs!$B$10=2,Assumptions!$D$24,0))),IF(OR(Schedule_Inputs!$C$10="Monthly",Schedule_Inputs!$C$10="Periodic"),IF(AND(25&gt;=Schedule_Inputs!$B$10,MOD(25-Schedule_Inputs!$B$10,Schedule_Inputs!$E$10)=0,(25-Schedule_Inputs!$B$10)/Schedule_Inputs!$E$10&lt;Schedule_Inputs!$D$10),$C10/Schedule_Inputs!$D$10,0),0))))</f>
        <v>0</v>
      </c>
      <c r="AD10" s="31">
        <f>IF(Schedule_Inputs!$C$10="Blueprint",$C10*IF(26-Schedule_Inputs!$B$10=0,Assumptions!$B$21,IF(26-Schedule_Inputs!$B$10=1,Assumptions!$C$21,IF(26-Schedule_Inputs!$B$10=2,Assumptions!$D$21,0))),IF(Schedule_Inputs!$C$10="Launch",$C10*IF(26-Schedule_Inputs!$B$10=0,Assumptions!$B$22,IF(26-Schedule_Inputs!$B$10=1,Assumptions!$C$22,IF(26-Schedule_Inputs!$B$10=2,Assumptions!$D$22,IF(26-Schedule_Inputs!$B$10=3,Assumptions!$B$23,0)))),IF(Schedule_Inputs!$C$10="Office Setup",$C10*IF(26-Schedule_Inputs!$B$10=0,Assumptions!$B$24,IF(26-Schedule_Inputs!$B$10=1,Assumptions!$C$24,IF(26-Schedule_Inputs!$B$10=2,Assumptions!$D$24,0))),IF(OR(Schedule_Inputs!$C$10="Monthly",Schedule_Inputs!$C$10="Periodic"),IF(AND(26&gt;=Schedule_Inputs!$B$10,MOD(26-Schedule_Inputs!$B$10,Schedule_Inputs!$E$10)=0,(26-Schedule_Inputs!$B$10)/Schedule_Inputs!$E$10&lt;Schedule_Inputs!$D$10),$C10/Schedule_Inputs!$D$10,0),0))))</f>
        <v>0</v>
      </c>
      <c r="AE10" s="31">
        <f>IF(Schedule_Inputs!$C$10="Blueprint",$C10*IF(27-Schedule_Inputs!$B$10=0,Assumptions!$B$21,IF(27-Schedule_Inputs!$B$10=1,Assumptions!$C$21,IF(27-Schedule_Inputs!$B$10=2,Assumptions!$D$21,0))),IF(Schedule_Inputs!$C$10="Launch",$C10*IF(27-Schedule_Inputs!$B$10=0,Assumptions!$B$22,IF(27-Schedule_Inputs!$B$10=1,Assumptions!$C$22,IF(27-Schedule_Inputs!$B$10=2,Assumptions!$D$22,IF(27-Schedule_Inputs!$B$10=3,Assumptions!$B$23,0)))),IF(Schedule_Inputs!$C$10="Office Setup",$C10*IF(27-Schedule_Inputs!$B$10=0,Assumptions!$B$24,IF(27-Schedule_Inputs!$B$10=1,Assumptions!$C$24,IF(27-Schedule_Inputs!$B$10=2,Assumptions!$D$24,0))),IF(OR(Schedule_Inputs!$C$10="Monthly",Schedule_Inputs!$C$10="Periodic"),IF(AND(27&gt;=Schedule_Inputs!$B$10,MOD(27-Schedule_Inputs!$B$10,Schedule_Inputs!$E$10)=0,(27-Schedule_Inputs!$B$10)/Schedule_Inputs!$E$10&lt;Schedule_Inputs!$D$10),$C10/Schedule_Inputs!$D$10,0),0))))</f>
        <v>0</v>
      </c>
      <c r="AF10" s="31">
        <f>IF(Schedule_Inputs!$C$10="Blueprint",$C10*IF(28-Schedule_Inputs!$B$10=0,Assumptions!$B$21,IF(28-Schedule_Inputs!$B$10=1,Assumptions!$C$21,IF(28-Schedule_Inputs!$B$10=2,Assumptions!$D$21,0))),IF(Schedule_Inputs!$C$10="Launch",$C10*IF(28-Schedule_Inputs!$B$10=0,Assumptions!$B$22,IF(28-Schedule_Inputs!$B$10=1,Assumptions!$C$22,IF(28-Schedule_Inputs!$B$10=2,Assumptions!$D$22,IF(28-Schedule_Inputs!$B$10=3,Assumptions!$B$23,0)))),IF(Schedule_Inputs!$C$10="Office Setup",$C10*IF(28-Schedule_Inputs!$B$10=0,Assumptions!$B$24,IF(28-Schedule_Inputs!$B$10=1,Assumptions!$C$24,IF(28-Schedule_Inputs!$B$10=2,Assumptions!$D$24,0))),IF(OR(Schedule_Inputs!$C$10="Monthly",Schedule_Inputs!$C$10="Periodic"),IF(AND(28&gt;=Schedule_Inputs!$B$10,MOD(28-Schedule_Inputs!$B$10,Schedule_Inputs!$E$10)=0,(28-Schedule_Inputs!$B$10)/Schedule_Inputs!$E$10&lt;Schedule_Inputs!$D$10),$C10/Schedule_Inputs!$D$10,0),0))))</f>
        <v>0</v>
      </c>
      <c r="AG10" s="31">
        <f>IF(Schedule_Inputs!$C$10="Blueprint",$C10*IF(29-Schedule_Inputs!$B$10=0,Assumptions!$B$21,IF(29-Schedule_Inputs!$B$10=1,Assumptions!$C$21,IF(29-Schedule_Inputs!$B$10=2,Assumptions!$D$21,0))),IF(Schedule_Inputs!$C$10="Launch",$C10*IF(29-Schedule_Inputs!$B$10=0,Assumptions!$B$22,IF(29-Schedule_Inputs!$B$10=1,Assumptions!$C$22,IF(29-Schedule_Inputs!$B$10=2,Assumptions!$D$22,IF(29-Schedule_Inputs!$B$10=3,Assumptions!$B$23,0)))),IF(Schedule_Inputs!$C$10="Office Setup",$C10*IF(29-Schedule_Inputs!$B$10=0,Assumptions!$B$24,IF(29-Schedule_Inputs!$B$10=1,Assumptions!$C$24,IF(29-Schedule_Inputs!$B$10=2,Assumptions!$D$24,0))),IF(OR(Schedule_Inputs!$C$10="Monthly",Schedule_Inputs!$C$10="Periodic"),IF(AND(29&gt;=Schedule_Inputs!$B$10,MOD(29-Schedule_Inputs!$B$10,Schedule_Inputs!$E$10)=0,(29-Schedule_Inputs!$B$10)/Schedule_Inputs!$E$10&lt;Schedule_Inputs!$D$10),$C10/Schedule_Inputs!$D$10,0),0))))</f>
        <v>0</v>
      </c>
      <c r="AH10" s="31">
        <f>IF(Schedule_Inputs!$C$10="Blueprint",$C10*IF(30-Schedule_Inputs!$B$10=0,Assumptions!$B$21,IF(30-Schedule_Inputs!$B$10=1,Assumptions!$C$21,IF(30-Schedule_Inputs!$B$10=2,Assumptions!$D$21,0))),IF(Schedule_Inputs!$C$10="Launch",$C10*IF(30-Schedule_Inputs!$B$10=0,Assumptions!$B$22,IF(30-Schedule_Inputs!$B$10=1,Assumptions!$C$22,IF(30-Schedule_Inputs!$B$10=2,Assumptions!$D$22,IF(30-Schedule_Inputs!$B$10=3,Assumptions!$B$23,0)))),IF(Schedule_Inputs!$C$10="Office Setup",$C10*IF(30-Schedule_Inputs!$B$10=0,Assumptions!$B$24,IF(30-Schedule_Inputs!$B$10=1,Assumptions!$C$24,IF(30-Schedule_Inputs!$B$10=2,Assumptions!$D$24,0))),IF(OR(Schedule_Inputs!$C$10="Monthly",Schedule_Inputs!$C$10="Periodic"),IF(AND(30&gt;=Schedule_Inputs!$B$10,MOD(30-Schedule_Inputs!$B$10,Schedule_Inputs!$E$10)=0,(30-Schedule_Inputs!$B$10)/Schedule_Inputs!$E$10&lt;Schedule_Inputs!$D$10),$C10/Schedule_Inputs!$D$10,0),0))))</f>
        <v>0</v>
      </c>
      <c r="AI10" s="31">
        <f>IF(Schedule_Inputs!$C$10="Blueprint",$C10*IF(31-Schedule_Inputs!$B$10=0,Assumptions!$B$21,IF(31-Schedule_Inputs!$B$10=1,Assumptions!$C$21,IF(31-Schedule_Inputs!$B$10=2,Assumptions!$D$21,0))),IF(Schedule_Inputs!$C$10="Launch",$C10*IF(31-Schedule_Inputs!$B$10=0,Assumptions!$B$22,IF(31-Schedule_Inputs!$B$10=1,Assumptions!$C$22,IF(31-Schedule_Inputs!$B$10=2,Assumptions!$D$22,IF(31-Schedule_Inputs!$B$10=3,Assumptions!$B$23,0)))),IF(Schedule_Inputs!$C$10="Office Setup",$C10*IF(31-Schedule_Inputs!$B$10=0,Assumptions!$B$24,IF(31-Schedule_Inputs!$B$10=1,Assumptions!$C$24,IF(31-Schedule_Inputs!$B$10=2,Assumptions!$D$24,0))),IF(OR(Schedule_Inputs!$C$10="Monthly",Schedule_Inputs!$C$10="Periodic"),IF(AND(31&gt;=Schedule_Inputs!$B$10,MOD(31-Schedule_Inputs!$B$10,Schedule_Inputs!$E$10)=0,(31-Schedule_Inputs!$B$10)/Schedule_Inputs!$E$10&lt;Schedule_Inputs!$D$10),$C10/Schedule_Inputs!$D$10,0),0))))</f>
        <v>0</v>
      </c>
      <c r="AJ10" s="31">
        <f>IF(Schedule_Inputs!$C$10="Blueprint",$C10*IF(32-Schedule_Inputs!$B$10=0,Assumptions!$B$21,IF(32-Schedule_Inputs!$B$10=1,Assumptions!$C$21,IF(32-Schedule_Inputs!$B$10=2,Assumptions!$D$21,0))),IF(Schedule_Inputs!$C$10="Launch",$C10*IF(32-Schedule_Inputs!$B$10=0,Assumptions!$B$22,IF(32-Schedule_Inputs!$B$10=1,Assumptions!$C$22,IF(32-Schedule_Inputs!$B$10=2,Assumptions!$D$22,IF(32-Schedule_Inputs!$B$10=3,Assumptions!$B$23,0)))),IF(Schedule_Inputs!$C$10="Office Setup",$C10*IF(32-Schedule_Inputs!$B$10=0,Assumptions!$B$24,IF(32-Schedule_Inputs!$B$10=1,Assumptions!$C$24,IF(32-Schedule_Inputs!$B$10=2,Assumptions!$D$24,0))),IF(OR(Schedule_Inputs!$C$10="Monthly",Schedule_Inputs!$C$10="Periodic"),IF(AND(32&gt;=Schedule_Inputs!$B$10,MOD(32-Schedule_Inputs!$B$10,Schedule_Inputs!$E$10)=0,(32-Schedule_Inputs!$B$10)/Schedule_Inputs!$E$10&lt;Schedule_Inputs!$D$10),$C10/Schedule_Inputs!$D$10,0),0))))</f>
        <v>0</v>
      </c>
      <c r="AK10" s="31">
        <f>IF(Schedule_Inputs!$C$10="Blueprint",$C10*IF(33-Schedule_Inputs!$B$10=0,Assumptions!$B$21,IF(33-Schedule_Inputs!$B$10=1,Assumptions!$C$21,IF(33-Schedule_Inputs!$B$10=2,Assumptions!$D$21,0))),IF(Schedule_Inputs!$C$10="Launch",$C10*IF(33-Schedule_Inputs!$B$10=0,Assumptions!$B$22,IF(33-Schedule_Inputs!$B$10=1,Assumptions!$C$22,IF(33-Schedule_Inputs!$B$10=2,Assumptions!$D$22,IF(33-Schedule_Inputs!$B$10=3,Assumptions!$B$23,0)))),IF(Schedule_Inputs!$C$10="Office Setup",$C10*IF(33-Schedule_Inputs!$B$10=0,Assumptions!$B$24,IF(33-Schedule_Inputs!$B$10=1,Assumptions!$C$24,IF(33-Schedule_Inputs!$B$10=2,Assumptions!$D$24,0))),IF(OR(Schedule_Inputs!$C$10="Monthly",Schedule_Inputs!$C$10="Periodic"),IF(AND(33&gt;=Schedule_Inputs!$B$10,MOD(33-Schedule_Inputs!$B$10,Schedule_Inputs!$E$10)=0,(33-Schedule_Inputs!$B$10)/Schedule_Inputs!$E$10&lt;Schedule_Inputs!$D$10),$C10/Schedule_Inputs!$D$10,0),0))))</f>
        <v>0</v>
      </c>
      <c r="AL10" s="31">
        <f>IF(Schedule_Inputs!$C$10="Blueprint",$C10*IF(34-Schedule_Inputs!$B$10=0,Assumptions!$B$21,IF(34-Schedule_Inputs!$B$10=1,Assumptions!$C$21,IF(34-Schedule_Inputs!$B$10=2,Assumptions!$D$21,0))),IF(Schedule_Inputs!$C$10="Launch",$C10*IF(34-Schedule_Inputs!$B$10=0,Assumptions!$B$22,IF(34-Schedule_Inputs!$B$10=1,Assumptions!$C$22,IF(34-Schedule_Inputs!$B$10=2,Assumptions!$D$22,IF(34-Schedule_Inputs!$B$10=3,Assumptions!$B$23,0)))),IF(Schedule_Inputs!$C$10="Office Setup",$C10*IF(34-Schedule_Inputs!$B$10=0,Assumptions!$B$24,IF(34-Schedule_Inputs!$B$10=1,Assumptions!$C$24,IF(34-Schedule_Inputs!$B$10=2,Assumptions!$D$24,0))),IF(OR(Schedule_Inputs!$C$10="Monthly",Schedule_Inputs!$C$10="Periodic"),IF(AND(34&gt;=Schedule_Inputs!$B$10,MOD(34-Schedule_Inputs!$B$10,Schedule_Inputs!$E$10)=0,(34-Schedule_Inputs!$B$10)/Schedule_Inputs!$E$10&lt;Schedule_Inputs!$D$10),$C10/Schedule_Inputs!$D$10,0),0))))</f>
        <v>0</v>
      </c>
      <c r="AM10" s="31">
        <f>IF(Schedule_Inputs!$C$10="Blueprint",$C10*IF(35-Schedule_Inputs!$B$10=0,Assumptions!$B$21,IF(35-Schedule_Inputs!$B$10=1,Assumptions!$C$21,IF(35-Schedule_Inputs!$B$10=2,Assumptions!$D$21,0))),IF(Schedule_Inputs!$C$10="Launch",$C10*IF(35-Schedule_Inputs!$B$10=0,Assumptions!$B$22,IF(35-Schedule_Inputs!$B$10=1,Assumptions!$C$22,IF(35-Schedule_Inputs!$B$10=2,Assumptions!$D$22,IF(35-Schedule_Inputs!$B$10=3,Assumptions!$B$23,0)))),IF(Schedule_Inputs!$C$10="Office Setup",$C10*IF(35-Schedule_Inputs!$B$10=0,Assumptions!$B$24,IF(35-Schedule_Inputs!$B$10=1,Assumptions!$C$24,IF(35-Schedule_Inputs!$B$10=2,Assumptions!$D$24,0))),IF(OR(Schedule_Inputs!$C$10="Monthly",Schedule_Inputs!$C$10="Periodic"),IF(AND(35&gt;=Schedule_Inputs!$B$10,MOD(35-Schedule_Inputs!$B$10,Schedule_Inputs!$E$10)=0,(35-Schedule_Inputs!$B$10)/Schedule_Inputs!$E$10&lt;Schedule_Inputs!$D$10),$C10/Schedule_Inputs!$D$10,0),0))))</f>
        <v>0</v>
      </c>
      <c r="AN10" s="31">
        <f>IF(Schedule_Inputs!$C$10="Blueprint",$C10*IF(36-Schedule_Inputs!$B$10=0,Assumptions!$B$21,IF(36-Schedule_Inputs!$B$10=1,Assumptions!$C$21,IF(36-Schedule_Inputs!$B$10=2,Assumptions!$D$21,0))),IF(Schedule_Inputs!$C$10="Launch",$C10*IF(36-Schedule_Inputs!$B$10=0,Assumptions!$B$22,IF(36-Schedule_Inputs!$B$10=1,Assumptions!$C$22,IF(36-Schedule_Inputs!$B$10=2,Assumptions!$D$22,IF(36-Schedule_Inputs!$B$10=3,Assumptions!$B$23,0)))),IF(Schedule_Inputs!$C$10="Office Setup",$C10*IF(36-Schedule_Inputs!$B$10=0,Assumptions!$B$24,IF(36-Schedule_Inputs!$B$10=1,Assumptions!$C$24,IF(36-Schedule_Inputs!$B$10=2,Assumptions!$D$24,0))),IF(OR(Schedule_Inputs!$C$10="Monthly",Schedule_Inputs!$C$10="Periodic"),IF(AND(36&gt;=Schedule_Inputs!$B$10,MOD(36-Schedule_Inputs!$B$10,Schedule_Inputs!$E$10)=0,(36-Schedule_Inputs!$B$10)/Schedule_Inputs!$E$10&lt;Schedule_Inputs!$D$10),$C10/Schedule_Inputs!$D$10,0),0))))</f>
        <v>0</v>
      </c>
    </row>
    <row r="11" spans="1:40">
      <c r="A11" s="29" t="s">
        <v>241</v>
      </c>
      <c r="B11" s="29">
        <v>2</v>
      </c>
      <c r="C11" s="30">
        <v>21000</v>
      </c>
      <c r="D11" s="31" t="s">
        <v>230</v>
      </c>
      <c r="E11" s="31">
        <f>IF(Schedule_Inputs!$C$11="Blueprint",$C11*IF(1-Schedule_Inputs!$B$11=0,Assumptions!$B$21,IF(1-Schedule_Inputs!$B$11=1,Assumptions!$C$21,IF(1-Schedule_Inputs!$B$11=2,Assumptions!$D$21,0))),IF(Schedule_Inputs!$C$11="Launch",$C11*IF(1-Schedule_Inputs!$B$11=0,Assumptions!$B$22,IF(1-Schedule_Inputs!$B$11=1,Assumptions!$C$22,IF(1-Schedule_Inputs!$B$11=2,Assumptions!$D$22,IF(1-Schedule_Inputs!$B$11=3,Assumptions!$B$23,0)))),IF(Schedule_Inputs!$C$11="Office Setup",$C11*IF(1-Schedule_Inputs!$B$11=0,Assumptions!$B$24,IF(1-Schedule_Inputs!$B$11=1,Assumptions!$C$24,IF(1-Schedule_Inputs!$B$11=2,Assumptions!$D$24,0))),IF(OR(Schedule_Inputs!$C$11="Monthly",Schedule_Inputs!$C$11="Periodic"),IF(AND(1&gt;=Schedule_Inputs!$B$11,MOD(1-Schedule_Inputs!$B$11,Schedule_Inputs!$E$11)=0,(1-Schedule_Inputs!$B$11)/Schedule_Inputs!$E$11&lt;Schedule_Inputs!$D$11),$C11/Schedule_Inputs!$D$11,0),0))))</f>
        <v>0</v>
      </c>
      <c r="F11" s="31">
        <f>IF(Schedule_Inputs!$C$11="Blueprint",$C11*IF(2-Schedule_Inputs!$B$11=0,Assumptions!$B$21,IF(2-Schedule_Inputs!$B$11=1,Assumptions!$C$21,IF(2-Schedule_Inputs!$B$11=2,Assumptions!$D$21,0))),IF(Schedule_Inputs!$C$11="Launch",$C11*IF(2-Schedule_Inputs!$B$11=0,Assumptions!$B$22,IF(2-Schedule_Inputs!$B$11=1,Assumptions!$C$22,IF(2-Schedule_Inputs!$B$11=2,Assumptions!$D$22,IF(2-Schedule_Inputs!$B$11=3,Assumptions!$B$23,0)))),IF(Schedule_Inputs!$C$11="Office Setup",$C11*IF(2-Schedule_Inputs!$B$11=0,Assumptions!$B$24,IF(2-Schedule_Inputs!$B$11=1,Assumptions!$C$24,IF(2-Schedule_Inputs!$B$11=2,Assumptions!$D$24,0))),IF(OR(Schedule_Inputs!$C$11="Monthly",Schedule_Inputs!$C$11="Periodic"),IF(AND(2&gt;=Schedule_Inputs!$B$11,MOD(2-Schedule_Inputs!$B$11,Schedule_Inputs!$E$11)=0,(2-Schedule_Inputs!$B$11)/Schedule_Inputs!$E$11&lt;Schedule_Inputs!$D$11),$C11/Schedule_Inputs!$D$11,0),0))))</f>
        <v>0</v>
      </c>
      <c r="G11" s="31">
        <f>IF(Schedule_Inputs!$C$11="Blueprint",$C11*IF(3-Schedule_Inputs!$B$11=0,Assumptions!$B$21,IF(3-Schedule_Inputs!$B$11=1,Assumptions!$C$21,IF(3-Schedule_Inputs!$B$11=2,Assumptions!$D$21,0))),IF(Schedule_Inputs!$C$11="Launch",$C11*IF(3-Schedule_Inputs!$B$11=0,Assumptions!$B$22,IF(3-Schedule_Inputs!$B$11=1,Assumptions!$C$22,IF(3-Schedule_Inputs!$B$11=2,Assumptions!$D$22,IF(3-Schedule_Inputs!$B$11=3,Assumptions!$B$23,0)))),IF(Schedule_Inputs!$C$11="Office Setup",$C11*IF(3-Schedule_Inputs!$B$11=0,Assumptions!$B$24,IF(3-Schedule_Inputs!$B$11=1,Assumptions!$C$24,IF(3-Schedule_Inputs!$B$11=2,Assumptions!$D$24,0))),IF(OR(Schedule_Inputs!$C$11="Monthly",Schedule_Inputs!$C$11="Periodic"),IF(AND(3&gt;=Schedule_Inputs!$B$11,MOD(3-Schedule_Inputs!$B$11,Schedule_Inputs!$E$11)=0,(3-Schedule_Inputs!$B$11)/Schedule_Inputs!$E$11&lt;Schedule_Inputs!$D$11),$C11/Schedule_Inputs!$D$11,0),0))))</f>
        <v>0</v>
      </c>
      <c r="H11" s="31">
        <f>IF(Schedule_Inputs!$C$11="Blueprint",$C11*IF(4-Schedule_Inputs!$B$11=0,Assumptions!$B$21,IF(4-Schedule_Inputs!$B$11=1,Assumptions!$C$21,IF(4-Schedule_Inputs!$B$11=2,Assumptions!$D$21,0))),IF(Schedule_Inputs!$C$11="Launch",$C11*IF(4-Schedule_Inputs!$B$11=0,Assumptions!$B$22,IF(4-Schedule_Inputs!$B$11=1,Assumptions!$C$22,IF(4-Schedule_Inputs!$B$11=2,Assumptions!$D$22,IF(4-Schedule_Inputs!$B$11=3,Assumptions!$B$23,0)))),IF(Schedule_Inputs!$C$11="Office Setup",$C11*IF(4-Schedule_Inputs!$B$11=0,Assumptions!$B$24,IF(4-Schedule_Inputs!$B$11=1,Assumptions!$C$24,IF(4-Schedule_Inputs!$B$11=2,Assumptions!$D$24,0))),IF(OR(Schedule_Inputs!$C$11="Monthly",Schedule_Inputs!$C$11="Periodic"),IF(AND(4&gt;=Schedule_Inputs!$B$11,MOD(4-Schedule_Inputs!$B$11,Schedule_Inputs!$E$11)=0,(4-Schedule_Inputs!$B$11)/Schedule_Inputs!$E$11&lt;Schedule_Inputs!$D$11),$C11/Schedule_Inputs!$D$11,0),0))))</f>
        <v>0</v>
      </c>
      <c r="I11" s="31">
        <f>IF(Schedule_Inputs!$C$11="Blueprint",$C11*IF(5-Schedule_Inputs!$B$11=0,Assumptions!$B$21,IF(5-Schedule_Inputs!$B$11=1,Assumptions!$C$21,IF(5-Schedule_Inputs!$B$11=2,Assumptions!$D$21,0))),IF(Schedule_Inputs!$C$11="Launch",$C11*IF(5-Schedule_Inputs!$B$11=0,Assumptions!$B$22,IF(5-Schedule_Inputs!$B$11=1,Assumptions!$C$22,IF(5-Schedule_Inputs!$B$11=2,Assumptions!$D$22,IF(5-Schedule_Inputs!$B$11=3,Assumptions!$B$23,0)))),IF(Schedule_Inputs!$C$11="Office Setup",$C11*IF(5-Schedule_Inputs!$B$11=0,Assumptions!$B$24,IF(5-Schedule_Inputs!$B$11=1,Assumptions!$C$24,IF(5-Schedule_Inputs!$B$11=2,Assumptions!$D$24,0))),IF(OR(Schedule_Inputs!$C$11="Monthly",Schedule_Inputs!$C$11="Periodic"),IF(AND(5&gt;=Schedule_Inputs!$B$11,MOD(5-Schedule_Inputs!$B$11,Schedule_Inputs!$E$11)=0,(5-Schedule_Inputs!$B$11)/Schedule_Inputs!$E$11&lt;Schedule_Inputs!$D$11),$C11/Schedule_Inputs!$D$11,0),0))))</f>
        <v>0</v>
      </c>
      <c r="J11" s="31">
        <f>IF(Schedule_Inputs!$C$11="Blueprint",$C11*IF(6-Schedule_Inputs!$B$11=0,Assumptions!$B$21,IF(6-Schedule_Inputs!$B$11=1,Assumptions!$C$21,IF(6-Schedule_Inputs!$B$11=2,Assumptions!$D$21,0))),IF(Schedule_Inputs!$C$11="Launch",$C11*IF(6-Schedule_Inputs!$B$11=0,Assumptions!$B$22,IF(6-Schedule_Inputs!$B$11=1,Assumptions!$C$22,IF(6-Schedule_Inputs!$B$11=2,Assumptions!$D$22,IF(6-Schedule_Inputs!$B$11=3,Assumptions!$B$23,0)))),IF(Schedule_Inputs!$C$11="Office Setup",$C11*IF(6-Schedule_Inputs!$B$11=0,Assumptions!$B$24,IF(6-Schedule_Inputs!$B$11=1,Assumptions!$C$24,IF(6-Schedule_Inputs!$B$11=2,Assumptions!$D$24,0))),IF(OR(Schedule_Inputs!$C$11="Monthly",Schedule_Inputs!$C$11="Periodic"),IF(AND(6&gt;=Schedule_Inputs!$B$11,MOD(6-Schedule_Inputs!$B$11,Schedule_Inputs!$E$11)=0,(6-Schedule_Inputs!$B$11)/Schedule_Inputs!$E$11&lt;Schedule_Inputs!$D$11),$C11/Schedule_Inputs!$D$11,0),0))))</f>
        <v>0</v>
      </c>
      <c r="K11" s="31">
        <f>IF(Schedule_Inputs!$C$11="Blueprint",$C11*IF(7-Schedule_Inputs!$B$11=0,Assumptions!$B$21,IF(7-Schedule_Inputs!$B$11=1,Assumptions!$C$21,IF(7-Schedule_Inputs!$B$11=2,Assumptions!$D$21,0))),IF(Schedule_Inputs!$C$11="Launch",$C11*IF(7-Schedule_Inputs!$B$11=0,Assumptions!$B$22,IF(7-Schedule_Inputs!$B$11=1,Assumptions!$C$22,IF(7-Schedule_Inputs!$B$11=2,Assumptions!$D$22,IF(7-Schedule_Inputs!$B$11=3,Assumptions!$B$23,0)))),IF(Schedule_Inputs!$C$11="Office Setup",$C11*IF(7-Schedule_Inputs!$B$11=0,Assumptions!$B$24,IF(7-Schedule_Inputs!$B$11=1,Assumptions!$C$24,IF(7-Schedule_Inputs!$B$11=2,Assumptions!$D$24,0))),IF(OR(Schedule_Inputs!$C$11="Monthly",Schedule_Inputs!$C$11="Periodic"),IF(AND(7&gt;=Schedule_Inputs!$B$11,MOD(7-Schedule_Inputs!$B$11,Schedule_Inputs!$E$11)=0,(7-Schedule_Inputs!$B$11)/Schedule_Inputs!$E$11&lt;Schedule_Inputs!$D$11),$C11/Schedule_Inputs!$D$11,0),0))))</f>
        <v>0</v>
      </c>
      <c r="L11" s="31">
        <f>IF(Schedule_Inputs!$C$11="Blueprint",$C11*IF(8-Schedule_Inputs!$B$11=0,Assumptions!$B$21,IF(8-Schedule_Inputs!$B$11=1,Assumptions!$C$21,IF(8-Schedule_Inputs!$B$11=2,Assumptions!$D$21,0))),IF(Schedule_Inputs!$C$11="Launch",$C11*IF(8-Schedule_Inputs!$B$11=0,Assumptions!$B$22,IF(8-Schedule_Inputs!$B$11=1,Assumptions!$C$22,IF(8-Schedule_Inputs!$B$11=2,Assumptions!$D$22,IF(8-Schedule_Inputs!$B$11=3,Assumptions!$B$23,0)))),IF(Schedule_Inputs!$C$11="Office Setup",$C11*IF(8-Schedule_Inputs!$B$11=0,Assumptions!$B$24,IF(8-Schedule_Inputs!$B$11=1,Assumptions!$C$24,IF(8-Schedule_Inputs!$B$11=2,Assumptions!$D$24,0))),IF(OR(Schedule_Inputs!$C$11="Monthly",Schedule_Inputs!$C$11="Periodic"),IF(AND(8&gt;=Schedule_Inputs!$B$11,MOD(8-Schedule_Inputs!$B$11,Schedule_Inputs!$E$11)=0,(8-Schedule_Inputs!$B$11)/Schedule_Inputs!$E$11&lt;Schedule_Inputs!$D$11),$C11/Schedule_Inputs!$D$11,0),0))))</f>
        <v>0</v>
      </c>
      <c r="M11" s="31">
        <f>IF(Schedule_Inputs!$C$11="Blueprint",$C11*IF(9-Schedule_Inputs!$B$11=0,Assumptions!$B$21,IF(9-Schedule_Inputs!$B$11=1,Assumptions!$C$21,IF(9-Schedule_Inputs!$B$11=2,Assumptions!$D$21,0))),IF(Schedule_Inputs!$C$11="Launch",$C11*IF(9-Schedule_Inputs!$B$11=0,Assumptions!$B$22,IF(9-Schedule_Inputs!$B$11=1,Assumptions!$C$22,IF(9-Schedule_Inputs!$B$11=2,Assumptions!$D$22,IF(9-Schedule_Inputs!$B$11=3,Assumptions!$B$23,0)))),IF(Schedule_Inputs!$C$11="Office Setup",$C11*IF(9-Schedule_Inputs!$B$11=0,Assumptions!$B$24,IF(9-Schedule_Inputs!$B$11=1,Assumptions!$C$24,IF(9-Schedule_Inputs!$B$11=2,Assumptions!$D$24,0))),IF(OR(Schedule_Inputs!$C$11="Monthly",Schedule_Inputs!$C$11="Periodic"),IF(AND(9&gt;=Schedule_Inputs!$B$11,MOD(9-Schedule_Inputs!$B$11,Schedule_Inputs!$E$11)=0,(9-Schedule_Inputs!$B$11)/Schedule_Inputs!$E$11&lt;Schedule_Inputs!$D$11),$C11/Schedule_Inputs!$D$11,0),0))))</f>
        <v>0</v>
      </c>
      <c r="N11" s="31">
        <f>IF(Schedule_Inputs!$C$11="Blueprint",$C11*IF(10-Schedule_Inputs!$B$11=0,Assumptions!$B$21,IF(10-Schedule_Inputs!$B$11=1,Assumptions!$C$21,IF(10-Schedule_Inputs!$B$11=2,Assumptions!$D$21,0))),IF(Schedule_Inputs!$C$11="Launch",$C11*IF(10-Schedule_Inputs!$B$11=0,Assumptions!$B$22,IF(10-Schedule_Inputs!$B$11=1,Assumptions!$C$22,IF(10-Schedule_Inputs!$B$11=2,Assumptions!$D$22,IF(10-Schedule_Inputs!$B$11=3,Assumptions!$B$23,0)))),IF(Schedule_Inputs!$C$11="Office Setup",$C11*IF(10-Schedule_Inputs!$B$11=0,Assumptions!$B$24,IF(10-Schedule_Inputs!$B$11=1,Assumptions!$C$24,IF(10-Schedule_Inputs!$B$11=2,Assumptions!$D$24,0))),IF(OR(Schedule_Inputs!$C$11="Monthly",Schedule_Inputs!$C$11="Periodic"),IF(AND(10&gt;=Schedule_Inputs!$B$11,MOD(10-Schedule_Inputs!$B$11,Schedule_Inputs!$E$11)=0,(10-Schedule_Inputs!$B$11)/Schedule_Inputs!$E$11&lt;Schedule_Inputs!$D$11),$C11/Schedule_Inputs!$D$11,0),0))))</f>
        <v>0</v>
      </c>
      <c r="O11" s="31">
        <f>IF(Schedule_Inputs!$C$11="Blueprint",$C11*IF(11-Schedule_Inputs!$B$11=0,Assumptions!$B$21,IF(11-Schedule_Inputs!$B$11=1,Assumptions!$C$21,IF(11-Schedule_Inputs!$B$11=2,Assumptions!$D$21,0))),IF(Schedule_Inputs!$C$11="Launch",$C11*IF(11-Schedule_Inputs!$B$11=0,Assumptions!$B$22,IF(11-Schedule_Inputs!$B$11=1,Assumptions!$C$22,IF(11-Schedule_Inputs!$B$11=2,Assumptions!$D$22,IF(11-Schedule_Inputs!$B$11=3,Assumptions!$B$23,0)))),IF(Schedule_Inputs!$C$11="Office Setup",$C11*IF(11-Schedule_Inputs!$B$11=0,Assumptions!$B$24,IF(11-Schedule_Inputs!$B$11=1,Assumptions!$C$24,IF(11-Schedule_Inputs!$B$11=2,Assumptions!$D$24,0))),IF(OR(Schedule_Inputs!$C$11="Monthly",Schedule_Inputs!$C$11="Periodic"),IF(AND(11&gt;=Schedule_Inputs!$B$11,MOD(11-Schedule_Inputs!$B$11,Schedule_Inputs!$E$11)=0,(11-Schedule_Inputs!$B$11)/Schedule_Inputs!$E$11&lt;Schedule_Inputs!$D$11),$C11/Schedule_Inputs!$D$11,0),0))))</f>
        <v>0</v>
      </c>
      <c r="P11" s="31">
        <f>IF(Schedule_Inputs!$C$11="Blueprint",$C11*IF(12-Schedule_Inputs!$B$11=0,Assumptions!$B$21,IF(12-Schedule_Inputs!$B$11=1,Assumptions!$C$21,IF(12-Schedule_Inputs!$B$11=2,Assumptions!$D$21,0))),IF(Schedule_Inputs!$C$11="Launch",$C11*IF(12-Schedule_Inputs!$B$11=0,Assumptions!$B$22,IF(12-Schedule_Inputs!$B$11=1,Assumptions!$C$22,IF(12-Schedule_Inputs!$B$11=2,Assumptions!$D$22,IF(12-Schedule_Inputs!$B$11=3,Assumptions!$B$23,0)))),IF(Schedule_Inputs!$C$11="Office Setup",$C11*IF(12-Schedule_Inputs!$B$11=0,Assumptions!$B$24,IF(12-Schedule_Inputs!$B$11=1,Assumptions!$C$24,IF(12-Schedule_Inputs!$B$11=2,Assumptions!$D$24,0))),IF(OR(Schedule_Inputs!$C$11="Monthly",Schedule_Inputs!$C$11="Periodic"),IF(AND(12&gt;=Schedule_Inputs!$B$11,MOD(12-Schedule_Inputs!$B$11,Schedule_Inputs!$E$11)=0,(12-Schedule_Inputs!$B$11)/Schedule_Inputs!$E$11&lt;Schedule_Inputs!$D$11),$C11/Schedule_Inputs!$D$11,0),0))))</f>
        <v>0</v>
      </c>
      <c r="Q11" s="31">
        <f>IF(Schedule_Inputs!$C$11="Blueprint",$C11*IF(13-Schedule_Inputs!$B$11=0,Assumptions!$B$21,IF(13-Schedule_Inputs!$B$11=1,Assumptions!$C$21,IF(13-Schedule_Inputs!$B$11=2,Assumptions!$D$21,0))),IF(Schedule_Inputs!$C$11="Launch",$C11*IF(13-Schedule_Inputs!$B$11=0,Assumptions!$B$22,IF(13-Schedule_Inputs!$B$11=1,Assumptions!$C$22,IF(13-Schedule_Inputs!$B$11=2,Assumptions!$D$22,IF(13-Schedule_Inputs!$B$11=3,Assumptions!$B$23,0)))),IF(Schedule_Inputs!$C$11="Office Setup",$C11*IF(13-Schedule_Inputs!$B$11=0,Assumptions!$B$24,IF(13-Schedule_Inputs!$B$11=1,Assumptions!$C$24,IF(13-Schedule_Inputs!$B$11=2,Assumptions!$D$24,0))),IF(OR(Schedule_Inputs!$C$11="Monthly",Schedule_Inputs!$C$11="Periodic"),IF(AND(13&gt;=Schedule_Inputs!$B$11,MOD(13-Schedule_Inputs!$B$11,Schedule_Inputs!$E$11)=0,(13-Schedule_Inputs!$B$11)/Schedule_Inputs!$E$11&lt;Schedule_Inputs!$D$11),$C11/Schedule_Inputs!$D$11,0),0))))</f>
        <v>0</v>
      </c>
      <c r="R11" s="31">
        <f>IF(Schedule_Inputs!$C$11="Blueprint",$C11*IF(14-Schedule_Inputs!$B$11=0,Assumptions!$B$21,IF(14-Schedule_Inputs!$B$11=1,Assumptions!$C$21,IF(14-Schedule_Inputs!$B$11=2,Assumptions!$D$21,0))),IF(Schedule_Inputs!$C$11="Launch",$C11*IF(14-Schedule_Inputs!$B$11=0,Assumptions!$B$22,IF(14-Schedule_Inputs!$B$11=1,Assumptions!$C$22,IF(14-Schedule_Inputs!$B$11=2,Assumptions!$D$22,IF(14-Schedule_Inputs!$B$11=3,Assumptions!$B$23,0)))),IF(Schedule_Inputs!$C$11="Office Setup",$C11*IF(14-Schedule_Inputs!$B$11=0,Assumptions!$B$24,IF(14-Schedule_Inputs!$B$11=1,Assumptions!$C$24,IF(14-Schedule_Inputs!$B$11=2,Assumptions!$D$24,0))),IF(OR(Schedule_Inputs!$C$11="Monthly",Schedule_Inputs!$C$11="Periodic"),IF(AND(14&gt;=Schedule_Inputs!$B$11,MOD(14-Schedule_Inputs!$B$11,Schedule_Inputs!$E$11)=0,(14-Schedule_Inputs!$B$11)/Schedule_Inputs!$E$11&lt;Schedule_Inputs!$D$11),$C11/Schedule_Inputs!$D$11,0),0))))</f>
        <v>0</v>
      </c>
      <c r="S11" s="31">
        <f>IF(Schedule_Inputs!$C$11="Blueprint",$C11*IF(15-Schedule_Inputs!$B$11=0,Assumptions!$B$21,IF(15-Schedule_Inputs!$B$11=1,Assumptions!$C$21,IF(15-Schedule_Inputs!$B$11=2,Assumptions!$D$21,0))),IF(Schedule_Inputs!$C$11="Launch",$C11*IF(15-Schedule_Inputs!$B$11=0,Assumptions!$B$22,IF(15-Schedule_Inputs!$B$11=1,Assumptions!$C$22,IF(15-Schedule_Inputs!$B$11=2,Assumptions!$D$22,IF(15-Schedule_Inputs!$B$11=3,Assumptions!$B$23,0)))),IF(Schedule_Inputs!$C$11="Office Setup",$C11*IF(15-Schedule_Inputs!$B$11=0,Assumptions!$B$24,IF(15-Schedule_Inputs!$B$11=1,Assumptions!$C$24,IF(15-Schedule_Inputs!$B$11=2,Assumptions!$D$24,0))),IF(OR(Schedule_Inputs!$C$11="Monthly",Schedule_Inputs!$C$11="Periodic"),IF(AND(15&gt;=Schedule_Inputs!$B$11,MOD(15-Schedule_Inputs!$B$11,Schedule_Inputs!$E$11)=0,(15-Schedule_Inputs!$B$11)/Schedule_Inputs!$E$11&lt;Schedule_Inputs!$D$11),$C11/Schedule_Inputs!$D$11,0),0))))</f>
        <v>0</v>
      </c>
      <c r="T11" s="31">
        <f>IF(Schedule_Inputs!$C$11="Blueprint",$C11*IF(16-Schedule_Inputs!$B$11=0,Assumptions!$B$21,IF(16-Schedule_Inputs!$B$11=1,Assumptions!$C$21,IF(16-Schedule_Inputs!$B$11=2,Assumptions!$D$21,0))),IF(Schedule_Inputs!$C$11="Launch",$C11*IF(16-Schedule_Inputs!$B$11=0,Assumptions!$B$22,IF(16-Schedule_Inputs!$B$11=1,Assumptions!$C$22,IF(16-Schedule_Inputs!$B$11=2,Assumptions!$D$22,IF(16-Schedule_Inputs!$B$11=3,Assumptions!$B$23,0)))),IF(Schedule_Inputs!$C$11="Office Setup",$C11*IF(16-Schedule_Inputs!$B$11=0,Assumptions!$B$24,IF(16-Schedule_Inputs!$B$11=1,Assumptions!$C$24,IF(16-Schedule_Inputs!$B$11=2,Assumptions!$D$24,0))),IF(OR(Schedule_Inputs!$C$11="Monthly",Schedule_Inputs!$C$11="Periodic"),IF(AND(16&gt;=Schedule_Inputs!$B$11,MOD(16-Schedule_Inputs!$B$11,Schedule_Inputs!$E$11)=0,(16-Schedule_Inputs!$B$11)/Schedule_Inputs!$E$11&lt;Schedule_Inputs!$D$11),$C11/Schedule_Inputs!$D$11,0),0))))</f>
        <v>8400</v>
      </c>
      <c r="U11" s="31">
        <f>IF(Schedule_Inputs!$C$11="Blueprint",$C11*IF(17-Schedule_Inputs!$B$11=0,Assumptions!$B$21,IF(17-Schedule_Inputs!$B$11=1,Assumptions!$C$21,IF(17-Schedule_Inputs!$B$11=2,Assumptions!$D$21,0))),IF(Schedule_Inputs!$C$11="Launch",$C11*IF(17-Schedule_Inputs!$B$11=0,Assumptions!$B$22,IF(17-Schedule_Inputs!$B$11=1,Assumptions!$C$22,IF(17-Schedule_Inputs!$B$11=2,Assumptions!$D$22,IF(17-Schedule_Inputs!$B$11=3,Assumptions!$B$23,0)))),IF(Schedule_Inputs!$C$11="Office Setup",$C11*IF(17-Schedule_Inputs!$B$11=0,Assumptions!$B$24,IF(17-Schedule_Inputs!$B$11=1,Assumptions!$C$24,IF(17-Schedule_Inputs!$B$11=2,Assumptions!$D$24,0))),IF(OR(Schedule_Inputs!$C$11="Monthly",Schedule_Inputs!$C$11="Periodic"),IF(AND(17&gt;=Schedule_Inputs!$B$11,MOD(17-Schedule_Inputs!$B$11,Schedule_Inputs!$E$11)=0,(17-Schedule_Inputs!$B$11)/Schedule_Inputs!$E$11&lt;Schedule_Inputs!$D$11),$C11/Schedule_Inputs!$D$11,0),0))))</f>
        <v>8400</v>
      </c>
      <c r="V11" s="31">
        <f>IF(Schedule_Inputs!$C$11="Blueprint",$C11*IF(18-Schedule_Inputs!$B$11=0,Assumptions!$B$21,IF(18-Schedule_Inputs!$B$11=1,Assumptions!$C$21,IF(18-Schedule_Inputs!$B$11=2,Assumptions!$D$21,0))),IF(Schedule_Inputs!$C$11="Launch",$C11*IF(18-Schedule_Inputs!$B$11=0,Assumptions!$B$22,IF(18-Schedule_Inputs!$B$11=1,Assumptions!$C$22,IF(18-Schedule_Inputs!$B$11=2,Assumptions!$D$22,IF(18-Schedule_Inputs!$B$11=3,Assumptions!$B$23,0)))),IF(Schedule_Inputs!$C$11="Office Setup",$C11*IF(18-Schedule_Inputs!$B$11=0,Assumptions!$B$24,IF(18-Schedule_Inputs!$B$11=1,Assumptions!$C$24,IF(18-Schedule_Inputs!$B$11=2,Assumptions!$D$24,0))),IF(OR(Schedule_Inputs!$C$11="Monthly",Schedule_Inputs!$C$11="Periodic"),IF(AND(18&gt;=Schedule_Inputs!$B$11,MOD(18-Schedule_Inputs!$B$11,Schedule_Inputs!$E$11)=0,(18-Schedule_Inputs!$B$11)/Schedule_Inputs!$E$11&lt;Schedule_Inputs!$D$11),$C11/Schedule_Inputs!$D$11,0),0))))</f>
        <v>4200</v>
      </c>
      <c r="W11" s="31">
        <f>IF(Schedule_Inputs!$C$11="Blueprint",$C11*IF(19-Schedule_Inputs!$B$11=0,Assumptions!$B$21,IF(19-Schedule_Inputs!$B$11=1,Assumptions!$C$21,IF(19-Schedule_Inputs!$B$11=2,Assumptions!$D$21,0))),IF(Schedule_Inputs!$C$11="Launch",$C11*IF(19-Schedule_Inputs!$B$11=0,Assumptions!$B$22,IF(19-Schedule_Inputs!$B$11=1,Assumptions!$C$22,IF(19-Schedule_Inputs!$B$11=2,Assumptions!$D$22,IF(19-Schedule_Inputs!$B$11=3,Assumptions!$B$23,0)))),IF(Schedule_Inputs!$C$11="Office Setup",$C11*IF(19-Schedule_Inputs!$B$11=0,Assumptions!$B$24,IF(19-Schedule_Inputs!$B$11=1,Assumptions!$C$24,IF(19-Schedule_Inputs!$B$11=2,Assumptions!$D$24,0))),IF(OR(Schedule_Inputs!$C$11="Monthly",Schedule_Inputs!$C$11="Periodic"),IF(AND(19&gt;=Schedule_Inputs!$B$11,MOD(19-Schedule_Inputs!$B$11,Schedule_Inputs!$E$11)=0,(19-Schedule_Inputs!$B$11)/Schedule_Inputs!$E$11&lt;Schedule_Inputs!$D$11),$C11/Schedule_Inputs!$D$11,0),0))))</f>
        <v>0</v>
      </c>
      <c r="X11" s="31">
        <f>IF(Schedule_Inputs!$C$11="Blueprint",$C11*IF(20-Schedule_Inputs!$B$11=0,Assumptions!$B$21,IF(20-Schedule_Inputs!$B$11=1,Assumptions!$C$21,IF(20-Schedule_Inputs!$B$11=2,Assumptions!$D$21,0))),IF(Schedule_Inputs!$C$11="Launch",$C11*IF(20-Schedule_Inputs!$B$11=0,Assumptions!$B$22,IF(20-Schedule_Inputs!$B$11=1,Assumptions!$C$22,IF(20-Schedule_Inputs!$B$11=2,Assumptions!$D$22,IF(20-Schedule_Inputs!$B$11=3,Assumptions!$B$23,0)))),IF(Schedule_Inputs!$C$11="Office Setup",$C11*IF(20-Schedule_Inputs!$B$11=0,Assumptions!$B$24,IF(20-Schedule_Inputs!$B$11=1,Assumptions!$C$24,IF(20-Schedule_Inputs!$B$11=2,Assumptions!$D$24,0))),IF(OR(Schedule_Inputs!$C$11="Monthly",Schedule_Inputs!$C$11="Periodic"),IF(AND(20&gt;=Schedule_Inputs!$B$11,MOD(20-Schedule_Inputs!$B$11,Schedule_Inputs!$E$11)=0,(20-Schedule_Inputs!$B$11)/Schedule_Inputs!$E$11&lt;Schedule_Inputs!$D$11),$C11/Schedule_Inputs!$D$11,0),0))))</f>
        <v>0</v>
      </c>
      <c r="Y11" s="31">
        <f>IF(Schedule_Inputs!$C$11="Blueprint",$C11*IF(21-Schedule_Inputs!$B$11=0,Assumptions!$B$21,IF(21-Schedule_Inputs!$B$11=1,Assumptions!$C$21,IF(21-Schedule_Inputs!$B$11=2,Assumptions!$D$21,0))),IF(Schedule_Inputs!$C$11="Launch",$C11*IF(21-Schedule_Inputs!$B$11=0,Assumptions!$B$22,IF(21-Schedule_Inputs!$B$11=1,Assumptions!$C$22,IF(21-Schedule_Inputs!$B$11=2,Assumptions!$D$22,IF(21-Schedule_Inputs!$B$11=3,Assumptions!$B$23,0)))),IF(Schedule_Inputs!$C$11="Office Setup",$C11*IF(21-Schedule_Inputs!$B$11=0,Assumptions!$B$24,IF(21-Schedule_Inputs!$B$11=1,Assumptions!$C$24,IF(21-Schedule_Inputs!$B$11=2,Assumptions!$D$24,0))),IF(OR(Schedule_Inputs!$C$11="Monthly",Schedule_Inputs!$C$11="Periodic"),IF(AND(21&gt;=Schedule_Inputs!$B$11,MOD(21-Schedule_Inputs!$B$11,Schedule_Inputs!$E$11)=0,(21-Schedule_Inputs!$B$11)/Schedule_Inputs!$E$11&lt;Schedule_Inputs!$D$11),$C11/Schedule_Inputs!$D$11,0),0))))</f>
        <v>0</v>
      </c>
      <c r="Z11" s="31">
        <f>IF(Schedule_Inputs!$C$11="Blueprint",$C11*IF(22-Schedule_Inputs!$B$11=0,Assumptions!$B$21,IF(22-Schedule_Inputs!$B$11=1,Assumptions!$C$21,IF(22-Schedule_Inputs!$B$11=2,Assumptions!$D$21,0))),IF(Schedule_Inputs!$C$11="Launch",$C11*IF(22-Schedule_Inputs!$B$11=0,Assumptions!$B$22,IF(22-Schedule_Inputs!$B$11=1,Assumptions!$C$22,IF(22-Schedule_Inputs!$B$11=2,Assumptions!$D$22,IF(22-Schedule_Inputs!$B$11=3,Assumptions!$B$23,0)))),IF(Schedule_Inputs!$C$11="Office Setup",$C11*IF(22-Schedule_Inputs!$B$11=0,Assumptions!$B$24,IF(22-Schedule_Inputs!$B$11=1,Assumptions!$C$24,IF(22-Schedule_Inputs!$B$11=2,Assumptions!$D$24,0))),IF(OR(Schedule_Inputs!$C$11="Monthly",Schedule_Inputs!$C$11="Periodic"),IF(AND(22&gt;=Schedule_Inputs!$B$11,MOD(22-Schedule_Inputs!$B$11,Schedule_Inputs!$E$11)=0,(22-Schedule_Inputs!$B$11)/Schedule_Inputs!$E$11&lt;Schedule_Inputs!$D$11),$C11/Schedule_Inputs!$D$11,0),0))))</f>
        <v>0</v>
      </c>
      <c r="AA11" s="31">
        <f>IF(Schedule_Inputs!$C$11="Blueprint",$C11*IF(23-Schedule_Inputs!$B$11=0,Assumptions!$B$21,IF(23-Schedule_Inputs!$B$11=1,Assumptions!$C$21,IF(23-Schedule_Inputs!$B$11=2,Assumptions!$D$21,0))),IF(Schedule_Inputs!$C$11="Launch",$C11*IF(23-Schedule_Inputs!$B$11=0,Assumptions!$B$22,IF(23-Schedule_Inputs!$B$11=1,Assumptions!$C$22,IF(23-Schedule_Inputs!$B$11=2,Assumptions!$D$22,IF(23-Schedule_Inputs!$B$11=3,Assumptions!$B$23,0)))),IF(Schedule_Inputs!$C$11="Office Setup",$C11*IF(23-Schedule_Inputs!$B$11=0,Assumptions!$B$24,IF(23-Schedule_Inputs!$B$11=1,Assumptions!$C$24,IF(23-Schedule_Inputs!$B$11=2,Assumptions!$D$24,0))),IF(OR(Schedule_Inputs!$C$11="Monthly",Schedule_Inputs!$C$11="Periodic"),IF(AND(23&gt;=Schedule_Inputs!$B$11,MOD(23-Schedule_Inputs!$B$11,Schedule_Inputs!$E$11)=0,(23-Schedule_Inputs!$B$11)/Schedule_Inputs!$E$11&lt;Schedule_Inputs!$D$11),$C11/Schedule_Inputs!$D$11,0),0))))</f>
        <v>0</v>
      </c>
      <c r="AB11" s="31">
        <f>IF(Schedule_Inputs!$C$11="Blueprint",$C11*IF(24-Schedule_Inputs!$B$11=0,Assumptions!$B$21,IF(24-Schedule_Inputs!$B$11=1,Assumptions!$C$21,IF(24-Schedule_Inputs!$B$11=2,Assumptions!$D$21,0))),IF(Schedule_Inputs!$C$11="Launch",$C11*IF(24-Schedule_Inputs!$B$11=0,Assumptions!$B$22,IF(24-Schedule_Inputs!$B$11=1,Assumptions!$C$22,IF(24-Schedule_Inputs!$B$11=2,Assumptions!$D$22,IF(24-Schedule_Inputs!$B$11=3,Assumptions!$B$23,0)))),IF(Schedule_Inputs!$C$11="Office Setup",$C11*IF(24-Schedule_Inputs!$B$11=0,Assumptions!$B$24,IF(24-Schedule_Inputs!$B$11=1,Assumptions!$C$24,IF(24-Schedule_Inputs!$B$11=2,Assumptions!$D$24,0))),IF(OR(Schedule_Inputs!$C$11="Monthly",Schedule_Inputs!$C$11="Periodic"),IF(AND(24&gt;=Schedule_Inputs!$B$11,MOD(24-Schedule_Inputs!$B$11,Schedule_Inputs!$E$11)=0,(24-Schedule_Inputs!$B$11)/Schedule_Inputs!$E$11&lt;Schedule_Inputs!$D$11),$C11/Schedule_Inputs!$D$11,0),0))))</f>
        <v>0</v>
      </c>
      <c r="AC11" s="31">
        <f>IF(Schedule_Inputs!$C$11="Blueprint",$C11*IF(25-Schedule_Inputs!$B$11=0,Assumptions!$B$21,IF(25-Schedule_Inputs!$B$11=1,Assumptions!$C$21,IF(25-Schedule_Inputs!$B$11=2,Assumptions!$D$21,0))),IF(Schedule_Inputs!$C$11="Launch",$C11*IF(25-Schedule_Inputs!$B$11=0,Assumptions!$B$22,IF(25-Schedule_Inputs!$B$11=1,Assumptions!$C$22,IF(25-Schedule_Inputs!$B$11=2,Assumptions!$D$22,IF(25-Schedule_Inputs!$B$11=3,Assumptions!$B$23,0)))),IF(Schedule_Inputs!$C$11="Office Setup",$C11*IF(25-Schedule_Inputs!$B$11=0,Assumptions!$B$24,IF(25-Schedule_Inputs!$B$11=1,Assumptions!$C$24,IF(25-Schedule_Inputs!$B$11=2,Assumptions!$D$24,0))),IF(OR(Schedule_Inputs!$C$11="Monthly",Schedule_Inputs!$C$11="Periodic"),IF(AND(25&gt;=Schedule_Inputs!$B$11,MOD(25-Schedule_Inputs!$B$11,Schedule_Inputs!$E$11)=0,(25-Schedule_Inputs!$B$11)/Schedule_Inputs!$E$11&lt;Schedule_Inputs!$D$11),$C11/Schedule_Inputs!$D$11,0),0))))</f>
        <v>0</v>
      </c>
      <c r="AD11" s="31">
        <f>IF(Schedule_Inputs!$C$11="Blueprint",$C11*IF(26-Schedule_Inputs!$B$11=0,Assumptions!$B$21,IF(26-Schedule_Inputs!$B$11=1,Assumptions!$C$21,IF(26-Schedule_Inputs!$B$11=2,Assumptions!$D$21,0))),IF(Schedule_Inputs!$C$11="Launch",$C11*IF(26-Schedule_Inputs!$B$11=0,Assumptions!$B$22,IF(26-Schedule_Inputs!$B$11=1,Assumptions!$C$22,IF(26-Schedule_Inputs!$B$11=2,Assumptions!$D$22,IF(26-Schedule_Inputs!$B$11=3,Assumptions!$B$23,0)))),IF(Schedule_Inputs!$C$11="Office Setup",$C11*IF(26-Schedule_Inputs!$B$11=0,Assumptions!$B$24,IF(26-Schedule_Inputs!$B$11=1,Assumptions!$C$24,IF(26-Schedule_Inputs!$B$11=2,Assumptions!$D$24,0))),IF(OR(Schedule_Inputs!$C$11="Monthly",Schedule_Inputs!$C$11="Periodic"),IF(AND(26&gt;=Schedule_Inputs!$B$11,MOD(26-Schedule_Inputs!$B$11,Schedule_Inputs!$E$11)=0,(26-Schedule_Inputs!$B$11)/Schedule_Inputs!$E$11&lt;Schedule_Inputs!$D$11),$C11/Schedule_Inputs!$D$11,0),0))))</f>
        <v>0</v>
      </c>
      <c r="AE11" s="31">
        <f>IF(Schedule_Inputs!$C$11="Blueprint",$C11*IF(27-Schedule_Inputs!$B$11=0,Assumptions!$B$21,IF(27-Schedule_Inputs!$B$11=1,Assumptions!$C$21,IF(27-Schedule_Inputs!$B$11=2,Assumptions!$D$21,0))),IF(Schedule_Inputs!$C$11="Launch",$C11*IF(27-Schedule_Inputs!$B$11=0,Assumptions!$B$22,IF(27-Schedule_Inputs!$B$11=1,Assumptions!$C$22,IF(27-Schedule_Inputs!$B$11=2,Assumptions!$D$22,IF(27-Schedule_Inputs!$B$11=3,Assumptions!$B$23,0)))),IF(Schedule_Inputs!$C$11="Office Setup",$C11*IF(27-Schedule_Inputs!$B$11=0,Assumptions!$B$24,IF(27-Schedule_Inputs!$B$11=1,Assumptions!$C$24,IF(27-Schedule_Inputs!$B$11=2,Assumptions!$D$24,0))),IF(OR(Schedule_Inputs!$C$11="Monthly",Schedule_Inputs!$C$11="Periodic"),IF(AND(27&gt;=Schedule_Inputs!$B$11,MOD(27-Schedule_Inputs!$B$11,Schedule_Inputs!$E$11)=0,(27-Schedule_Inputs!$B$11)/Schedule_Inputs!$E$11&lt;Schedule_Inputs!$D$11),$C11/Schedule_Inputs!$D$11,0),0))))</f>
        <v>0</v>
      </c>
      <c r="AF11" s="31">
        <f>IF(Schedule_Inputs!$C$11="Blueprint",$C11*IF(28-Schedule_Inputs!$B$11=0,Assumptions!$B$21,IF(28-Schedule_Inputs!$B$11=1,Assumptions!$C$21,IF(28-Schedule_Inputs!$B$11=2,Assumptions!$D$21,0))),IF(Schedule_Inputs!$C$11="Launch",$C11*IF(28-Schedule_Inputs!$B$11=0,Assumptions!$B$22,IF(28-Schedule_Inputs!$B$11=1,Assumptions!$C$22,IF(28-Schedule_Inputs!$B$11=2,Assumptions!$D$22,IF(28-Schedule_Inputs!$B$11=3,Assumptions!$B$23,0)))),IF(Schedule_Inputs!$C$11="Office Setup",$C11*IF(28-Schedule_Inputs!$B$11=0,Assumptions!$B$24,IF(28-Schedule_Inputs!$B$11=1,Assumptions!$C$24,IF(28-Schedule_Inputs!$B$11=2,Assumptions!$D$24,0))),IF(OR(Schedule_Inputs!$C$11="Monthly",Schedule_Inputs!$C$11="Periodic"),IF(AND(28&gt;=Schedule_Inputs!$B$11,MOD(28-Schedule_Inputs!$B$11,Schedule_Inputs!$E$11)=0,(28-Schedule_Inputs!$B$11)/Schedule_Inputs!$E$11&lt;Schedule_Inputs!$D$11),$C11/Schedule_Inputs!$D$11,0),0))))</f>
        <v>0</v>
      </c>
      <c r="AG11" s="31">
        <f>IF(Schedule_Inputs!$C$11="Blueprint",$C11*IF(29-Schedule_Inputs!$B$11=0,Assumptions!$B$21,IF(29-Schedule_Inputs!$B$11=1,Assumptions!$C$21,IF(29-Schedule_Inputs!$B$11=2,Assumptions!$D$21,0))),IF(Schedule_Inputs!$C$11="Launch",$C11*IF(29-Schedule_Inputs!$B$11=0,Assumptions!$B$22,IF(29-Schedule_Inputs!$B$11=1,Assumptions!$C$22,IF(29-Schedule_Inputs!$B$11=2,Assumptions!$D$22,IF(29-Schedule_Inputs!$B$11=3,Assumptions!$B$23,0)))),IF(Schedule_Inputs!$C$11="Office Setup",$C11*IF(29-Schedule_Inputs!$B$11=0,Assumptions!$B$24,IF(29-Schedule_Inputs!$B$11=1,Assumptions!$C$24,IF(29-Schedule_Inputs!$B$11=2,Assumptions!$D$24,0))),IF(OR(Schedule_Inputs!$C$11="Monthly",Schedule_Inputs!$C$11="Periodic"),IF(AND(29&gt;=Schedule_Inputs!$B$11,MOD(29-Schedule_Inputs!$B$11,Schedule_Inputs!$E$11)=0,(29-Schedule_Inputs!$B$11)/Schedule_Inputs!$E$11&lt;Schedule_Inputs!$D$11),$C11/Schedule_Inputs!$D$11,0),0))))</f>
        <v>0</v>
      </c>
      <c r="AH11" s="31">
        <f>IF(Schedule_Inputs!$C$11="Blueprint",$C11*IF(30-Schedule_Inputs!$B$11=0,Assumptions!$B$21,IF(30-Schedule_Inputs!$B$11=1,Assumptions!$C$21,IF(30-Schedule_Inputs!$B$11=2,Assumptions!$D$21,0))),IF(Schedule_Inputs!$C$11="Launch",$C11*IF(30-Schedule_Inputs!$B$11=0,Assumptions!$B$22,IF(30-Schedule_Inputs!$B$11=1,Assumptions!$C$22,IF(30-Schedule_Inputs!$B$11=2,Assumptions!$D$22,IF(30-Schedule_Inputs!$B$11=3,Assumptions!$B$23,0)))),IF(Schedule_Inputs!$C$11="Office Setup",$C11*IF(30-Schedule_Inputs!$B$11=0,Assumptions!$B$24,IF(30-Schedule_Inputs!$B$11=1,Assumptions!$C$24,IF(30-Schedule_Inputs!$B$11=2,Assumptions!$D$24,0))),IF(OR(Schedule_Inputs!$C$11="Monthly",Schedule_Inputs!$C$11="Periodic"),IF(AND(30&gt;=Schedule_Inputs!$B$11,MOD(30-Schedule_Inputs!$B$11,Schedule_Inputs!$E$11)=0,(30-Schedule_Inputs!$B$11)/Schedule_Inputs!$E$11&lt;Schedule_Inputs!$D$11),$C11/Schedule_Inputs!$D$11,0),0))))</f>
        <v>0</v>
      </c>
      <c r="AI11" s="31">
        <f>IF(Schedule_Inputs!$C$11="Blueprint",$C11*IF(31-Schedule_Inputs!$B$11=0,Assumptions!$B$21,IF(31-Schedule_Inputs!$B$11=1,Assumptions!$C$21,IF(31-Schedule_Inputs!$B$11=2,Assumptions!$D$21,0))),IF(Schedule_Inputs!$C$11="Launch",$C11*IF(31-Schedule_Inputs!$B$11=0,Assumptions!$B$22,IF(31-Schedule_Inputs!$B$11=1,Assumptions!$C$22,IF(31-Schedule_Inputs!$B$11=2,Assumptions!$D$22,IF(31-Schedule_Inputs!$B$11=3,Assumptions!$B$23,0)))),IF(Schedule_Inputs!$C$11="Office Setup",$C11*IF(31-Schedule_Inputs!$B$11=0,Assumptions!$B$24,IF(31-Schedule_Inputs!$B$11=1,Assumptions!$C$24,IF(31-Schedule_Inputs!$B$11=2,Assumptions!$D$24,0))),IF(OR(Schedule_Inputs!$C$11="Monthly",Schedule_Inputs!$C$11="Periodic"),IF(AND(31&gt;=Schedule_Inputs!$B$11,MOD(31-Schedule_Inputs!$B$11,Schedule_Inputs!$E$11)=0,(31-Schedule_Inputs!$B$11)/Schedule_Inputs!$E$11&lt;Schedule_Inputs!$D$11),$C11/Schedule_Inputs!$D$11,0),0))))</f>
        <v>0</v>
      </c>
      <c r="AJ11" s="31">
        <f>IF(Schedule_Inputs!$C$11="Blueprint",$C11*IF(32-Schedule_Inputs!$B$11=0,Assumptions!$B$21,IF(32-Schedule_Inputs!$B$11=1,Assumptions!$C$21,IF(32-Schedule_Inputs!$B$11=2,Assumptions!$D$21,0))),IF(Schedule_Inputs!$C$11="Launch",$C11*IF(32-Schedule_Inputs!$B$11=0,Assumptions!$B$22,IF(32-Schedule_Inputs!$B$11=1,Assumptions!$C$22,IF(32-Schedule_Inputs!$B$11=2,Assumptions!$D$22,IF(32-Schedule_Inputs!$B$11=3,Assumptions!$B$23,0)))),IF(Schedule_Inputs!$C$11="Office Setup",$C11*IF(32-Schedule_Inputs!$B$11=0,Assumptions!$B$24,IF(32-Schedule_Inputs!$B$11=1,Assumptions!$C$24,IF(32-Schedule_Inputs!$B$11=2,Assumptions!$D$24,0))),IF(OR(Schedule_Inputs!$C$11="Monthly",Schedule_Inputs!$C$11="Periodic"),IF(AND(32&gt;=Schedule_Inputs!$B$11,MOD(32-Schedule_Inputs!$B$11,Schedule_Inputs!$E$11)=0,(32-Schedule_Inputs!$B$11)/Schedule_Inputs!$E$11&lt;Schedule_Inputs!$D$11),$C11/Schedule_Inputs!$D$11,0),0))))</f>
        <v>0</v>
      </c>
      <c r="AK11" s="31">
        <f>IF(Schedule_Inputs!$C$11="Blueprint",$C11*IF(33-Schedule_Inputs!$B$11=0,Assumptions!$B$21,IF(33-Schedule_Inputs!$B$11=1,Assumptions!$C$21,IF(33-Schedule_Inputs!$B$11=2,Assumptions!$D$21,0))),IF(Schedule_Inputs!$C$11="Launch",$C11*IF(33-Schedule_Inputs!$B$11=0,Assumptions!$B$22,IF(33-Schedule_Inputs!$B$11=1,Assumptions!$C$22,IF(33-Schedule_Inputs!$B$11=2,Assumptions!$D$22,IF(33-Schedule_Inputs!$B$11=3,Assumptions!$B$23,0)))),IF(Schedule_Inputs!$C$11="Office Setup",$C11*IF(33-Schedule_Inputs!$B$11=0,Assumptions!$B$24,IF(33-Schedule_Inputs!$B$11=1,Assumptions!$C$24,IF(33-Schedule_Inputs!$B$11=2,Assumptions!$D$24,0))),IF(OR(Schedule_Inputs!$C$11="Monthly",Schedule_Inputs!$C$11="Periodic"),IF(AND(33&gt;=Schedule_Inputs!$B$11,MOD(33-Schedule_Inputs!$B$11,Schedule_Inputs!$E$11)=0,(33-Schedule_Inputs!$B$11)/Schedule_Inputs!$E$11&lt;Schedule_Inputs!$D$11),$C11/Schedule_Inputs!$D$11,0),0))))</f>
        <v>0</v>
      </c>
      <c r="AL11" s="31">
        <f>IF(Schedule_Inputs!$C$11="Blueprint",$C11*IF(34-Schedule_Inputs!$B$11=0,Assumptions!$B$21,IF(34-Schedule_Inputs!$B$11=1,Assumptions!$C$21,IF(34-Schedule_Inputs!$B$11=2,Assumptions!$D$21,0))),IF(Schedule_Inputs!$C$11="Launch",$C11*IF(34-Schedule_Inputs!$B$11=0,Assumptions!$B$22,IF(34-Schedule_Inputs!$B$11=1,Assumptions!$C$22,IF(34-Schedule_Inputs!$B$11=2,Assumptions!$D$22,IF(34-Schedule_Inputs!$B$11=3,Assumptions!$B$23,0)))),IF(Schedule_Inputs!$C$11="Office Setup",$C11*IF(34-Schedule_Inputs!$B$11=0,Assumptions!$B$24,IF(34-Schedule_Inputs!$B$11=1,Assumptions!$C$24,IF(34-Schedule_Inputs!$B$11=2,Assumptions!$D$24,0))),IF(OR(Schedule_Inputs!$C$11="Monthly",Schedule_Inputs!$C$11="Periodic"),IF(AND(34&gt;=Schedule_Inputs!$B$11,MOD(34-Schedule_Inputs!$B$11,Schedule_Inputs!$E$11)=0,(34-Schedule_Inputs!$B$11)/Schedule_Inputs!$E$11&lt;Schedule_Inputs!$D$11),$C11/Schedule_Inputs!$D$11,0),0))))</f>
        <v>0</v>
      </c>
      <c r="AM11" s="31">
        <f>IF(Schedule_Inputs!$C$11="Blueprint",$C11*IF(35-Schedule_Inputs!$B$11=0,Assumptions!$B$21,IF(35-Schedule_Inputs!$B$11=1,Assumptions!$C$21,IF(35-Schedule_Inputs!$B$11=2,Assumptions!$D$21,0))),IF(Schedule_Inputs!$C$11="Launch",$C11*IF(35-Schedule_Inputs!$B$11=0,Assumptions!$B$22,IF(35-Schedule_Inputs!$B$11=1,Assumptions!$C$22,IF(35-Schedule_Inputs!$B$11=2,Assumptions!$D$22,IF(35-Schedule_Inputs!$B$11=3,Assumptions!$B$23,0)))),IF(Schedule_Inputs!$C$11="Office Setup",$C11*IF(35-Schedule_Inputs!$B$11=0,Assumptions!$B$24,IF(35-Schedule_Inputs!$B$11=1,Assumptions!$C$24,IF(35-Schedule_Inputs!$B$11=2,Assumptions!$D$24,0))),IF(OR(Schedule_Inputs!$C$11="Monthly",Schedule_Inputs!$C$11="Periodic"),IF(AND(35&gt;=Schedule_Inputs!$B$11,MOD(35-Schedule_Inputs!$B$11,Schedule_Inputs!$E$11)=0,(35-Schedule_Inputs!$B$11)/Schedule_Inputs!$E$11&lt;Schedule_Inputs!$D$11),$C11/Schedule_Inputs!$D$11,0),0))))</f>
        <v>0</v>
      </c>
      <c r="AN11" s="31">
        <f>IF(Schedule_Inputs!$C$11="Blueprint",$C11*IF(36-Schedule_Inputs!$B$11=0,Assumptions!$B$21,IF(36-Schedule_Inputs!$B$11=1,Assumptions!$C$21,IF(36-Schedule_Inputs!$B$11=2,Assumptions!$D$21,0))),IF(Schedule_Inputs!$C$11="Launch",$C11*IF(36-Schedule_Inputs!$B$11=0,Assumptions!$B$22,IF(36-Schedule_Inputs!$B$11=1,Assumptions!$C$22,IF(36-Schedule_Inputs!$B$11=2,Assumptions!$D$22,IF(36-Schedule_Inputs!$B$11=3,Assumptions!$B$23,0)))),IF(Schedule_Inputs!$C$11="Office Setup",$C11*IF(36-Schedule_Inputs!$B$11=0,Assumptions!$B$24,IF(36-Schedule_Inputs!$B$11=1,Assumptions!$C$24,IF(36-Schedule_Inputs!$B$11=2,Assumptions!$D$24,0))),IF(OR(Schedule_Inputs!$C$11="Monthly",Schedule_Inputs!$C$11="Periodic"),IF(AND(36&gt;=Schedule_Inputs!$B$11,MOD(36-Schedule_Inputs!$B$11,Schedule_Inputs!$E$11)=0,(36-Schedule_Inputs!$B$11)/Schedule_Inputs!$E$11&lt;Schedule_Inputs!$D$11),$C11/Schedule_Inputs!$D$11,0),0))))</f>
        <v>0</v>
      </c>
    </row>
    <row r="12" spans="1:40">
      <c r="A12" s="29" t="s">
        <v>242</v>
      </c>
      <c r="B12" s="29">
        <v>2</v>
      </c>
      <c r="C12" s="30">
        <v>21000</v>
      </c>
      <c r="D12" s="31" t="s">
        <v>230</v>
      </c>
      <c r="E12" s="31">
        <f>IF(Schedule_Inputs!$C$12="Blueprint",$C12*IF(1-Schedule_Inputs!$B$12=0,Assumptions!$B$21,IF(1-Schedule_Inputs!$B$12=1,Assumptions!$C$21,IF(1-Schedule_Inputs!$B$12=2,Assumptions!$D$21,0))),IF(Schedule_Inputs!$C$12="Launch",$C12*IF(1-Schedule_Inputs!$B$12=0,Assumptions!$B$22,IF(1-Schedule_Inputs!$B$12=1,Assumptions!$C$22,IF(1-Schedule_Inputs!$B$12=2,Assumptions!$D$22,IF(1-Schedule_Inputs!$B$12=3,Assumptions!$B$23,0)))),IF(Schedule_Inputs!$C$12="Office Setup",$C12*IF(1-Schedule_Inputs!$B$12=0,Assumptions!$B$24,IF(1-Schedule_Inputs!$B$12=1,Assumptions!$C$24,IF(1-Schedule_Inputs!$B$12=2,Assumptions!$D$24,0))),IF(OR(Schedule_Inputs!$C$12="Monthly",Schedule_Inputs!$C$12="Periodic"),IF(AND(1&gt;=Schedule_Inputs!$B$12,MOD(1-Schedule_Inputs!$B$12,Schedule_Inputs!$E$12)=0,(1-Schedule_Inputs!$B$12)/Schedule_Inputs!$E$12&lt;Schedule_Inputs!$D$12),$C12/Schedule_Inputs!$D$12,0),0))))</f>
        <v>0</v>
      </c>
      <c r="F12" s="31">
        <f>IF(Schedule_Inputs!$C$12="Blueprint",$C12*IF(2-Schedule_Inputs!$B$12=0,Assumptions!$B$21,IF(2-Schedule_Inputs!$B$12=1,Assumptions!$C$21,IF(2-Schedule_Inputs!$B$12=2,Assumptions!$D$21,0))),IF(Schedule_Inputs!$C$12="Launch",$C12*IF(2-Schedule_Inputs!$B$12=0,Assumptions!$B$22,IF(2-Schedule_Inputs!$B$12=1,Assumptions!$C$22,IF(2-Schedule_Inputs!$B$12=2,Assumptions!$D$22,IF(2-Schedule_Inputs!$B$12=3,Assumptions!$B$23,0)))),IF(Schedule_Inputs!$C$12="Office Setup",$C12*IF(2-Schedule_Inputs!$B$12=0,Assumptions!$B$24,IF(2-Schedule_Inputs!$B$12=1,Assumptions!$C$24,IF(2-Schedule_Inputs!$B$12=2,Assumptions!$D$24,0))),IF(OR(Schedule_Inputs!$C$12="Monthly",Schedule_Inputs!$C$12="Periodic"),IF(AND(2&gt;=Schedule_Inputs!$B$12,MOD(2-Schedule_Inputs!$B$12,Schedule_Inputs!$E$12)=0,(2-Schedule_Inputs!$B$12)/Schedule_Inputs!$E$12&lt;Schedule_Inputs!$D$12),$C12/Schedule_Inputs!$D$12,0),0))))</f>
        <v>0</v>
      </c>
      <c r="G12" s="31">
        <f>IF(Schedule_Inputs!$C$12="Blueprint",$C12*IF(3-Schedule_Inputs!$B$12=0,Assumptions!$B$21,IF(3-Schedule_Inputs!$B$12=1,Assumptions!$C$21,IF(3-Schedule_Inputs!$B$12=2,Assumptions!$D$21,0))),IF(Schedule_Inputs!$C$12="Launch",$C12*IF(3-Schedule_Inputs!$B$12=0,Assumptions!$B$22,IF(3-Schedule_Inputs!$B$12=1,Assumptions!$C$22,IF(3-Schedule_Inputs!$B$12=2,Assumptions!$D$22,IF(3-Schedule_Inputs!$B$12=3,Assumptions!$B$23,0)))),IF(Schedule_Inputs!$C$12="Office Setup",$C12*IF(3-Schedule_Inputs!$B$12=0,Assumptions!$B$24,IF(3-Schedule_Inputs!$B$12=1,Assumptions!$C$24,IF(3-Schedule_Inputs!$B$12=2,Assumptions!$D$24,0))),IF(OR(Schedule_Inputs!$C$12="Monthly",Schedule_Inputs!$C$12="Periodic"),IF(AND(3&gt;=Schedule_Inputs!$B$12,MOD(3-Schedule_Inputs!$B$12,Schedule_Inputs!$E$12)=0,(3-Schedule_Inputs!$B$12)/Schedule_Inputs!$E$12&lt;Schedule_Inputs!$D$12),$C12/Schedule_Inputs!$D$12,0),0))))</f>
        <v>0</v>
      </c>
      <c r="H12" s="31">
        <f>IF(Schedule_Inputs!$C$12="Blueprint",$C12*IF(4-Schedule_Inputs!$B$12=0,Assumptions!$B$21,IF(4-Schedule_Inputs!$B$12=1,Assumptions!$C$21,IF(4-Schedule_Inputs!$B$12=2,Assumptions!$D$21,0))),IF(Schedule_Inputs!$C$12="Launch",$C12*IF(4-Schedule_Inputs!$B$12=0,Assumptions!$B$22,IF(4-Schedule_Inputs!$B$12=1,Assumptions!$C$22,IF(4-Schedule_Inputs!$B$12=2,Assumptions!$D$22,IF(4-Schedule_Inputs!$B$12=3,Assumptions!$B$23,0)))),IF(Schedule_Inputs!$C$12="Office Setup",$C12*IF(4-Schedule_Inputs!$B$12=0,Assumptions!$B$24,IF(4-Schedule_Inputs!$B$12=1,Assumptions!$C$24,IF(4-Schedule_Inputs!$B$12=2,Assumptions!$D$24,0))),IF(OR(Schedule_Inputs!$C$12="Monthly",Schedule_Inputs!$C$12="Periodic"),IF(AND(4&gt;=Schedule_Inputs!$B$12,MOD(4-Schedule_Inputs!$B$12,Schedule_Inputs!$E$12)=0,(4-Schedule_Inputs!$B$12)/Schedule_Inputs!$E$12&lt;Schedule_Inputs!$D$12),$C12/Schedule_Inputs!$D$12,0),0))))</f>
        <v>0</v>
      </c>
      <c r="I12" s="31">
        <f>IF(Schedule_Inputs!$C$12="Blueprint",$C12*IF(5-Schedule_Inputs!$B$12=0,Assumptions!$B$21,IF(5-Schedule_Inputs!$B$12=1,Assumptions!$C$21,IF(5-Schedule_Inputs!$B$12=2,Assumptions!$D$21,0))),IF(Schedule_Inputs!$C$12="Launch",$C12*IF(5-Schedule_Inputs!$B$12=0,Assumptions!$B$22,IF(5-Schedule_Inputs!$B$12=1,Assumptions!$C$22,IF(5-Schedule_Inputs!$B$12=2,Assumptions!$D$22,IF(5-Schedule_Inputs!$B$12=3,Assumptions!$B$23,0)))),IF(Schedule_Inputs!$C$12="Office Setup",$C12*IF(5-Schedule_Inputs!$B$12=0,Assumptions!$B$24,IF(5-Schedule_Inputs!$B$12=1,Assumptions!$C$24,IF(5-Schedule_Inputs!$B$12=2,Assumptions!$D$24,0))),IF(OR(Schedule_Inputs!$C$12="Monthly",Schedule_Inputs!$C$12="Periodic"),IF(AND(5&gt;=Schedule_Inputs!$B$12,MOD(5-Schedule_Inputs!$B$12,Schedule_Inputs!$E$12)=0,(5-Schedule_Inputs!$B$12)/Schedule_Inputs!$E$12&lt;Schedule_Inputs!$D$12),$C12/Schedule_Inputs!$D$12,0),0))))</f>
        <v>0</v>
      </c>
      <c r="J12" s="31">
        <f>IF(Schedule_Inputs!$C$12="Blueprint",$C12*IF(6-Schedule_Inputs!$B$12=0,Assumptions!$B$21,IF(6-Schedule_Inputs!$B$12=1,Assumptions!$C$21,IF(6-Schedule_Inputs!$B$12=2,Assumptions!$D$21,0))),IF(Schedule_Inputs!$C$12="Launch",$C12*IF(6-Schedule_Inputs!$B$12=0,Assumptions!$B$22,IF(6-Schedule_Inputs!$B$12=1,Assumptions!$C$22,IF(6-Schedule_Inputs!$B$12=2,Assumptions!$D$22,IF(6-Schedule_Inputs!$B$12=3,Assumptions!$B$23,0)))),IF(Schedule_Inputs!$C$12="Office Setup",$C12*IF(6-Schedule_Inputs!$B$12=0,Assumptions!$B$24,IF(6-Schedule_Inputs!$B$12=1,Assumptions!$C$24,IF(6-Schedule_Inputs!$B$12=2,Assumptions!$D$24,0))),IF(OR(Schedule_Inputs!$C$12="Monthly",Schedule_Inputs!$C$12="Periodic"),IF(AND(6&gt;=Schedule_Inputs!$B$12,MOD(6-Schedule_Inputs!$B$12,Schedule_Inputs!$E$12)=0,(6-Schedule_Inputs!$B$12)/Schedule_Inputs!$E$12&lt;Schedule_Inputs!$D$12),$C12/Schedule_Inputs!$D$12,0),0))))</f>
        <v>0</v>
      </c>
      <c r="K12" s="31">
        <f>IF(Schedule_Inputs!$C$12="Blueprint",$C12*IF(7-Schedule_Inputs!$B$12=0,Assumptions!$B$21,IF(7-Schedule_Inputs!$B$12=1,Assumptions!$C$21,IF(7-Schedule_Inputs!$B$12=2,Assumptions!$D$21,0))),IF(Schedule_Inputs!$C$12="Launch",$C12*IF(7-Schedule_Inputs!$B$12=0,Assumptions!$B$22,IF(7-Schedule_Inputs!$B$12=1,Assumptions!$C$22,IF(7-Schedule_Inputs!$B$12=2,Assumptions!$D$22,IF(7-Schedule_Inputs!$B$12=3,Assumptions!$B$23,0)))),IF(Schedule_Inputs!$C$12="Office Setup",$C12*IF(7-Schedule_Inputs!$B$12=0,Assumptions!$B$24,IF(7-Schedule_Inputs!$B$12=1,Assumptions!$C$24,IF(7-Schedule_Inputs!$B$12=2,Assumptions!$D$24,0))),IF(OR(Schedule_Inputs!$C$12="Monthly",Schedule_Inputs!$C$12="Periodic"),IF(AND(7&gt;=Schedule_Inputs!$B$12,MOD(7-Schedule_Inputs!$B$12,Schedule_Inputs!$E$12)=0,(7-Schedule_Inputs!$B$12)/Schedule_Inputs!$E$12&lt;Schedule_Inputs!$D$12),$C12/Schedule_Inputs!$D$12,0),0))))</f>
        <v>0</v>
      </c>
      <c r="L12" s="31">
        <f>IF(Schedule_Inputs!$C$12="Blueprint",$C12*IF(8-Schedule_Inputs!$B$12=0,Assumptions!$B$21,IF(8-Schedule_Inputs!$B$12=1,Assumptions!$C$21,IF(8-Schedule_Inputs!$B$12=2,Assumptions!$D$21,0))),IF(Schedule_Inputs!$C$12="Launch",$C12*IF(8-Schedule_Inputs!$B$12=0,Assumptions!$B$22,IF(8-Schedule_Inputs!$B$12=1,Assumptions!$C$22,IF(8-Schedule_Inputs!$B$12=2,Assumptions!$D$22,IF(8-Schedule_Inputs!$B$12=3,Assumptions!$B$23,0)))),IF(Schedule_Inputs!$C$12="Office Setup",$C12*IF(8-Schedule_Inputs!$B$12=0,Assumptions!$B$24,IF(8-Schedule_Inputs!$B$12=1,Assumptions!$C$24,IF(8-Schedule_Inputs!$B$12=2,Assumptions!$D$24,0))),IF(OR(Schedule_Inputs!$C$12="Monthly",Schedule_Inputs!$C$12="Periodic"),IF(AND(8&gt;=Schedule_Inputs!$B$12,MOD(8-Schedule_Inputs!$B$12,Schedule_Inputs!$E$12)=0,(8-Schedule_Inputs!$B$12)/Schedule_Inputs!$E$12&lt;Schedule_Inputs!$D$12),$C12/Schedule_Inputs!$D$12,0),0))))</f>
        <v>0</v>
      </c>
      <c r="M12" s="31">
        <f>IF(Schedule_Inputs!$C$12="Blueprint",$C12*IF(9-Schedule_Inputs!$B$12=0,Assumptions!$B$21,IF(9-Schedule_Inputs!$B$12=1,Assumptions!$C$21,IF(9-Schedule_Inputs!$B$12=2,Assumptions!$D$21,0))),IF(Schedule_Inputs!$C$12="Launch",$C12*IF(9-Schedule_Inputs!$B$12=0,Assumptions!$B$22,IF(9-Schedule_Inputs!$B$12=1,Assumptions!$C$22,IF(9-Schedule_Inputs!$B$12=2,Assumptions!$D$22,IF(9-Schedule_Inputs!$B$12=3,Assumptions!$B$23,0)))),IF(Schedule_Inputs!$C$12="Office Setup",$C12*IF(9-Schedule_Inputs!$B$12=0,Assumptions!$B$24,IF(9-Schedule_Inputs!$B$12=1,Assumptions!$C$24,IF(9-Schedule_Inputs!$B$12=2,Assumptions!$D$24,0))),IF(OR(Schedule_Inputs!$C$12="Monthly",Schedule_Inputs!$C$12="Periodic"),IF(AND(9&gt;=Schedule_Inputs!$B$12,MOD(9-Schedule_Inputs!$B$12,Schedule_Inputs!$E$12)=0,(9-Schedule_Inputs!$B$12)/Schedule_Inputs!$E$12&lt;Schedule_Inputs!$D$12),$C12/Schedule_Inputs!$D$12,0),0))))</f>
        <v>0</v>
      </c>
      <c r="N12" s="31">
        <f>IF(Schedule_Inputs!$C$12="Blueprint",$C12*IF(10-Schedule_Inputs!$B$12=0,Assumptions!$B$21,IF(10-Schedule_Inputs!$B$12=1,Assumptions!$C$21,IF(10-Schedule_Inputs!$B$12=2,Assumptions!$D$21,0))),IF(Schedule_Inputs!$C$12="Launch",$C12*IF(10-Schedule_Inputs!$B$12=0,Assumptions!$B$22,IF(10-Schedule_Inputs!$B$12=1,Assumptions!$C$22,IF(10-Schedule_Inputs!$B$12=2,Assumptions!$D$22,IF(10-Schedule_Inputs!$B$12=3,Assumptions!$B$23,0)))),IF(Schedule_Inputs!$C$12="Office Setup",$C12*IF(10-Schedule_Inputs!$B$12=0,Assumptions!$B$24,IF(10-Schedule_Inputs!$B$12=1,Assumptions!$C$24,IF(10-Schedule_Inputs!$B$12=2,Assumptions!$D$24,0))),IF(OR(Schedule_Inputs!$C$12="Monthly",Schedule_Inputs!$C$12="Periodic"),IF(AND(10&gt;=Schedule_Inputs!$B$12,MOD(10-Schedule_Inputs!$B$12,Schedule_Inputs!$E$12)=0,(10-Schedule_Inputs!$B$12)/Schedule_Inputs!$E$12&lt;Schedule_Inputs!$D$12),$C12/Schedule_Inputs!$D$12,0),0))))</f>
        <v>0</v>
      </c>
      <c r="O12" s="31">
        <f>IF(Schedule_Inputs!$C$12="Blueprint",$C12*IF(11-Schedule_Inputs!$B$12=0,Assumptions!$B$21,IF(11-Schedule_Inputs!$B$12=1,Assumptions!$C$21,IF(11-Schedule_Inputs!$B$12=2,Assumptions!$D$21,0))),IF(Schedule_Inputs!$C$12="Launch",$C12*IF(11-Schedule_Inputs!$B$12=0,Assumptions!$B$22,IF(11-Schedule_Inputs!$B$12=1,Assumptions!$C$22,IF(11-Schedule_Inputs!$B$12=2,Assumptions!$D$22,IF(11-Schedule_Inputs!$B$12=3,Assumptions!$B$23,0)))),IF(Schedule_Inputs!$C$12="Office Setup",$C12*IF(11-Schedule_Inputs!$B$12=0,Assumptions!$B$24,IF(11-Schedule_Inputs!$B$12=1,Assumptions!$C$24,IF(11-Schedule_Inputs!$B$12=2,Assumptions!$D$24,0))),IF(OR(Schedule_Inputs!$C$12="Monthly",Schedule_Inputs!$C$12="Periodic"),IF(AND(11&gt;=Schedule_Inputs!$B$12,MOD(11-Schedule_Inputs!$B$12,Schedule_Inputs!$E$12)=0,(11-Schedule_Inputs!$B$12)/Schedule_Inputs!$E$12&lt;Schedule_Inputs!$D$12),$C12/Schedule_Inputs!$D$12,0),0))))</f>
        <v>0</v>
      </c>
      <c r="P12" s="31">
        <f>IF(Schedule_Inputs!$C$12="Blueprint",$C12*IF(12-Schedule_Inputs!$B$12=0,Assumptions!$B$21,IF(12-Schedule_Inputs!$B$12=1,Assumptions!$C$21,IF(12-Schedule_Inputs!$B$12=2,Assumptions!$D$21,0))),IF(Schedule_Inputs!$C$12="Launch",$C12*IF(12-Schedule_Inputs!$B$12=0,Assumptions!$B$22,IF(12-Schedule_Inputs!$B$12=1,Assumptions!$C$22,IF(12-Schedule_Inputs!$B$12=2,Assumptions!$D$22,IF(12-Schedule_Inputs!$B$12=3,Assumptions!$B$23,0)))),IF(Schedule_Inputs!$C$12="Office Setup",$C12*IF(12-Schedule_Inputs!$B$12=0,Assumptions!$B$24,IF(12-Schedule_Inputs!$B$12=1,Assumptions!$C$24,IF(12-Schedule_Inputs!$B$12=2,Assumptions!$D$24,0))),IF(OR(Schedule_Inputs!$C$12="Monthly",Schedule_Inputs!$C$12="Periodic"),IF(AND(12&gt;=Schedule_Inputs!$B$12,MOD(12-Schedule_Inputs!$B$12,Schedule_Inputs!$E$12)=0,(12-Schedule_Inputs!$B$12)/Schedule_Inputs!$E$12&lt;Schedule_Inputs!$D$12),$C12/Schedule_Inputs!$D$12,0),0))))</f>
        <v>0</v>
      </c>
      <c r="Q12" s="31">
        <f>IF(Schedule_Inputs!$C$12="Blueprint",$C12*IF(13-Schedule_Inputs!$B$12=0,Assumptions!$B$21,IF(13-Schedule_Inputs!$B$12=1,Assumptions!$C$21,IF(13-Schedule_Inputs!$B$12=2,Assumptions!$D$21,0))),IF(Schedule_Inputs!$C$12="Launch",$C12*IF(13-Schedule_Inputs!$B$12=0,Assumptions!$B$22,IF(13-Schedule_Inputs!$B$12=1,Assumptions!$C$22,IF(13-Schedule_Inputs!$B$12=2,Assumptions!$D$22,IF(13-Schedule_Inputs!$B$12=3,Assumptions!$B$23,0)))),IF(Schedule_Inputs!$C$12="Office Setup",$C12*IF(13-Schedule_Inputs!$B$12=0,Assumptions!$B$24,IF(13-Schedule_Inputs!$B$12=1,Assumptions!$C$24,IF(13-Schedule_Inputs!$B$12=2,Assumptions!$D$24,0))),IF(OR(Schedule_Inputs!$C$12="Monthly",Schedule_Inputs!$C$12="Periodic"),IF(AND(13&gt;=Schedule_Inputs!$B$12,MOD(13-Schedule_Inputs!$B$12,Schedule_Inputs!$E$12)=0,(13-Schedule_Inputs!$B$12)/Schedule_Inputs!$E$12&lt;Schedule_Inputs!$D$12),$C12/Schedule_Inputs!$D$12,0),0))))</f>
        <v>0</v>
      </c>
      <c r="R12" s="31">
        <f>IF(Schedule_Inputs!$C$12="Blueprint",$C12*IF(14-Schedule_Inputs!$B$12=0,Assumptions!$B$21,IF(14-Schedule_Inputs!$B$12=1,Assumptions!$C$21,IF(14-Schedule_Inputs!$B$12=2,Assumptions!$D$21,0))),IF(Schedule_Inputs!$C$12="Launch",$C12*IF(14-Schedule_Inputs!$B$12=0,Assumptions!$B$22,IF(14-Schedule_Inputs!$B$12=1,Assumptions!$C$22,IF(14-Schedule_Inputs!$B$12=2,Assumptions!$D$22,IF(14-Schedule_Inputs!$B$12=3,Assumptions!$B$23,0)))),IF(Schedule_Inputs!$C$12="Office Setup",$C12*IF(14-Schedule_Inputs!$B$12=0,Assumptions!$B$24,IF(14-Schedule_Inputs!$B$12=1,Assumptions!$C$24,IF(14-Schedule_Inputs!$B$12=2,Assumptions!$D$24,0))),IF(OR(Schedule_Inputs!$C$12="Monthly",Schedule_Inputs!$C$12="Periodic"),IF(AND(14&gt;=Schedule_Inputs!$B$12,MOD(14-Schedule_Inputs!$B$12,Schedule_Inputs!$E$12)=0,(14-Schedule_Inputs!$B$12)/Schedule_Inputs!$E$12&lt;Schedule_Inputs!$D$12),$C12/Schedule_Inputs!$D$12,0),0))))</f>
        <v>0</v>
      </c>
      <c r="S12" s="31">
        <f>IF(Schedule_Inputs!$C$12="Blueprint",$C12*IF(15-Schedule_Inputs!$B$12=0,Assumptions!$B$21,IF(15-Schedule_Inputs!$B$12=1,Assumptions!$C$21,IF(15-Schedule_Inputs!$B$12=2,Assumptions!$D$21,0))),IF(Schedule_Inputs!$C$12="Launch",$C12*IF(15-Schedule_Inputs!$B$12=0,Assumptions!$B$22,IF(15-Schedule_Inputs!$B$12=1,Assumptions!$C$22,IF(15-Schedule_Inputs!$B$12=2,Assumptions!$D$22,IF(15-Schedule_Inputs!$B$12=3,Assumptions!$B$23,0)))),IF(Schedule_Inputs!$C$12="Office Setup",$C12*IF(15-Schedule_Inputs!$B$12=0,Assumptions!$B$24,IF(15-Schedule_Inputs!$B$12=1,Assumptions!$C$24,IF(15-Schedule_Inputs!$B$12=2,Assumptions!$D$24,0))),IF(OR(Schedule_Inputs!$C$12="Monthly",Schedule_Inputs!$C$12="Periodic"),IF(AND(15&gt;=Schedule_Inputs!$B$12,MOD(15-Schedule_Inputs!$B$12,Schedule_Inputs!$E$12)=0,(15-Schedule_Inputs!$B$12)/Schedule_Inputs!$E$12&lt;Schedule_Inputs!$D$12),$C12/Schedule_Inputs!$D$12,0),0))))</f>
        <v>0</v>
      </c>
      <c r="T12" s="31">
        <f>IF(Schedule_Inputs!$C$12="Blueprint",$C12*IF(16-Schedule_Inputs!$B$12=0,Assumptions!$B$21,IF(16-Schedule_Inputs!$B$12=1,Assumptions!$C$21,IF(16-Schedule_Inputs!$B$12=2,Assumptions!$D$21,0))),IF(Schedule_Inputs!$C$12="Launch",$C12*IF(16-Schedule_Inputs!$B$12=0,Assumptions!$B$22,IF(16-Schedule_Inputs!$B$12=1,Assumptions!$C$22,IF(16-Schedule_Inputs!$B$12=2,Assumptions!$D$22,IF(16-Schedule_Inputs!$B$12=3,Assumptions!$B$23,0)))),IF(Schedule_Inputs!$C$12="Office Setup",$C12*IF(16-Schedule_Inputs!$B$12=0,Assumptions!$B$24,IF(16-Schedule_Inputs!$B$12=1,Assumptions!$C$24,IF(16-Schedule_Inputs!$B$12=2,Assumptions!$D$24,0))),IF(OR(Schedule_Inputs!$C$12="Monthly",Schedule_Inputs!$C$12="Periodic"),IF(AND(16&gt;=Schedule_Inputs!$B$12,MOD(16-Schedule_Inputs!$B$12,Schedule_Inputs!$E$12)=0,(16-Schedule_Inputs!$B$12)/Schedule_Inputs!$E$12&lt;Schedule_Inputs!$D$12),$C12/Schedule_Inputs!$D$12,0),0))))</f>
        <v>0</v>
      </c>
      <c r="U12" s="31">
        <f>IF(Schedule_Inputs!$C$12="Blueprint",$C12*IF(17-Schedule_Inputs!$B$12=0,Assumptions!$B$21,IF(17-Schedule_Inputs!$B$12=1,Assumptions!$C$21,IF(17-Schedule_Inputs!$B$12=2,Assumptions!$D$21,0))),IF(Schedule_Inputs!$C$12="Launch",$C12*IF(17-Schedule_Inputs!$B$12=0,Assumptions!$B$22,IF(17-Schedule_Inputs!$B$12=1,Assumptions!$C$22,IF(17-Schedule_Inputs!$B$12=2,Assumptions!$D$22,IF(17-Schedule_Inputs!$B$12=3,Assumptions!$B$23,0)))),IF(Schedule_Inputs!$C$12="Office Setup",$C12*IF(17-Schedule_Inputs!$B$12=0,Assumptions!$B$24,IF(17-Schedule_Inputs!$B$12=1,Assumptions!$C$24,IF(17-Schedule_Inputs!$B$12=2,Assumptions!$D$24,0))),IF(OR(Schedule_Inputs!$C$12="Monthly",Schedule_Inputs!$C$12="Periodic"),IF(AND(17&gt;=Schedule_Inputs!$B$12,MOD(17-Schedule_Inputs!$B$12,Schedule_Inputs!$E$12)=0,(17-Schedule_Inputs!$B$12)/Schedule_Inputs!$E$12&lt;Schedule_Inputs!$D$12),$C12/Schedule_Inputs!$D$12,0),0))))</f>
        <v>0</v>
      </c>
      <c r="V12" s="31">
        <f>IF(Schedule_Inputs!$C$12="Blueprint",$C12*IF(18-Schedule_Inputs!$B$12=0,Assumptions!$B$21,IF(18-Schedule_Inputs!$B$12=1,Assumptions!$C$21,IF(18-Schedule_Inputs!$B$12=2,Assumptions!$D$21,0))),IF(Schedule_Inputs!$C$12="Launch",$C12*IF(18-Schedule_Inputs!$B$12=0,Assumptions!$B$22,IF(18-Schedule_Inputs!$B$12=1,Assumptions!$C$22,IF(18-Schedule_Inputs!$B$12=2,Assumptions!$D$22,IF(18-Schedule_Inputs!$B$12=3,Assumptions!$B$23,0)))),IF(Schedule_Inputs!$C$12="Office Setup",$C12*IF(18-Schedule_Inputs!$B$12=0,Assumptions!$B$24,IF(18-Schedule_Inputs!$B$12=1,Assumptions!$C$24,IF(18-Schedule_Inputs!$B$12=2,Assumptions!$D$24,0))),IF(OR(Schedule_Inputs!$C$12="Monthly",Schedule_Inputs!$C$12="Periodic"),IF(AND(18&gt;=Schedule_Inputs!$B$12,MOD(18-Schedule_Inputs!$B$12,Schedule_Inputs!$E$12)=0,(18-Schedule_Inputs!$B$12)/Schedule_Inputs!$E$12&lt;Schedule_Inputs!$D$12),$C12/Schedule_Inputs!$D$12,0),0))))</f>
        <v>0</v>
      </c>
      <c r="W12" s="31">
        <f>IF(Schedule_Inputs!$C$12="Blueprint",$C12*IF(19-Schedule_Inputs!$B$12=0,Assumptions!$B$21,IF(19-Schedule_Inputs!$B$12=1,Assumptions!$C$21,IF(19-Schedule_Inputs!$B$12=2,Assumptions!$D$21,0))),IF(Schedule_Inputs!$C$12="Launch",$C12*IF(19-Schedule_Inputs!$B$12=0,Assumptions!$B$22,IF(19-Schedule_Inputs!$B$12=1,Assumptions!$C$22,IF(19-Schedule_Inputs!$B$12=2,Assumptions!$D$22,IF(19-Schedule_Inputs!$B$12=3,Assumptions!$B$23,0)))),IF(Schedule_Inputs!$C$12="Office Setup",$C12*IF(19-Schedule_Inputs!$B$12=0,Assumptions!$B$24,IF(19-Schedule_Inputs!$B$12=1,Assumptions!$C$24,IF(19-Schedule_Inputs!$B$12=2,Assumptions!$D$24,0))),IF(OR(Schedule_Inputs!$C$12="Monthly",Schedule_Inputs!$C$12="Periodic"),IF(AND(19&gt;=Schedule_Inputs!$B$12,MOD(19-Schedule_Inputs!$B$12,Schedule_Inputs!$E$12)=0,(19-Schedule_Inputs!$B$12)/Schedule_Inputs!$E$12&lt;Schedule_Inputs!$D$12),$C12/Schedule_Inputs!$D$12,0),0))))</f>
        <v>8400</v>
      </c>
      <c r="X12" s="31">
        <f>IF(Schedule_Inputs!$C$12="Blueprint",$C12*IF(20-Schedule_Inputs!$B$12=0,Assumptions!$B$21,IF(20-Schedule_Inputs!$B$12=1,Assumptions!$C$21,IF(20-Schedule_Inputs!$B$12=2,Assumptions!$D$21,0))),IF(Schedule_Inputs!$C$12="Launch",$C12*IF(20-Schedule_Inputs!$B$12=0,Assumptions!$B$22,IF(20-Schedule_Inputs!$B$12=1,Assumptions!$C$22,IF(20-Schedule_Inputs!$B$12=2,Assumptions!$D$22,IF(20-Schedule_Inputs!$B$12=3,Assumptions!$B$23,0)))),IF(Schedule_Inputs!$C$12="Office Setup",$C12*IF(20-Schedule_Inputs!$B$12=0,Assumptions!$B$24,IF(20-Schedule_Inputs!$B$12=1,Assumptions!$C$24,IF(20-Schedule_Inputs!$B$12=2,Assumptions!$D$24,0))),IF(OR(Schedule_Inputs!$C$12="Monthly",Schedule_Inputs!$C$12="Periodic"),IF(AND(20&gt;=Schedule_Inputs!$B$12,MOD(20-Schedule_Inputs!$B$12,Schedule_Inputs!$E$12)=0,(20-Schedule_Inputs!$B$12)/Schedule_Inputs!$E$12&lt;Schedule_Inputs!$D$12),$C12/Schedule_Inputs!$D$12,0),0))))</f>
        <v>8400</v>
      </c>
      <c r="Y12" s="31">
        <f>IF(Schedule_Inputs!$C$12="Blueprint",$C12*IF(21-Schedule_Inputs!$B$12=0,Assumptions!$B$21,IF(21-Schedule_Inputs!$B$12=1,Assumptions!$C$21,IF(21-Schedule_Inputs!$B$12=2,Assumptions!$D$21,0))),IF(Schedule_Inputs!$C$12="Launch",$C12*IF(21-Schedule_Inputs!$B$12=0,Assumptions!$B$22,IF(21-Schedule_Inputs!$B$12=1,Assumptions!$C$22,IF(21-Schedule_Inputs!$B$12=2,Assumptions!$D$22,IF(21-Schedule_Inputs!$B$12=3,Assumptions!$B$23,0)))),IF(Schedule_Inputs!$C$12="Office Setup",$C12*IF(21-Schedule_Inputs!$B$12=0,Assumptions!$B$24,IF(21-Schedule_Inputs!$B$12=1,Assumptions!$C$24,IF(21-Schedule_Inputs!$B$12=2,Assumptions!$D$24,0))),IF(OR(Schedule_Inputs!$C$12="Monthly",Schedule_Inputs!$C$12="Periodic"),IF(AND(21&gt;=Schedule_Inputs!$B$12,MOD(21-Schedule_Inputs!$B$12,Schedule_Inputs!$E$12)=0,(21-Schedule_Inputs!$B$12)/Schedule_Inputs!$E$12&lt;Schedule_Inputs!$D$12),$C12/Schedule_Inputs!$D$12,0),0))))</f>
        <v>4200</v>
      </c>
      <c r="Z12" s="31">
        <f>IF(Schedule_Inputs!$C$12="Blueprint",$C12*IF(22-Schedule_Inputs!$B$12=0,Assumptions!$B$21,IF(22-Schedule_Inputs!$B$12=1,Assumptions!$C$21,IF(22-Schedule_Inputs!$B$12=2,Assumptions!$D$21,0))),IF(Schedule_Inputs!$C$12="Launch",$C12*IF(22-Schedule_Inputs!$B$12=0,Assumptions!$B$22,IF(22-Schedule_Inputs!$B$12=1,Assumptions!$C$22,IF(22-Schedule_Inputs!$B$12=2,Assumptions!$D$22,IF(22-Schedule_Inputs!$B$12=3,Assumptions!$B$23,0)))),IF(Schedule_Inputs!$C$12="Office Setup",$C12*IF(22-Schedule_Inputs!$B$12=0,Assumptions!$B$24,IF(22-Schedule_Inputs!$B$12=1,Assumptions!$C$24,IF(22-Schedule_Inputs!$B$12=2,Assumptions!$D$24,0))),IF(OR(Schedule_Inputs!$C$12="Monthly",Schedule_Inputs!$C$12="Periodic"),IF(AND(22&gt;=Schedule_Inputs!$B$12,MOD(22-Schedule_Inputs!$B$12,Schedule_Inputs!$E$12)=0,(22-Schedule_Inputs!$B$12)/Schedule_Inputs!$E$12&lt;Schedule_Inputs!$D$12),$C12/Schedule_Inputs!$D$12,0),0))))</f>
        <v>0</v>
      </c>
      <c r="AA12" s="31">
        <f>IF(Schedule_Inputs!$C$12="Blueprint",$C12*IF(23-Schedule_Inputs!$B$12=0,Assumptions!$B$21,IF(23-Schedule_Inputs!$B$12=1,Assumptions!$C$21,IF(23-Schedule_Inputs!$B$12=2,Assumptions!$D$21,0))),IF(Schedule_Inputs!$C$12="Launch",$C12*IF(23-Schedule_Inputs!$B$12=0,Assumptions!$B$22,IF(23-Schedule_Inputs!$B$12=1,Assumptions!$C$22,IF(23-Schedule_Inputs!$B$12=2,Assumptions!$D$22,IF(23-Schedule_Inputs!$B$12=3,Assumptions!$B$23,0)))),IF(Schedule_Inputs!$C$12="Office Setup",$C12*IF(23-Schedule_Inputs!$B$12=0,Assumptions!$B$24,IF(23-Schedule_Inputs!$B$12=1,Assumptions!$C$24,IF(23-Schedule_Inputs!$B$12=2,Assumptions!$D$24,0))),IF(OR(Schedule_Inputs!$C$12="Monthly",Schedule_Inputs!$C$12="Periodic"),IF(AND(23&gt;=Schedule_Inputs!$B$12,MOD(23-Schedule_Inputs!$B$12,Schedule_Inputs!$E$12)=0,(23-Schedule_Inputs!$B$12)/Schedule_Inputs!$E$12&lt;Schedule_Inputs!$D$12),$C12/Schedule_Inputs!$D$12,0),0))))</f>
        <v>0</v>
      </c>
      <c r="AB12" s="31">
        <f>IF(Schedule_Inputs!$C$12="Blueprint",$C12*IF(24-Schedule_Inputs!$B$12=0,Assumptions!$B$21,IF(24-Schedule_Inputs!$B$12=1,Assumptions!$C$21,IF(24-Schedule_Inputs!$B$12=2,Assumptions!$D$21,0))),IF(Schedule_Inputs!$C$12="Launch",$C12*IF(24-Schedule_Inputs!$B$12=0,Assumptions!$B$22,IF(24-Schedule_Inputs!$B$12=1,Assumptions!$C$22,IF(24-Schedule_Inputs!$B$12=2,Assumptions!$D$22,IF(24-Schedule_Inputs!$B$12=3,Assumptions!$B$23,0)))),IF(Schedule_Inputs!$C$12="Office Setup",$C12*IF(24-Schedule_Inputs!$B$12=0,Assumptions!$B$24,IF(24-Schedule_Inputs!$B$12=1,Assumptions!$C$24,IF(24-Schedule_Inputs!$B$12=2,Assumptions!$D$24,0))),IF(OR(Schedule_Inputs!$C$12="Monthly",Schedule_Inputs!$C$12="Periodic"),IF(AND(24&gt;=Schedule_Inputs!$B$12,MOD(24-Schedule_Inputs!$B$12,Schedule_Inputs!$E$12)=0,(24-Schedule_Inputs!$B$12)/Schedule_Inputs!$E$12&lt;Schedule_Inputs!$D$12),$C12/Schedule_Inputs!$D$12,0),0))))</f>
        <v>0</v>
      </c>
      <c r="AC12" s="31">
        <f>IF(Schedule_Inputs!$C$12="Blueprint",$C12*IF(25-Schedule_Inputs!$B$12=0,Assumptions!$B$21,IF(25-Schedule_Inputs!$B$12=1,Assumptions!$C$21,IF(25-Schedule_Inputs!$B$12=2,Assumptions!$D$21,0))),IF(Schedule_Inputs!$C$12="Launch",$C12*IF(25-Schedule_Inputs!$B$12=0,Assumptions!$B$22,IF(25-Schedule_Inputs!$B$12=1,Assumptions!$C$22,IF(25-Schedule_Inputs!$B$12=2,Assumptions!$D$22,IF(25-Schedule_Inputs!$B$12=3,Assumptions!$B$23,0)))),IF(Schedule_Inputs!$C$12="Office Setup",$C12*IF(25-Schedule_Inputs!$B$12=0,Assumptions!$B$24,IF(25-Schedule_Inputs!$B$12=1,Assumptions!$C$24,IF(25-Schedule_Inputs!$B$12=2,Assumptions!$D$24,0))),IF(OR(Schedule_Inputs!$C$12="Monthly",Schedule_Inputs!$C$12="Periodic"),IF(AND(25&gt;=Schedule_Inputs!$B$12,MOD(25-Schedule_Inputs!$B$12,Schedule_Inputs!$E$12)=0,(25-Schedule_Inputs!$B$12)/Schedule_Inputs!$E$12&lt;Schedule_Inputs!$D$12),$C12/Schedule_Inputs!$D$12,0),0))))</f>
        <v>0</v>
      </c>
      <c r="AD12" s="31">
        <f>IF(Schedule_Inputs!$C$12="Blueprint",$C12*IF(26-Schedule_Inputs!$B$12=0,Assumptions!$B$21,IF(26-Schedule_Inputs!$B$12=1,Assumptions!$C$21,IF(26-Schedule_Inputs!$B$12=2,Assumptions!$D$21,0))),IF(Schedule_Inputs!$C$12="Launch",$C12*IF(26-Schedule_Inputs!$B$12=0,Assumptions!$B$22,IF(26-Schedule_Inputs!$B$12=1,Assumptions!$C$22,IF(26-Schedule_Inputs!$B$12=2,Assumptions!$D$22,IF(26-Schedule_Inputs!$B$12=3,Assumptions!$B$23,0)))),IF(Schedule_Inputs!$C$12="Office Setup",$C12*IF(26-Schedule_Inputs!$B$12=0,Assumptions!$B$24,IF(26-Schedule_Inputs!$B$12=1,Assumptions!$C$24,IF(26-Schedule_Inputs!$B$12=2,Assumptions!$D$24,0))),IF(OR(Schedule_Inputs!$C$12="Monthly",Schedule_Inputs!$C$12="Periodic"),IF(AND(26&gt;=Schedule_Inputs!$B$12,MOD(26-Schedule_Inputs!$B$12,Schedule_Inputs!$E$12)=0,(26-Schedule_Inputs!$B$12)/Schedule_Inputs!$E$12&lt;Schedule_Inputs!$D$12),$C12/Schedule_Inputs!$D$12,0),0))))</f>
        <v>0</v>
      </c>
      <c r="AE12" s="31">
        <f>IF(Schedule_Inputs!$C$12="Blueprint",$C12*IF(27-Schedule_Inputs!$B$12=0,Assumptions!$B$21,IF(27-Schedule_Inputs!$B$12=1,Assumptions!$C$21,IF(27-Schedule_Inputs!$B$12=2,Assumptions!$D$21,0))),IF(Schedule_Inputs!$C$12="Launch",$C12*IF(27-Schedule_Inputs!$B$12=0,Assumptions!$B$22,IF(27-Schedule_Inputs!$B$12=1,Assumptions!$C$22,IF(27-Schedule_Inputs!$B$12=2,Assumptions!$D$22,IF(27-Schedule_Inputs!$B$12=3,Assumptions!$B$23,0)))),IF(Schedule_Inputs!$C$12="Office Setup",$C12*IF(27-Schedule_Inputs!$B$12=0,Assumptions!$B$24,IF(27-Schedule_Inputs!$B$12=1,Assumptions!$C$24,IF(27-Schedule_Inputs!$B$12=2,Assumptions!$D$24,0))),IF(OR(Schedule_Inputs!$C$12="Monthly",Schedule_Inputs!$C$12="Periodic"),IF(AND(27&gt;=Schedule_Inputs!$B$12,MOD(27-Schedule_Inputs!$B$12,Schedule_Inputs!$E$12)=0,(27-Schedule_Inputs!$B$12)/Schedule_Inputs!$E$12&lt;Schedule_Inputs!$D$12),$C12/Schedule_Inputs!$D$12,0),0))))</f>
        <v>0</v>
      </c>
      <c r="AF12" s="31">
        <f>IF(Schedule_Inputs!$C$12="Blueprint",$C12*IF(28-Schedule_Inputs!$B$12=0,Assumptions!$B$21,IF(28-Schedule_Inputs!$B$12=1,Assumptions!$C$21,IF(28-Schedule_Inputs!$B$12=2,Assumptions!$D$21,0))),IF(Schedule_Inputs!$C$12="Launch",$C12*IF(28-Schedule_Inputs!$B$12=0,Assumptions!$B$22,IF(28-Schedule_Inputs!$B$12=1,Assumptions!$C$22,IF(28-Schedule_Inputs!$B$12=2,Assumptions!$D$22,IF(28-Schedule_Inputs!$B$12=3,Assumptions!$B$23,0)))),IF(Schedule_Inputs!$C$12="Office Setup",$C12*IF(28-Schedule_Inputs!$B$12=0,Assumptions!$B$24,IF(28-Schedule_Inputs!$B$12=1,Assumptions!$C$24,IF(28-Schedule_Inputs!$B$12=2,Assumptions!$D$24,0))),IF(OR(Schedule_Inputs!$C$12="Monthly",Schedule_Inputs!$C$12="Periodic"),IF(AND(28&gt;=Schedule_Inputs!$B$12,MOD(28-Schedule_Inputs!$B$12,Schedule_Inputs!$E$12)=0,(28-Schedule_Inputs!$B$12)/Schedule_Inputs!$E$12&lt;Schedule_Inputs!$D$12),$C12/Schedule_Inputs!$D$12,0),0))))</f>
        <v>0</v>
      </c>
      <c r="AG12" s="31">
        <f>IF(Schedule_Inputs!$C$12="Blueprint",$C12*IF(29-Schedule_Inputs!$B$12=0,Assumptions!$B$21,IF(29-Schedule_Inputs!$B$12=1,Assumptions!$C$21,IF(29-Schedule_Inputs!$B$12=2,Assumptions!$D$21,0))),IF(Schedule_Inputs!$C$12="Launch",$C12*IF(29-Schedule_Inputs!$B$12=0,Assumptions!$B$22,IF(29-Schedule_Inputs!$B$12=1,Assumptions!$C$22,IF(29-Schedule_Inputs!$B$12=2,Assumptions!$D$22,IF(29-Schedule_Inputs!$B$12=3,Assumptions!$B$23,0)))),IF(Schedule_Inputs!$C$12="Office Setup",$C12*IF(29-Schedule_Inputs!$B$12=0,Assumptions!$B$24,IF(29-Schedule_Inputs!$B$12=1,Assumptions!$C$24,IF(29-Schedule_Inputs!$B$12=2,Assumptions!$D$24,0))),IF(OR(Schedule_Inputs!$C$12="Monthly",Schedule_Inputs!$C$12="Periodic"),IF(AND(29&gt;=Schedule_Inputs!$B$12,MOD(29-Schedule_Inputs!$B$12,Schedule_Inputs!$E$12)=0,(29-Schedule_Inputs!$B$12)/Schedule_Inputs!$E$12&lt;Schedule_Inputs!$D$12),$C12/Schedule_Inputs!$D$12,0),0))))</f>
        <v>0</v>
      </c>
      <c r="AH12" s="31">
        <f>IF(Schedule_Inputs!$C$12="Blueprint",$C12*IF(30-Schedule_Inputs!$B$12=0,Assumptions!$B$21,IF(30-Schedule_Inputs!$B$12=1,Assumptions!$C$21,IF(30-Schedule_Inputs!$B$12=2,Assumptions!$D$21,0))),IF(Schedule_Inputs!$C$12="Launch",$C12*IF(30-Schedule_Inputs!$B$12=0,Assumptions!$B$22,IF(30-Schedule_Inputs!$B$12=1,Assumptions!$C$22,IF(30-Schedule_Inputs!$B$12=2,Assumptions!$D$22,IF(30-Schedule_Inputs!$B$12=3,Assumptions!$B$23,0)))),IF(Schedule_Inputs!$C$12="Office Setup",$C12*IF(30-Schedule_Inputs!$B$12=0,Assumptions!$B$24,IF(30-Schedule_Inputs!$B$12=1,Assumptions!$C$24,IF(30-Schedule_Inputs!$B$12=2,Assumptions!$D$24,0))),IF(OR(Schedule_Inputs!$C$12="Monthly",Schedule_Inputs!$C$12="Periodic"),IF(AND(30&gt;=Schedule_Inputs!$B$12,MOD(30-Schedule_Inputs!$B$12,Schedule_Inputs!$E$12)=0,(30-Schedule_Inputs!$B$12)/Schedule_Inputs!$E$12&lt;Schedule_Inputs!$D$12),$C12/Schedule_Inputs!$D$12,0),0))))</f>
        <v>0</v>
      </c>
      <c r="AI12" s="31">
        <f>IF(Schedule_Inputs!$C$12="Blueprint",$C12*IF(31-Schedule_Inputs!$B$12=0,Assumptions!$B$21,IF(31-Schedule_Inputs!$B$12=1,Assumptions!$C$21,IF(31-Schedule_Inputs!$B$12=2,Assumptions!$D$21,0))),IF(Schedule_Inputs!$C$12="Launch",$C12*IF(31-Schedule_Inputs!$B$12=0,Assumptions!$B$22,IF(31-Schedule_Inputs!$B$12=1,Assumptions!$C$22,IF(31-Schedule_Inputs!$B$12=2,Assumptions!$D$22,IF(31-Schedule_Inputs!$B$12=3,Assumptions!$B$23,0)))),IF(Schedule_Inputs!$C$12="Office Setup",$C12*IF(31-Schedule_Inputs!$B$12=0,Assumptions!$B$24,IF(31-Schedule_Inputs!$B$12=1,Assumptions!$C$24,IF(31-Schedule_Inputs!$B$12=2,Assumptions!$D$24,0))),IF(OR(Schedule_Inputs!$C$12="Monthly",Schedule_Inputs!$C$12="Periodic"),IF(AND(31&gt;=Schedule_Inputs!$B$12,MOD(31-Schedule_Inputs!$B$12,Schedule_Inputs!$E$12)=0,(31-Schedule_Inputs!$B$12)/Schedule_Inputs!$E$12&lt;Schedule_Inputs!$D$12),$C12/Schedule_Inputs!$D$12,0),0))))</f>
        <v>0</v>
      </c>
      <c r="AJ12" s="31">
        <f>IF(Schedule_Inputs!$C$12="Blueprint",$C12*IF(32-Schedule_Inputs!$B$12=0,Assumptions!$B$21,IF(32-Schedule_Inputs!$B$12=1,Assumptions!$C$21,IF(32-Schedule_Inputs!$B$12=2,Assumptions!$D$21,0))),IF(Schedule_Inputs!$C$12="Launch",$C12*IF(32-Schedule_Inputs!$B$12=0,Assumptions!$B$22,IF(32-Schedule_Inputs!$B$12=1,Assumptions!$C$22,IF(32-Schedule_Inputs!$B$12=2,Assumptions!$D$22,IF(32-Schedule_Inputs!$B$12=3,Assumptions!$B$23,0)))),IF(Schedule_Inputs!$C$12="Office Setup",$C12*IF(32-Schedule_Inputs!$B$12=0,Assumptions!$B$24,IF(32-Schedule_Inputs!$B$12=1,Assumptions!$C$24,IF(32-Schedule_Inputs!$B$12=2,Assumptions!$D$24,0))),IF(OR(Schedule_Inputs!$C$12="Monthly",Schedule_Inputs!$C$12="Periodic"),IF(AND(32&gt;=Schedule_Inputs!$B$12,MOD(32-Schedule_Inputs!$B$12,Schedule_Inputs!$E$12)=0,(32-Schedule_Inputs!$B$12)/Schedule_Inputs!$E$12&lt;Schedule_Inputs!$D$12),$C12/Schedule_Inputs!$D$12,0),0))))</f>
        <v>0</v>
      </c>
      <c r="AK12" s="31">
        <f>IF(Schedule_Inputs!$C$12="Blueprint",$C12*IF(33-Schedule_Inputs!$B$12=0,Assumptions!$B$21,IF(33-Schedule_Inputs!$B$12=1,Assumptions!$C$21,IF(33-Schedule_Inputs!$B$12=2,Assumptions!$D$21,0))),IF(Schedule_Inputs!$C$12="Launch",$C12*IF(33-Schedule_Inputs!$B$12=0,Assumptions!$B$22,IF(33-Schedule_Inputs!$B$12=1,Assumptions!$C$22,IF(33-Schedule_Inputs!$B$12=2,Assumptions!$D$22,IF(33-Schedule_Inputs!$B$12=3,Assumptions!$B$23,0)))),IF(Schedule_Inputs!$C$12="Office Setup",$C12*IF(33-Schedule_Inputs!$B$12=0,Assumptions!$B$24,IF(33-Schedule_Inputs!$B$12=1,Assumptions!$C$24,IF(33-Schedule_Inputs!$B$12=2,Assumptions!$D$24,0))),IF(OR(Schedule_Inputs!$C$12="Monthly",Schedule_Inputs!$C$12="Periodic"),IF(AND(33&gt;=Schedule_Inputs!$B$12,MOD(33-Schedule_Inputs!$B$12,Schedule_Inputs!$E$12)=0,(33-Schedule_Inputs!$B$12)/Schedule_Inputs!$E$12&lt;Schedule_Inputs!$D$12),$C12/Schedule_Inputs!$D$12,0),0))))</f>
        <v>0</v>
      </c>
      <c r="AL12" s="31">
        <f>IF(Schedule_Inputs!$C$12="Blueprint",$C12*IF(34-Schedule_Inputs!$B$12=0,Assumptions!$B$21,IF(34-Schedule_Inputs!$B$12=1,Assumptions!$C$21,IF(34-Schedule_Inputs!$B$12=2,Assumptions!$D$21,0))),IF(Schedule_Inputs!$C$12="Launch",$C12*IF(34-Schedule_Inputs!$B$12=0,Assumptions!$B$22,IF(34-Schedule_Inputs!$B$12=1,Assumptions!$C$22,IF(34-Schedule_Inputs!$B$12=2,Assumptions!$D$22,IF(34-Schedule_Inputs!$B$12=3,Assumptions!$B$23,0)))),IF(Schedule_Inputs!$C$12="Office Setup",$C12*IF(34-Schedule_Inputs!$B$12=0,Assumptions!$B$24,IF(34-Schedule_Inputs!$B$12=1,Assumptions!$C$24,IF(34-Schedule_Inputs!$B$12=2,Assumptions!$D$24,0))),IF(OR(Schedule_Inputs!$C$12="Monthly",Schedule_Inputs!$C$12="Periodic"),IF(AND(34&gt;=Schedule_Inputs!$B$12,MOD(34-Schedule_Inputs!$B$12,Schedule_Inputs!$E$12)=0,(34-Schedule_Inputs!$B$12)/Schedule_Inputs!$E$12&lt;Schedule_Inputs!$D$12),$C12/Schedule_Inputs!$D$12,0),0))))</f>
        <v>0</v>
      </c>
      <c r="AM12" s="31">
        <f>IF(Schedule_Inputs!$C$12="Blueprint",$C12*IF(35-Schedule_Inputs!$B$12=0,Assumptions!$B$21,IF(35-Schedule_Inputs!$B$12=1,Assumptions!$C$21,IF(35-Schedule_Inputs!$B$12=2,Assumptions!$D$21,0))),IF(Schedule_Inputs!$C$12="Launch",$C12*IF(35-Schedule_Inputs!$B$12=0,Assumptions!$B$22,IF(35-Schedule_Inputs!$B$12=1,Assumptions!$C$22,IF(35-Schedule_Inputs!$B$12=2,Assumptions!$D$22,IF(35-Schedule_Inputs!$B$12=3,Assumptions!$B$23,0)))),IF(Schedule_Inputs!$C$12="Office Setup",$C12*IF(35-Schedule_Inputs!$B$12=0,Assumptions!$B$24,IF(35-Schedule_Inputs!$B$12=1,Assumptions!$C$24,IF(35-Schedule_Inputs!$B$12=2,Assumptions!$D$24,0))),IF(OR(Schedule_Inputs!$C$12="Monthly",Schedule_Inputs!$C$12="Periodic"),IF(AND(35&gt;=Schedule_Inputs!$B$12,MOD(35-Schedule_Inputs!$B$12,Schedule_Inputs!$E$12)=0,(35-Schedule_Inputs!$B$12)/Schedule_Inputs!$E$12&lt;Schedule_Inputs!$D$12),$C12/Schedule_Inputs!$D$12,0),0))))</f>
        <v>0</v>
      </c>
      <c r="AN12" s="31">
        <f>IF(Schedule_Inputs!$C$12="Blueprint",$C12*IF(36-Schedule_Inputs!$B$12=0,Assumptions!$B$21,IF(36-Schedule_Inputs!$B$12=1,Assumptions!$C$21,IF(36-Schedule_Inputs!$B$12=2,Assumptions!$D$21,0))),IF(Schedule_Inputs!$C$12="Launch",$C12*IF(36-Schedule_Inputs!$B$12=0,Assumptions!$B$22,IF(36-Schedule_Inputs!$B$12=1,Assumptions!$C$22,IF(36-Schedule_Inputs!$B$12=2,Assumptions!$D$22,IF(36-Schedule_Inputs!$B$12=3,Assumptions!$B$23,0)))),IF(Schedule_Inputs!$C$12="Office Setup",$C12*IF(36-Schedule_Inputs!$B$12=0,Assumptions!$B$24,IF(36-Schedule_Inputs!$B$12=1,Assumptions!$C$24,IF(36-Schedule_Inputs!$B$12=2,Assumptions!$D$24,0))),IF(OR(Schedule_Inputs!$C$12="Monthly",Schedule_Inputs!$C$12="Periodic"),IF(AND(36&gt;=Schedule_Inputs!$B$12,MOD(36-Schedule_Inputs!$B$12,Schedule_Inputs!$E$12)=0,(36-Schedule_Inputs!$B$12)/Schedule_Inputs!$E$12&lt;Schedule_Inputs!$D$12),$C12/Schedule_Inputs!$D$12,0),0))))</f>
        <v>0</v>
      </c>
    </row>
    <row r="13" spans="1:40">
      <c r="A13" s="29" t="s">
        <v>243</v>
      </c>
      <c r="B13" s="29">
        <v>2</v>
      </c>
      <c r="C13" s="30">
        <v>50000</v>
      </c>
      <c r="D13" s="31" t="s">
        <v>233</v>
      </c>
      <c r="E13" s="31">
        <f>IF(Schedule_Inputs!$C$13="Blueprint",$C13*IF(1-Schedule_Inputs!$B$13=0,Assumptions!$B$21,IF(1-Schedule_Inputs!$B$13=1,Assumptions!$C$21,IF(1-Schedule_Inputs!$B$13=2,Assumptions!$D$21,0))),IF(Schedule_Inputs!$C$13="Launch",$C13*IF(1-Schedule_Inputs!$B$13=0,Assumptions!$B$22,IF(1-Schedule_Inputs!$B$13=1,Assumptions!$C$22,IF(1-Schedule_Inputs!$B$13=2,Assumptions!$D$22,IF(1-Schedule_Inputs!$B$13=3,Assumptions!$B$23,0)))),IF(Schedule_Inputs!$C$13="Office Setup",$C13*IF(1-Schedule_Inputs!$B$13=0,Assumptions!$B$24,IF(1-Schedule_Inputs!$B$13=1,Assumptions!$C$24,IF(1-Schedule_Inputs!$B$13=2,Assumptions!$D$24,0))),IF(OR(Schedule_Inputs!$C$13="Monthly",Schedule_Inputs!$C$13="Periodic"),IF(AND(1&gt;=Schedule_Inputs!$B$13,MOD(1-Schedule_Inputs!$B$13,Schedule_Inputs!$E$13)=0,(1-Schedule_Inputs!$B$13)/Schedule_Inputs!$E$13&lt;Schedule_Inputs!$D$13),$C13/Schedule_Inputs!$D$13,0),0))))</f>
        <v>0</v>
      </c>
      <c r="F13" s="31">
        <f>IF(Schedule_Inputs!$C$13="Blueprint",$C13*IF(2-Schedule_Inputs!$B$13=0,Assumptions!$B$21,IF(2-Schedule_Inputs!$B$13=1,Assumptions!$C$21,IF(2-Schedule_Inputs!$B$13=2,Assumptions!$D$21,0))),IF(Schedule_Inputs!$C$13="Launch",$C13*IF(2-Schedule_Inputs!$B$13=0,Assumptions!$B$22,IF(2-Schedule_Inputs!$B$13=1,Assumptions!$C$22,IF(2-Schedule_Inputs!$B$13=2,Assumptions!$D$22,IF(2-Schedule_Inputs!$B$13=3,Assumptions!$B$23,0)))),IF(Schedule_Inputs!$C$13="Office Setup",$C13*IF(2-Schedule_Inputs!$B$13=0,Assumptions!$B$24,IF(2-Schedule_Inputs!$B$13=1,Assumptions!$C$24,IF(2-Schedule_Inputs!$B$13=2,Assumptions!$D$24,0))),IF(OR(Schedule_Inputs!$C$13="Monthly",Schedule_Inputs!$C$13="Periodic"),IF(AND(2&gt;=Schedule_Inputs!$B$13,MOD(2-Schedule_Inputs!$B$13,Schedule_Inputs!$E$13)=0,(2-Schedule_Inputs!$B$13)/Schedule_Inputs!$E$13&lt;Schedule_Inputs!$D$13),$C13/Schedule_Inputs!$D$13,0),0))))</f>
        <v>0</v>
      </c>
      <c r="G13" s="31">
        <f>IF(Schedule_Inputs!$C$13="Blueprint",$C13*IF(3-Schedule_Inputs!$B$13=0,Assumptions!$B$21,IF(3-Schedule_Inputs!$B$13=1,Assumptions!$C$21,IF(3-Schedule_Inputs!$B$13=2,Assumptions!$D$21,0))),IF(Schedule_Inputs!$C$13="Launch",$C13*IF(3-Schedule_Inputs!$B$13=0,Assumptions!$B$22,IF(3-Schedule_Inputs!$B$13=1,Assumptions!$C$22,IF(3-Schedule_Inputs!$B$13=2,Assumptions!$D$22,IF(3-Schedule_Inputs!$B$13=3,Assumptions!$B$23,0)))),IF(Schedule_Inputs!$C$13="Office Setup",$C13*IF(3-Schedule_Inputs!$B$13=0,Assumptions!$B$24,IF(3-Schedule_Inputs!$B$13=1,Assumptions!$C$24,IF(3-Schedule_Inputs!$B$13=2,Assumptions!$D$24,0))),IF(OR(Schedule_Inputs!$C$13="Monthly",Schedule_Inputs!$C$13="Periodic"),IF(AND(3&gt;=Schedule_Inputs!$B$13,MOD(3-Schedule_Inputs!$B$13,Schedule_Inputs!$E$13)=0,(3-Schedule_Inputs!$B$13)/Schedule_Inputs!$E$13&lt;Schedule_Inputs!$D$13),$C13/Schedule_Inputs!$D$13,0),0))))</f>
        <v>0</v>
      </c>
      <c r="H13" s="31">
        <f>IF(Schedule_Inputs!$C$13="Blueprint",$C13*IF(4-Schedule_Inputs!$B$13=0,Assumptions!$B$21,IF(4-Schedule_Inputs!$B$13=1,Assumptions!$C$21,IF(4-Schedule_Inputs!$B$13=2,Assumptions!$D$21,0))),IF(Schedule_Inputs!$C$13="Launch",$C13*IF(4-Schedule_Inputs!$B$13=0,Assumptions!$B$22,IF(4-Schedule_Inputs!$B$13=1,Assumptions!$C$22,IF(4-Schedule_Inputs!$B$13=2,Assumptions!$D$22,IF(4-Schedule_Inputs!$B$13=3,Assumptions!$B$23,0)))),IF(Schedule_Inputs!$C$13="Office Setup",$C13*IF(4-Schedule_Inputs!$B$13=0,Assumptions!$B$24,IF(4-Schedule_Inputs!$B$13=1,Assumptions!$C$24,IF(4-Schedule_Inputs!$B$13=2,Assumptions!$D$24,0))),IF(OR(Schedule_Inputs!$C$13="Monthly",Schedule_Inputs!$C$13="Periodic"),IF(AND(4&gt;=Schedule_Inputs!$B$13,MOD(4-Schedule_Inputs!$B$13,Schedule_Inputs!$E$13)=0,(4-Schedule_Inputs!$B$13)/Schedule_Inputs!$E$13&lt;Schedule_Inputs!$D$13),$C13/Schedule_Inputs!$D$13,0),0))))</f>
        <v>0</v>
      </c>
      <c r="I13" s="31">
        <f>IF(Schedule_Inputs!$C$13="Blueprint",$C13*IF(5-Schedule_Inputs!$B$13=0,Assumptions!$B$21,IF(5-Schedule_Inputs!$B$13=1,Assumptions!$C$21,IF(5-Schedule_Inputs!$B$13=2,Assumptions!$D$21,0))),IF(Schedule_Inputs!$C$13="Launch",$C13*IF(5-Schedule_Inputs!$B$13=0,Assumptions!$B$22,IF(5-Schedule_Inputs!$B$13=1,Assumptions!$C$22,IF(5-Schedule_Inputs!$B$13=2,Assumptions!$D$22,IF(5-Schedule_Inputs!$B$13=3,Assumptions!$B$23,0)))),IF(Schedule_Inputs!$C$13="Office Setup",$C13*IF(5-Schedule_Inputs!$B$13=0,Assumptions!$B$24,IF(5-Schedule_Inputs!$B$13=1,Assumptions!$C$24,IF(5-Schedule_Inputs!$B$13=2,Assumptions!$D$24,0))),IF(OR(Schedule_Inputs!$C$13="Monthly",Schedule_Inputs!$C$13="Periodic"),IF(AND(5&gt;=Schedule_Inputs!$B$13,MOD(5-Schedule_Inputs!$B$13,Schedule_Inputs!$E$13)=0,(5-Schedule_Inputs!$B$13)/Schedule_Inputs!$E$13&lt;Schedule_Inputs!$D$13),$C13/Schedule_Inputs!$D$13,0),0))))</f>
        <v>0</v>
      </c>
      <c r="J13" s="31">
        <f>IF(Schedule_Inputs!$C$13="Blueprint",$C13*IF(6-Schedule_Inputs!$B$13=0,Assumptions!$B$21,IF(6-Schedule_Inputs!$B$13=1,Assumptions!$C$21,IF(6-Schedule_Inputs!$B$13=2,Assumptions!$D$21,0))),IF(Schedule_Inputs!$C$13="Launch",$C13*IF(6-Schedule_Inputs!$B$13=0,Assumptions!$B$22,IF(6-Schedule_Inputs!$B$13=1,Assumptions!$C$22,IF(6-Schedule_Inputs!$B$13=2,Assumptions!$D$22,IF(6-Schedule_Inputs!$B$13=3,Assumptions!$B$23,0)))),IF(Schedule_Inputs!$C$13="Office Setup",$C13*IF(6-Schedule_Inputs!$B$13=0,Assumptions!$B$24,IF(6-Schedule_Inputs!$B$13=1,Assumptions!$C$24,IF(6-Schedule_Inputs!$B$13=2,Assumptions!$D$24,0))),IF(OR(Schedule_Inputs!$C$13="Monthly",Schedule_Inputs!$C$13="Periodic"),IF(AND(6&gt;=Schedule_Inputs!$B$13,MOD(6-Schedule_Inputs!$B$13,Schedule_Inputs!$E$13)=0,(6-Schedule_Inputs!$B$13)/Schedule_Inputs!$E$13&lt;Schedule_Inputs!$D$13),$C13/Schedule_Inputs!$D$13,0),0))))</f>
        <v>0</v>
      </c>
      <c r="K13" s="31">
        <f>IF(Schedule_Inputs!$C$13="Blueprint",$C13*IF(7-Schedule_Inputs!$B$13=0,Assumptions!$B$21,IF(7-Schedule_Inputs!$B$13=1,Assumptions!$C$21,IF(7-Schedule_Inputs!$B$13=2,Assumptions!$D$21,0))),IF(Schedule_Inputs!$C$13="Launch",$C13*IF(7-Schedule_Inputs!$B$13=0,Assumptions!$B$22,IF(7-Schedule_Inputs!$B$13=1,Assumptions!$C$22,IF(7-Schedule_Inputs!$B$13=2,Assumptions!$D$22,IF(7-Schedule_Inputs!$B$13=3,Assumptions!$B$23,0)))),IF(Schedule_Inputs!$C$13="Office Setup",$C13*IF(7-Schedule_Inputs!$B$13=0,Assumptions!$B$24,IF(7-Schedule_Inputs!$B$13=1,Assumptions!$C$24,IF(7-Schedule_Inputs!$B$13=2,Assumptions!$D$24,0))),IF(OR(Schedule_Inputs!$C$13="Monthly",Schedule_Inputs!$C$13="Periodic"),IF(AND(7&gt;=Schedule_Inputs!$B$13,MOD(7-Schedule_Inputs!$B$13,Schedule_Inputs!$E$13)=0,(7-Schedule_Inputs!$B$13)/Schedule_Inputs!$E$13&lt;Schedule_Inputs!$D$13),$C13/Schedule_Inputs!$D$13,0),0))))</f>
        <v>0</v>
      </c>
      <c r="L13" s="31">
        <f>IF(Schedule_Inputs!$C$13="Blueprint",$C13*IF(8-Schedule_Inputs!$B$13=0,Assumptions!$B$21,IF(8-Schedule_Inputs!$B$13=1,Assumptions!$C$21,IF(8-Schedule_Inputs!$B$13=2,Assumptions!$D$21,0))),IF(Schedule_Inputs!$C$13="Launch",$C13*IF(8-Schedule_Inputs!$B$13=0,Assumptions!$B$22,IF(8-Schedule_Inputs!$B$13=1,Assumptions!$C$22,IF(8-Schedule_Inputs!$B$13=2,Assumptions!$D$22,IF(8-Schedule_Inputs!$B$13=3,Assumptions!$B$23,0)))),IF(Schedule_Inputs!$C$13="Office Setup",$C13*IF(8-Schedule_Inputs!$B$13=0,Assumptions!$B$24,IF(8-Schedule_Inputs!$B$13=1,Assumptions!$C$24,IF(8-Schedule_Inputs!$B$13=2,Assumptions!$D$24,0))),IF(OR(Schedule_Inputs!$C$13="Monthly",Schedule_Inputs!$C$13="Periodic"),IF(AND(8&gt;=Schedule_Inputs!$B$13,MOD(8-Schedule_Inputs!$B$13,Schedule_Inputs!$E$13)=0,(8-Schedule_Inputs!$B$13)/Schedule_Inputs!$E$13&lt;Schedule_Inputs!$D$13),$C13/Schedule_Inputs!$D$13,0),0))))</f>
        <v>0</v>
      </c>
      <c r="M13" s="31">
        <f>IF(Schedule_Inputs!$C$13="Blueprint",$C13*IF(9-Schedule_Inputs!$B$13=0,Assumptions!$B$21,IF(9-Schedule_Inputs!$B$13=1,Assumptions!$C$21,IF(9-Schedule_Inputs!$B$13=2,Assumptions!$D$21,0))),IF(Schedule_Inputs!$C$13="Launch",$C13*IF(9-Schedule_Inputs!$B$13=0,Assumptions!$B$22,IF(9-Schedule_Inputs!$B$13=1,Assumptions!$C$22,IF(9-Schedule_Inputs!$B$13=2,Assumptions!$D$22,IF(9-Schedule_Inputs!$B$13=3,Assumptions!$B$23,0)))),IF(Schedule_Inputs!$C$13="Office Setup",$C13*IF(9-Schedule_Inputs!$B$13=0,Assumptions!$B$24,IF(9-Schedule_Inputs!$B$13=1,Assumptions!$C$24,IF(9-Schedule_Inputs!$B$13=2,Assumptions!$D$24,0))),IF(OR(Schedule_Inputs!$C$13="Monthly",Schedule_Inputs!$C$13="Periodic"),IF(AND(9&gt;=Schedule_Inputs!$B$13,MOD(9-Schedule_Inputs!$B$13,Schedule_Inputs!$E$13)=0,(9-Schedule_Inputs!$B$13)/Schedule_Inputs!$E$13&lt;Schedule_Inputs!$D$13),$C13/Schedule_Inputs!$D$13,0),0))))</f>
        <v>0</v>
      </c>
      <c r="N13" s="31">
        <f>IF(Schedule_Inputs!$C$13="Blueprint",$C13*IF(10-Schedule_Inputs!$B$13=0,Assumptions!$B$21,IF(10-Schedule_Inputs!$B$13=1,Assumptions!$C$21,IF(10-Schedule_Inputs!$B$13=2,Assumptions!$D$21,0))),IF(Schedule_Inputs!$C$13="Launch",$C13*IF(10-Schedule_Inputs!$B$13=0,Assumptions!$B$22,IF(10-Schedule_Inputs!$B$13=1,Assumptions!$C$22,IF(10-Schedule_Inputs!$B$13=2,Assumptions!$D$22,IF(10-Schedule_Inputs!$B$13=3,Assumptions!$B$23,0)))),IF(Schedule_Inputs!$C$13="Office Setup",$C13*IF(10-Schedule_Inputs!$B$13=0,Assumptions!$B$24,IF(10-Schedule_Inputs!$B$13=1,Assumptions!$C$24,IF(10-Schedule_Inputs!$B$13=2,Assumptions!$D$24,0))),IF(OR(Schedule_Inputs!$C$13="Monthly",Schedule_Inputs!$C$13="Periodic"),IF(AND(10&gt;=Schedule_Inputs!$B$13,MOD(10-Schedule_Inputs!$B$13,Schedule_Inputs!$E$13)=0,(10-Schedule_Inputs!$B$13)/Schedule_Inputs!$E$13&lt;Schedule_Inputs!$D$13),$C13/Schedule_Inputs!$D$13,0),0))))</f>
        <v>0</v>
      </c>
      <c r="O13" s="31">
        <f>IF(Schedule_Inputs!$C$13="Blueprint",$C13*IF(11-Schedule_Inputs!$B$13=0,Assumptions!$B$21,IF(11-Schedule_Inputs!$B$13=1,Assumptions!$C$21,IF(11-Schedule_Inputs!$B$13=2,Assumptions!$D$21,0))),IF(Schedule_Inputs!$C$13="Launch",$C13*IF(11-Schedule_Inputs!$B$13=0,Assumptions!$B$22,IF(11-Schedule_Inputs!$B$13=1,Assumptions!$C$22,IF(11-Schedule_Inputs!$B$13=2,Assumptions!$D$22,IF(11-Schedule_Inputs!$B$13=3,Assumptions!$B$23,0)))),IF(Schedule_Inputs!$C$13="Office Setup",$C13*IF(11-Schedule_Inputs!$B$13=0,Assumptions!$B$24,IF(11-Schedule_Inputs!$B$13=1,Assumptions!$C$24,IF(11-Schedule_Inputs!$B$13=2,Assumptions!$D$24,0))),IF(OR(Schedule_Inputs!$C$13="Monthly",Schedule_Inputs!$C$13="Periodic"),IF(AND(11&gt;=Schedule_Inputs!$B$13,MOD(11-Schedule_Inputs!$B$13,Schedule_Inputs!$E$13)=0,(11-Schedule_Inputs!$B$13)/Schedule_Inputs!$E$13&lt;Schedule_Inputs!$D$13),$C13/Schedule_Inputs!$D$13,0),0))))</f>
        <v>0</v>
      </c>
      <c r="P13" s="31">
        <f>IF(Schedule_Inputs!$C$13="Blueprint",$C13*IF(12-Schedule_Inputs!$B$13=0,Assumptions!$B$21,IF(12-Schedule_Inputs!$B$13=1,Assumptions!$C$21,IF(12-Schedule_Inputs!$B$13=2,Assumptions!$D$21,0))),IF(Schedule_Inputs!$C$13="Launch",$C13*IF(12-Schedule_Inputs!$B$13=0,Assumptions!$B$22,IF(12-Schedule_Inputs!$B$13=1,Assumptions!$C$22,IF(12-Schedule_Inputs!$B$13=2,Assumptions!$D$22,IF(12-Schedule_Inputs!$B$13=3,Assumptions!$B$23,0)))),IF(Schedule_Inputs!$C$13="Office Setup",$C13*IF(12-Schedule_Inputs!$B$13=0,Assumptions!$B$24,IF(12-Schedule_Inputs!$B$13=1,Assumptions!$C$24,IF(12-Schedule_Inputs!$B$13=2,Assumptions!$D$24,0))),IF(OR(Schedule_Inputs!$C$13="Monthly",Schedule_Inputs!$C$13="Periodic"),IF(AND(12&gt;=Schedule_Inputs!$B$13,MOD(12-Schedule_Inputs!$B$13,Schedule_Inputs!$E$13)=0,(12-Schedule_Inputs!$B$13)/Schedule_Inputs!$E$13&lt;Schedule_Inputs!$D$13),$C13/Schedule_Inputs!$D$13,0),0))))</f>
        <v>0</v>
      </c>
      <c r="Q13" s="31">
        <f>IF(Schedule_Inputs!$C$13="Blueprint",$C13*IF(13-Schedule_Inputs!$B$13=0,Assumptions!$B$21,IF(13-Schedule_Inputs!$B$13=1,Assumptions!$C$21,IF(13-Schedule_Inputs!$B$13=2,Assumptions!$D$21,0))),IF(Schedule_Inputs!$C$13="Launch",$C13*IF(13-Schedule_Inputs!$B$13=0,Assumptions!$B$22,IF(13-Schedule_Inputs!$B$13=1,Assumptions!$C$22,IF(13-Schedule_Inputs!$B$13=2,Assumptions!$D$22,IF(13-Schedule_Inputs!$B$13=3,Assumptions!$B$23,0)))),IF(Schedule_Inputs!$C$13="Office Setup",$C13*IF(13-Schedule_Inputs!$B$13=0,Assumptions!$B$24,IF(13-Schedule_Inputs!$B$13=1,Assumptions!$C$24,IF(13-Schedule_Inputs!$B$13=2,Assumptions!$D$24,0))),IF(OR(Schedule_Inputs!$C$13="Monthly",Schedule_Inputs!$C$13="Periodic"),IF(AND(13&gt;=Schedule_Inputs!$B$13,MOD(13-Schedule_Inputs!$B$13,Schedule_Inputs!$E$13)=0,(13-Schedule_Inputs!$B$13)/Schedule_Inputs!$E$13&lt;Schedule_Inputs!$D$13),$C13/Schedule_Inputs!$D$13,0),0))))</f>
        <v>0</v>
      </c>
      <c r="R13" s="31">
        <f>IF(Schedule_Inputs!$C$13="Blueprint",$C13*IF(14-Schedule_Inputs!$B$13=0,Assumptions!$B$21,IF(14-Schedule_Inputs!$B$13=1,Assumptions!$C$21,IF(14-Schedule_Inputs!$B$13=2,Assumptions!$D$21,0))),IF(Schedule_Inputs!$C$13="Launch",$C13*IF(14-Schedule_Inputs!$B$13=0,Assumptions!$B$22,IF(14-Schedule_Inputs!$B$13=1,Assumptions!$C$22,IF(14-Schedule_Inputs!$B$13=2,Assumptions!$D$22,IF(14-Schedule_Inputs!$B$13=3,Assumptions!$B$23,0)))),IF(Schedule_Inputs!$C$13="Office Setup",$C13*IF(14-Schedule_Inputs!$B$13=0,Assumptions!$B$24,IF(14-Schedule_Inputs!$B$13=1,Assumptions!$C$24,IF(14-Schedule_Inputs!$B$13=2,Assumptions!$D$24,0))),IF(OR(Schedule_Inputs!$C$13="Monthly",Schedule_Inputs!$C$13="Periodic"),IF(AND(14&gt;=Schedule_Inputs!$B$13,MOD(14-Schedule_Inputs!$B$13,Schedule_Inputs!$E$13)=0,(14-Schedule_Inputs!$B$13)/Schedule_Inputs!$E$13&lt;Schedule_Inputs!$D$13),$C13/Schedule_Inputs!$D$13,0),0))))</f>
        <v>15000</v>
      </c>
      <c r="S13" s="31">
        <f>IF(Schedule_Inputs!$C$13="Blueprint",$C13*IF(15-Schedule_Inputs!$B$13=0,Assumptions!$B$21,IF(15-Schedule_Inputs!$B$13=1,Assumptions!$C$21,IF(15-Schedule_Inputs!$B$13=2,Assumptions!$D$21,0))),IF(Schedule_Inputs!$C$13="Launch",$C13*IF(15-Schedule_Inputs!$B$13=0,Assumptions!$B$22,IF(15-Schedule_Inputs!$B$13=1,Assumptions!$C$22,IF(15-Schedule_Inputs!$B$13=2,Assumptions!$D$22,IF(15-Schedule_Inputs!$B$13=3,Assumptions!$B$23,0)))),IF(Schedule_Inputs!$C$13="Office Setup",$C13*IF(15-Schedule_Inputs!$B$13=0,Assumptions!$B$24,IF(15-Schedule_Inputs!$B$13=1,Assumptions!$C$24,IF(15-Schedule_Inputs!$B$13=2,Assumptions!$D$24,0))),IF(OR(Schedule_Inputs!$C$13="Monthly",Schedule_Inputs!$C$13="Periodic"),IF(AND(15&gt;=Schedule_Inputs!$B$13,MOD(15-Schedule_Inputs!$B$13,Schedule_Inputs!$E$13)=0,(15-Schedule_Inputs!$B$13)/Schedule_Inputs!$E$13&lt;Schedule_Inputs!$D$13),$C13/Schedule_Inputs!$D$13,0),0))))</f>
        <v>15000</v>
      </c>
      <c r="T13" s="31">
        <f>IF(Schedule_Inputs!$C$13="Blueprint",$C13*IF(16-Schedule_Inputs!$B$13=0,Assumptions!$B$21,IF(16-Schedule_Inputs!$B$13=1,Assumptions!$C$21,IF(16-Schedule_Inputs!$B$13=2,Assumptions!$D$21,0))),IF(Schedule_Inputs!$C$13="Launch",$C13*IF(16-Schedule_Inputs!$B$13=0,Assumptions!$B$22,IF(16-Schedule_Inputs!$B$13=1,Assumptions!$C$22,IF(16-Schedule_Inputs!$B$13=2,Assumptions!$D$22,IF(16-Schedule_Inputs!$B$13=3,Assumptions!$B$23,0)))),IF(Schedule_Inputs!$C$13="Office Setup",$C13*IF(16-Schedule_Inputs!$B$13=0,Assumptions!$B$24,IF(16-Schedule_Inputs!$B$13=1,Assumptions!$C$24,IF(16-Schedule_Inputs!$B$13=2,Assumptions!$D$24,0))),IF(OR(Schedule_Inputs!$C$13="Monthly",Schedule_Inputs!$C$13="Periodic"),IF(AND(16&gt;=Schedule_Inputs!$B$13,MOD(16-Schedule_Inputs!$B$13,Schedule_Inputs!$E$13)=0,(16-Schedule_Inputs!$B$13)/Schedule_Inputs!$E$13&lt;Schedule_Inputs!$D$13),$C13/Schedule_Inputs!$D$13,0),0))))</f>
        <v>15000</v>
      </c>
      <c r="U13" s="31">
        <f>IF(Schedule_Inputs!$C$13="Blueprint",$C13*IF(17-Schedule_Inputs!$B$13=0,Assumptions!$B$21,IF(17-Schedule_Inputs!$B$13=1,Assumptions!$C$21,IF(17-Schedule_Inputs!$B$13=2,Assumptions!$D$21,0))),IF(Schedule_Inputs!$C$13="Launch",$C13*IF(17-Schedule_Inputs!$B$13=0,Assumptions!$B$22,IF(17-Schedule_Inputs!$B$13=1,Assumptions!$C$22,IF(17-Schedule_Inputs!$B$13=2,Assumptions!$D$22,IF(17-Schedule_Inputs!$B$13=3,Assumptions!$B$23,0)))),IF(Schedule_Inputs!$C$13="Office Setup",$C13*IF(17-Schedule_Inputs!$B$13=0,Assumptions!$B$24,IF(17-Schedule_Inputs!$B$13=1,Assumptions!$C$24,IF(17-Schedule_Inputs!$B$13=2,Assumptions!$D$24,0))),IF(OR(Schedule_Inputs!$C$13="Monthly",Schedule_Inputs!$C$13="Periodic"),IF(AND(17&gt;=Schedule_Inputs!$B$13,MOD(17-Schedule_Inputs!$B$13,Schedule_Inputs!$E$13)=0,(17-Schedule_Inputs!$B$13)/Schedule_Inputs!$E$13&lt;Schedule_Inputs!$D$13),$C13/Schedule_Inputs!$D$13,0),0))))</f>
        <v>5000</v>
      </c>
      <c r="V13" s="31">
        <f>IF(Schedule_Inputs!$C$13="Blueprint",$C13*IF(18-Schedule_Inputs!$B$13=0,Assumptions!$B$21,IF(18-Schedule_Inputs!$B$13=1,Assumptions!$C$21,IF(18-Schedule_Inputs!$B$13=2,Assumptions!$D$21,0))),IF(Schedule_Inputs!$C$13="Launch",$C13*IF(18-Schedule_Inputs!$B$13=0,Assumptions!$B$22,IF(18-Schedule_Inputs!$B$13=1,Assumptions!$C$22,IF(18-Schedule_Inputs!$B$13=2,Assumptions!$D$22,IF(18-Schedule_Inputs!$B$13=3,Assumptions!$B$23,0)))),IF(Schedule_Inputs!$C$13="Office Setup",$C13*IF(18-Schedule_Inputs!$B$13=0,Assumptions!$B$24,IF(18-Schedule_Inputs!$B$13=1,Assumptions!$C$24,IF(18-Schedule_Inputs!$B$13=2,Assumptions!$D$24,0))),IF(OR(Schedule_Inputs!$C$13="Monthly",Schedule_Inputs!$C$13="Periodic"),IF(AND(18&gt;=Schedule_Inputs!$B$13,MOD(18-Schedule_Inputs!$B$13,Schedule_Inputs!$E$13)=0,(18-Schedule_Inputs!$B$13)/Schedule_Inputs!$E$13&lt;Schedule_Inputs!$D$13),$C13/Schedule_Inputs!$D$13,0),0))))</f>
        <v>0</v>
      </c>
      <c r="W13" s="31">
        <f>IF(Schedule_Inputs!$C$13="Blueprint",$C13*IF(19-Schedule_Inputs!$B$13=0,Assumptions!$B$21,IF(19-Schedule_Inputs!$B$13=1,Assumptions!$C$21,IF(19-Schedule_Inputs!$B$13=2,Assumptions!$D$21,0))),IF(Schedule_Inputs!$C$13="Launch",$C13*IF(19-Schedule_Inputs!$B$13=0,Assumptions!$B$22,IF(19-Schedule_Inputs!$B$13=1,Assumptions!$C$22,IF(19-Schedule_Inputs!$B$13=2,Assumptions!$D$22,IF(19-Schedule_Inputs!$B$13=3,Assumptions!$B$23,0)))),IF(Schedule_Inputs!$C$13="Office Setup",$C13*IF(19-Schedule_Inputs!$B$13=0,Assumptions!$B$24,IF(19-Schedule_Inputs!$B$13=1,Assumptions!$C$24,IF(19-Schedule_Inputs!$B$13=2,Assumptions!$D$24,0))),IF(OR(Schedule_Inputs!$C$13="Monthly",Schedule_Inputs!$C$13="Periodic"),IF(AND(19&gt;=Schedule_Inputs!$B$13,MOD(19-Schedule_Inputs!$B$13,Schedule_Inputs!$E$13)=0,(19-Schedule_Inputs!$B$13)/Schedule_Inputs!$E$13&lt;Schedule_Inputs!$D$13),$C13/Schedule_Inputs!$D$13,0),0))))</f>
        <v>0</v>
      </c>
      <c r="X13" s="31">
        <f>IF(Schedule_Inputs!$C$13="Blueprint",$C13*IF(20-Schedule_Inputs!$B$13=0,Assumptions!$B$21,IF(20-Schedule_Inputs!$B$13=1,Assumptions!$C$21,IF(20-Schedule_Inputs!$B$13=2,Assumptions!$D$21,0))),IF(Schedule_Inputs!$C$13="Launch",$C13*IF(20-Schedule_Inputs!$B$13=0,Assumptions!$B$22,IF(20-Schedule_Inputs!$B$13=1,Assumptions!$C$22,IF(20-Schedule_Inputs!$B$13=2,Assumptions!$D$22,IF(20-Schedule_Inputs!$B$13=3,Assumptions!$B$23,0)))),IF(Schedule_Inputs!$C$13="Office Setup",$C13*IF(20-Schedule_Inputs!$B$13=0,Assumptions!$B$24,IF(20-Schedule_Inputs!$B$13=1,Assumptions!$C$24,IF(20-Schedule_Inputs!$B$13=2,Assumptions!$D$24,0))),IF(OR(Schedule_Inputs!$C$13="Monthly",Schedule_Inputs!$C$13="Periodic"),IF(AND(20&gt;=Schedule_Inputs!$B$13,MOD(20-Schedule_Inputs!$B$13,Schedule_Inputs!$E$13)=0,(20-Schedule_Inputs!$B$13)/Schedule_Inputs!$E$13&lt;Schedule_Inputs!$D$13),$C13/Schedule_Inputs!$D$13,0),0))))</f>
        <v>0</v>
      </c>
      <c r="Y13" s="31">
        <f>IF(Schedule_Inputs!$C$13="Blueprint",$C13*IF(21-Schedule_Inputs!$B$13=0,Assumptions!$B$21,IF(21-Schedule_Inputs!$B$13=1,Assumptions!$C$21,IF(21-Schedule_Inputs!$B$13=2,Assumptions!$D$21,0))),IF(Schedule_Inputs!$C$13="Launch",$C13*IF(21-Schedule_Inputs!$B$13=0,Assumptions!$B$22,IF(21-Schedule_Inputs!$B$13=1,Assumptions!$C$22,IF(21-Schedule_Inputs!$B$13=2,Assumptions!$D$22,IF(21-Schedule_Inputs!$B$13=3,Assumptions!$B$23,0)))),IF(Schedule_Inputs!$C$13="Office Setup",$C13*IF(21-Schedule_Inputs!$B$13=0,Assumptions!$B$24,IF(21-Schedule_Inputs!$B$13=1,Assumptions!$C$24,IF(21-Schedule_Inputs!$B$13=2,Assumptions!$D$24,0))),IF(OR(Schedule_Inputs!$C$13="Monthly",Schedule_Inputs!$C$13="Periodic"),IF(AND(21&gt;=Schedule_Inputs!$B$13,MOD(21-Schedule_Inputs!$B$13,Schedule_Inputs!$E$13)=0,(21-Schedule_Inputs!$B$13)/Schedule_Inputs!$E$13&lt;Schedule_Inputs!$D$13),$C13/Schedule_Inputs!$D$13,0),0))))</f>
        <v>0</v>
      </c>
      <c r="Z13" s="31">
        <f>IF(Schedule_Inputs!$C$13="Blueprint",$C13*IF(22-Schedule_Inputs!$B$13=0,Assumptions!$B$21,IF(22-Schedule_Inputs!$B$13=1,Assumptions!$C$21,IF(22-Schedule_Inputs!$B$13=2,Assumptions!$D$21,0))),IF(Schedule_Inputs!$C$13="Launch",$C13*IF(22-Schedule_Inputs!$B$13=0,Assumptions!$B$22,IF(22-Schedule_Inputs!$B$13=1,Assumptions!$C$22,IF(22-Schedule_Inputs!$B$13=2,Assumptions!$D$22,IF(22-Schedule_Inputs!$B$13=3,Assumptions!$B$23,0)))),IF(Schedule_Inputs!$C$13="Office Setup",$C13*IF(22-Schedule_Inputs!$B$13=0,Assumptions!$B$24,IF(22-Schedule_Inputs!$B$13=1,Assumptions!$C$24,IF(22-Schedule_Inputs!$B$13=2,Assumptions!$D$24,0))),IF(OR(Schedule_Inputs!$C$13="Monthly",Schedule_Inputs!$C$13="Periodic"),IF(AND(22&gt;=Schedule_Inputs!$B$13,MOD(22-Schedule_Inputs!$B$13,Schedule_Inputs!$E$13)=0,(22-Schedule_Inputs!$B$13)/Schedule_Inputs!$E$13&lt;Schedule_Inputs!$D$13),$C13/Schedule_Inputs!$D$13,0),0))))</f>
        <v>0</v>
      </c>
      <c r="AA13" s="31">
        <f>IF(Schedule_Inputs!$C$13="Blueprint",$C13*IF(23-Schedule_Inputs!$B$13=0,Assumptions!$B$21,IF(23-Schedule_Inputs!$B$13=1,Assumptions!$C$21,IF(23-Schedule_Inputs!$B$13=2,Assumptions!$D$21,0))),IF(Schedule_Inputs!$C$13="Launch",$C13*IF(23-Schedule_Inputs!$B$13=0,Assumptions!$B$22,IF(23-Schedule_Inputs!$B$13=1,Assumptions!$C$22,IF(23-Schedule_Inputs!$B$13=2,Assumptions!$D$22,IF(23-Schedule_Inputs!$B$13=3,Assumptions!$B$23,0)))),IF(Schedule_Inputs!$C$13="Office Setup",$C13*IF(23-Schedule_Inputs!$B$13=0,Assumptions!$B$24,IF(23-Schedule_Inputs!$B$13=1,Assumptions!$C$24,IF(23-Schedule_Inputs!$B$13=2,Assumptions!$D$24,0))),IF(OR(Schedule_Inputs!$C$13="Monthly",Schedule_Inputs!$C$13="Periodic"),IF(AND(23&gt;=Schedule_Inputs!$B$13,MOD(23-Schedule_Inputs!$B$13,Schedule_Inputs!$E$13)=0,(23-Schedule_Inputs!$B$13)/Schedule_Inputs!$E$13&lt;Schedule_Inputs!$D$13),$C13/Schedule_Inputs!$D$13,0),0))))</f>
        <v>0</v>
      </c>
      <c r="AB13" s="31">
        <f>IF(Schedule_Inputs!$C$13="Blueprint",$C13*IF(24-Schedule_Inputs!$B$13=0,Assumptions!$B$21,IF(24-Schedule_Inputs!$B$13=1,Assumptions!$C$21,IF(24-Schedule_Inputs!$B$13=2,Assumptions!$D$21,0))),IF(Schedule_Inputs!$C$13="Launch",$C13*IF(24-Schedule_Inputs!$B$13=0,Assumptions!$B$22,IF(24-Schedule_Inputs!$B$13=1,Assumptions!$C$22,IF(24-Schedule_Inputs!$B$13=2,Assumptions!$D$22,IF(24-Schedule_Inputs!$B$13=3,Assumptions!$B$23,0)))),IF(Schedule_Inputs!$C$13="Office Setup",$C13*IF(24-Schedule_Inputs!$B$13=0,Assumptions!$B$24,IF(24-Schedule_Inputs!$B$13=1,Assumptions!$C$24,IF(24-Schedule_Inputs!$B$13=2,Assumptions!$D$24,0))),IF(OR(Schedule_Inputs!$C$13="Monthly",Schedule_Inputs!$C$13="Periodic"),IF(AND(24&gt;=Schedule_Inputs!$B$13,MOD(24-Schedule_Inputs!$B$13,Schedule_Inputs!$E$13)=0,(24-Schedule_Inputs!$B$13)/Schedule_Inputs!$E$13&lt;Schedule_Inputs!$D$13),$C13/Schedule_Inputs!$D$13,0),0))))</f>
        <v>0</v>
      </c>
      <c r="AC13" s="31">
        <f>IF(Schedule_Inputs!$C$13="Blueprint",$C13*IF(25-Schedule_Inputs!$B$13=0,Assumptions!$B$21,IF(25-Schedule_Inputs!$B$13=1,Assumptions!$C$21,IF(25-Schedule_Inputs!$B$13=2,Assumptions!$D$21,0))),IF(Schedule_Inputs!$C$13="Launch",$C13*IF(25-Schedule_Inputs!$B$13=0,Assumptions!$B$22,IF(25-Schedule_Inputs!$B$13=1,Assumptions!$C$22,IF(25-Schedule_Inputs!$B$13=2,Assumptions!$D$22,IF(25-Schedule_Inputs!$B$13=3,Assumptions!$B$23,0)))),IF(Schedule_Inputs!$C$13="Office Setup",$C13*IF(25-Schedule_Inputs!$B$13=0,Assumptions!$B$24,IF(25-Schedule_Inputs!$B$13=1,Assumptions!$C$24,IF(25-Schedule_Inputs!$B$13=2,Assumptions!$D$24,0))),IF(OR(Schedule_Inputs!$C$13="Monthly",Schedule_Inputs!$C$13="Periodic"),IF(AND(25&gt;=Schedule_Inputs!$B$13,MOD(25-Schedule_Inputs!$B$13,Schedule_Inputs!$E$13)=0,(25-Schedule_Inputs!$B$13)/Schedule_Inputs!$E$13&lt;Schedule_Inputs!$D$13),$C13/Schedule_Inputs!$D$13,0),0))))</f>
        <v>0</v>
      </c>
      <c r="AD13" s="31">
        <f>IF(Schedule_Inputs!$C$13="Blueprint",$C13*IF(26-Schedule_Inputs!$B$13=0,Assumptions!$B$21,IF(26-Schedule_Inputs!$B$13=1,Assumptions!$C$21,IF(26-Schedule_Inputs!$B$13=2,Assumptions!$D$21,0))),IF(Schedule_Inputs!$C$13="Launch",$C13*IF(26-Schedule_Inputs!$B$13=0,Assumptions!$B$22,IF(26-Schedule_Inputs!$B$13=1,Assumptions!$C$22,IF(26-Schedule_Inputs!$B$13=2,Assumptions!$D$22,IF(26-Schedule_Inputs!$B$13=3,Assumptions!$B$23,0)))),IF(Schedule_Inputs!$C$13="Office Setup",$C13*IF(26-Schedule_Inputs!$B$13=0,Assumptions!$B$24,IF(26-Schedule_Inputs!$B$13=1,Assumptions!$C$24,IF(26-Schedule_Inputs!$B$13=2,Assumptions!$D$24,0))),IF(OR(Schedule_Inputs!$C$13="Monthly",Schedule_Inputs!$C$13="Periodic"),IF(AND(26&gt;=Schedule_Inputs!$B$13,MOD(26-Schedule_Inputs!$B$13,Schedule_Inputs!$E$13)=0,(26-Schedule_Inputs!$B$13)/Schedule_Inputs!$E$13&lt;Schedule_Inputs!$D$13),$C13/Schedule_Inputs!$D$13,0),0))))</f>
        <v>0</v>
      </c>
      <c r="AE13" s="31">
        <f>IF(Schedule_Inputs!$C$13="Blueprint",$C13*IF(27-Schedule_Inputs!$B$13=0,Assumptions!$B$21,IF(27-Schedule_Inputs!$B$13=1,Assumptions!$C$21,IF(27-Schedule_Inputs!$B$13=2,Assumptions!$D$21,0))),IF(Schedule_Inputs!$C$13="Launch",$C13*IF(27-Schedule_Inputs!$B$13=0,Assumptions!$B$22,IF(27-Schedule_Inputs!$B$13=1,Assumptions!$C$22,IF(27-Schedule_Inputs!$B$13=2,Assumptions!$D$22,IF(27-Schedule_Inputs!$B$13=3,Assumptions!$B$23,0)))),IF(Schedule_Inputs!$C$13="Office Setup",$C13*IF(27-Schedule_Inputs!$B$13=0,Assumptions!$B$24,IF(27-Schedule_Inputs!$B$13=1,Assumptions!$C$24,IF(27-Schedule_Inputs!$B$13=2,Assumptions!$D$24,0))),IF(OR(Schedule_Inputs!$C$13="Monthly",Schedule_Inputs!$C$13="Periodic"),IF(AND(27&gt;=Schedule_Inputs!$B$13,MOD(27-Schedule_Inputs!$B$13,Schedule_Inputs!$E$13)=0,(27-Schedule_Inputs!$B$13)/Schedule_Inputs!$E$13&lt;Schedule_Inputs!$D$13),$C13/Schedule_Inputs!$D$13,0),0))))</f>
        <v>0</v>
      </c>
      <c r="AF13" s="31">
        <f>IF(Schedule_Inputs!$C$13="Blueprint",$C13*IF(28-Schedule_Inputs!$B$13=0,Assumptions!$B$21,IF(28-Schedule_Inputs!$B$13=1,Assumptions!$C$21,IF(28-Schedule_Inputs!$B$13=2,Assumptions!$D$21,0))),IF(Schedule_Inputs!$C$13="Launch",$C13*IF(28-Schedule_Inputs!$B$13=0,Assumptions!$B$22,IF(28-Schedule_Inputs!$B$13=1,Assumptions!$C$22,IF(28-Schedule_Inputs!$B$13=2,Assumptions!$D$22,IF(28-Schedule_Inputs!$B$13=3,Assumptions!$B$23,0)))),IF(Schedule_Inputs!$C$13="Office Setup",$C13*IF(28-Schedule_Inputs!$B$13=0,Assumptions!$B$24,IF(28-Schedule_Inputs!$B$13=1,Assumptions!$C$24,IF(28-Schedule_Inputs!$B$13=2,Assumptions!$D$24,0))),IF(OR(Schedule_Inputs!$C$13="Monthly",Schedule_Inputs!$C$13="Periodic"),IF(AND(28&gt;=Schedule_Inputs!$B$13,MOD(28-Schedule_Inputs!$B$13,Schedule_Inputs!$E$13)=0,(28-Schedule_Inputs!$B$13)/Schedule_Inputs!$E$13&lt;Schedule_Inputs!$D$13),$C13/Schedule_Inputs!$D$13,0),0))))</f>
        <v>0</v>
      </c>
      <c r="AG13" s="31">
        <f>IF(Schedule_Inputs!$C$13="Blueprint",$C13*IF(29-Schedule_Inputs!$B$13=0,Assumptions!$B$21,IF(29-Schedule_Inputs!$B$13=1,Assumptions!$C$21,IF(29-Schedule_Inputs!$B$13=2,Assumptions!$D$21,0))),IF(Schedule_Inputs!$C$13="Launch",$C13*IF(29-Schedule_Inputs!$B$13=0,Assumptions!$B$22,IF(29-Schedule_Inputs!$B$13=1,Assumptions!$C$22,IF(29-Schedule_Inputs!$B$13=2,Assumptions!$D$22,IF(29-Schedule_Inputs!$B$13=3,Assumptions!$B$23,0)))),IF(Schedule_Inputs!$C$13="Office Setup",$C13*IF(29-Schedule_Inputs!$B$13=0,Assumptions!$B$24,IF(29-Schedule_Inputs!$B$13=1,Assumptions!$C$24,IF(29-Schedule_Inputs!$B$13=2,Assumptions!$D$24,0))),IF(OR(Schedule_Inputs!$C$13="Monthly",Schedule_Inputs!$C$13="Periodic"),IF(AND(29&gt;=Schedule_Inputs!$B$13,MOD(29-Schedule_Inputs!$B$13,Schedule_Inputs!$E$13)=0,(29-Schedule_Inputs!$B$13)/Schedule_Inputs!$E$13&lt;Schedule_Inputs!$D$13),$C13/Schedule_Inputs!$D$13,0),0))))</f>
        <v>0</v>
      </c>
      <c r="AH13" s="31">
        <f>IF(Schedule_Inputs!$C$13="Blueprint",$C13*IF(30-Schedule_Inputs!$B$13=0,Assumptions!$B$21,IF(30-Schedule_Inputs!$B$13=1,Assumptions!$C$21,IF(30-Schedule_Inputs!$B$13=2,Assumptions!$D$21,0))),IF(Schedule_Inputs!$C$13="Launch",$C13*IF(30-Schedule_Inputs!$B$13=0,Assumptions!$B$22,IF(30-Schedule_Inputs!$B$13=1,Assumptions!$C$22,IF(30-Schedule_Inputs!$B$13=2,Assumptions!$D$22,IF(30-Schedule_Inputs!$B$13=3,Assumptions!$B$23,0)))),IF(Schedule_Inputs!$C$13="Office Setup",$C13*IF(30-Schedule_Inputs!$B$13=0,Assumptions!$B$24,IF(30-Schedule_Inputs!$B$13=1,Assumptions!$C$24,IF(30-Schedule_Inputs!$B$13=2,Assumptions!$D$24,0))),IF(OR(Schedule_Inputs!$C$13="Monthly",Schedule_Inputs!$C$13="Periodic"),IF(AND(30&gt;=Schedule_Inputs!$B$13,MOD(30-Schedule_Inputs!$B$13,Schedule_Inputs!$E$13)=0,(30-Schedule_Inputs!$B$13)/Schedule_Inputs!$E$13&lt;Schedule_Inputs!$D$13),$C13/Schedule_Inputs!$D$13,0),0))))</f>
        <v>0</v>
      </c>
      <c r="AI13" s="31">
        <f>IF(Schedule_Inputs!$C$13="Blueprint",$C13*IF(31-Schedule_Inputs!$B$13=0,Assumptions!$B$21,IF(31-Schedule_Inputs!$B$13=1,Assumptions!$C$21,IF(31-Schedule_Inputs!$B$13=2,Assumptions!$D$21,0))),IF(Schedule_Inputs!$C$13="Launch",$C13*IF(31-Schedule_Inputs!$B$13=0,Assumptions!$B$22,IF(31-Schedule_Inputs!$B$13=1,Assumptions!$C$22,IF(31-Schedule_Inputs!$B$13=2,Assumptions!$D$22,IF(31-Schedule_Inputs!$B$13=3,Assumptions!$B$23,0)))),IF(Schedule_Inputs!$C$13="Office Setup",$C13*IF(31-Schedule_Inputs!$B$13=0,Assumptions!$B$24,IF(31-Schedule_Inputs!$B$13=1,Assumptions!$C$24,IF(31-Schedule_Inputs!$B$13=2,Assumptions!$D$24,0))),IF(OR(Schedule_Inputs!$C$13="Monthly",Schedule_Inputs!$C$13="Periodic"),IF(AND(31&gt;=Schedule_Inputs!$B$13,MOD(31-Schedule_Inputs!$B$13,Schedule_Inputs!$E$13)=0,(31-Schedule_Inputs!$B$13)/Schedule_Inputs!$E$13&lt;Schedule_Inputs!$D$13),$C13/Schedule_Inputs!$D$13,0),0))))</f>
        <v>0</v>
      </c>
      <c r="AJ13" s="31">
        <f>IF(Schedule_Inputs!$C$13="Blueprint",$C13*IF(32-Schedule_Inputs!$B$13=0,Assumptions!$B$21,IF(32-Schedule_Inputs!$B$13=1,Assumptions!$C$21,IF(32-Schedule_Inputs!$B$13=2,Assumptions!$D$21,0))),IF(Schedule_Inputs!$C$13="Launch",$C13*IF(32-Schedule_Inputs!$B$13=0,Assumptions!$B$22,IF(32-Schedule_Inputs!$B$13=1,Assumptions!$C$22,IF(32-Schedule_Inputs!$B$13=2,Assumptions!$D$22,IF(32-Schedule_Inputs!$B$13=3,Assumptions!$B$23,0)))),IF(Schedule_Inputs!$C$13="Office Setup",$C13*IF(32-Schedule_Inputs!$B$13=0,Assumptions!$B$24,IF(32-Schedule_Inputs!$B$13=1,Assumptions!$C$24,IF(32-Schedule_Inputs!$B$13=2,Assumptions!$D$24,0))),IF(OR(Schedule_Inputs!$C$13="Monthly",Schedule_Inputs!$C$13="Periodic"),IF(AND(32&gt;=Schedule_Inputs!$B$13,MOD(32-Schedule_Inputs!$B$13,Schedule_Inputs!$E$13)=0,(32-Schedule_Inputs!$B$13)/Schedule_Inputs!$E$13&lt;Schedule_Inputs!$D$13),$C13/Schedule_Inputs!$D$13,0),0))))</f>
        <v>0</v>
      </c>
      <c r="AK13" s="31">
        <f>IF(Schedule_Inputs!$C$13="Blueprint",$C13*IF(33-Schedule_Inputs!$B$13=0,Assumptions!$B$21,IF(33-Schedule_Inputs!$B$13=1,Assumptions!$C$21,IF(33-Schedule_Inputs!$B$13=2,Assumptions!$D$21,0))),IF(Schedule_Inputs!$C$13="Launch",$C13*IF(33-Schedule_Inputs!$B$13=0,Assumptions!$B$22,IF(33-Schedule_Inputs!$B$13=1,Assumptions!$C$22,IF(33-Schedule_Inputs!$B$13=2,Assumptions!$D$22,IF(33-Schedule_Inputs!$B$13=3,Assumptions!$B$23,0)))),IF(Schedule_Inputs!$C$13="Office Setup",$C13*IF(33-Schedule_Inputs!$B$13=0,Assumptions!$B$24,IF(33-Schedule_Inputs!$B$13=1,Assumptions!$C$24,IF(33-Schedule_Inputs!$B$13=2,Assumptions!$D$24,0))),IF(OR(Schedule_Inputs!$C$13="Monthly",Schedule_Inputs!$C$13="Periodic"),IF(AND(33&gt;=Schedule_Inputs!$B$13,MOD(33-Schedule_Inputs!$B$13,Schedule_Inputs!$E$13)=0,(33-Schedule_Inputs!$B$13)/Schedule_Inputs!$E$13&lt;Schedule_Inputs!$D$13),$C13/Schedule_Inputs!$D$13,0),0))))</f>
        <v>0</v>
      </c>
      <c r="AL13" s="31">
        <f>IF(Schedule_Inputs!$C$13="Blueprint",$C13*IF(34-Schedule_Inputs!$B$13=0,Assumptions!$B$21,IF(34-Schedule_Inputs!$B$13=1,Assumptions!$C$21,IF(34-Schedule_Inputs!$B$13=2,Assumptions!$D$21,0))),IF(Schedule_Inputs!$C$13="Launch",$C13*IF(34-Schedule_Inputs!$B$13=0,Assumptions!$B$22,IF(34-Schedule_Inputs!$B$13=1,Assumptions!$C$22,IF(34-Schedule_Inputs!$B$13=2,Assumptions!$D$22,IF(34-Schedule_Inputs!$B$13=3,Assumptions!$B$23,0)))),IF(Schedule_Inputs!$C$13="Office Setup",$C13*IF(34-Schedule_Inputs!$B$13=0,Assumptions!$B$24,IF(34-Schedule_Inputs!$B$13=1,Assumptions!$C$24,IF(34-Schedule_Inputs!$B$13=2,Assumptions!$D$24,0))),IF(OR(Schedule_Inputs!$C$13="Monthly",Schedule_Inputs!$C$13="Periodic"),IF(AND(34&gt;=Schedule_Inputs!$B$13,MOD(34-Schedule_Inputs!$B$13,Schedule_Inputs!$E$13)=0,(34-Schedule_Inputs!$B$13)/Schedule_Inputs!$E$13&lt;Schedule_Inputs!$D$13),$C13/Schedule_Inputs!$D$13,0),0))))</f>
        <v>0</v>
      </c>
      <c r="AM13" s="31">
        <f>IF(Schedule_Inputs!$C$13="Blueprint",$C13*IF(35-Schedule_Inputs!$B$13=0,Assumptions!$B$21,IF(35-Schedule_Inputs!$B$13=1,Assumptions!$C$21,IF(35-Schedule_Inputs!$B$13=2,Assumptions!$D$21,0))),IF(Schedule_Inputs!$C$13="Launch",$C13*IF(35-Schedule_Inputs!$B$13=0,Assumptions!$B$22,IF(35-Schedule_Inputs!$B$13=1,Assumptions!$C$22,IF(35-Schedule_Inputs!$B$13=2,Assumptions!$D$22,IF(35-Schedule_Inputs!$B$13=3,Assumptions!$B$23,0)))),IF(Schedule_Inputs!$C$13="Office Setup",$C13*IF(35-Schedule_Inputs!$B$13=0,Assumptions!$B$24,IF(35-Schedule_Inputs!$B$13=1,Assumptions!$C$24,IF(35-Schedule_Inputs!$B$13=2,Assumptions!$D$24,0))),IF(OR(Schedule_Inputs!$C$13="Monthly",Schedule_Inputs!$C$13="Periodic"),IF(AND(35&gt;=Schedule_Inputs!$B$13,MOD(35-Schedule_Inputs!$B$13,Schedule_Inputs!$E$13)=0,(35-Schedule_Inputs!$B$13)/Schedule_Inputs!$E$13&lt;Schedule_Inputs!$D$13),$C13/Schedule_Inputs!$D$13,0),0))))</f>
        <v>0</v>
      </c>
      <c r="AN13" s="31">
        <f>IF(Schedule_Inputs!$C$13="Blueprint",$C13*IF(36-Schedule_Inputs!$B$13=0,Assumptions!$B$21,IF(36-Schedule_Inputs!$B$13=1,Assumptions!$C$21,IF(36-Schedule_Inputs!$B$13=2,Assumptions!$D$21,0))),IF(Schedule_Inputs!$C$13="Launch",$C13*IF(36-Schedule_Inputs!$B$13=0,Assumptions!$B$22,IF(36-Schedule_Inputs!$B$13=1,Assumptions!$C$22,IF(36-Schedule_Inputs!$B$13=2,Assumptions!$D$22,IF(36-Schedule_Inputs!$B$13=3,Assumptions!$B$23,0)))),IF(Schedule_Inputs!$C$13="Office Setup",$C13*IF(36-Schedule_Inputs!$B$13=0,Assumptions!$B$24,IF(36-Schedule_Inputs!$B$13=1,Assumptions!$C$24,IF(36-Schedule_Inputs!$B$13=2,Assumptions!$D$24,0))),IF(OR(Schedule_Inputs!$C$13="Monthly",Schedule_Inputs!$C$13="Periodic"),IF(AND(36&gt;=Schedule_Inputs!$B$13,MOD(36-Schedule_Inputs!$B$13,Schedule_Inputs!$E$13)=0,(36-Schedule_Inputs!$B$13)/Schedule_Inputs!$E$13&lt;Schedule_Inputs!$D$13),$C13/Schedule_Inputs!$D$13,0),0))))</f>
        <v>0</v>
      </c>
    </row>
    <row r="14" spans="1:40">
      <c r="A14" s="29" t="s">
        <v>244</v>
      </c>
      <c r="B14" s="29">
        <v>2</v>
      </c>
      <c r="C14" s="30">
        <v>50000</v>
      </c>
      <c r="D14" s="31" t="s">
        <v>233</v>
      </c>
      <c r="E14" s="31">
        <f>IF(Schedule_Inputs!$C$14="Blueprint",$C14*IF(1-Schedule_Inputs!$B$14=0,Assumptions!$B$21,IF(1-Schedule_Inputs!$B$14=1,Assumptions!$C$21,IF(1-Schedule_Inputs!$B$14=2,Assumptions!$D$21,0))),IF(Schedule_Inputs!$C$14="Launch",$C14*IF(1-Schedule_Inputs!$B$14=0,Assumptions!$B$22,IF(1-Schedule_Inputs!$B$14=1,Assumptions!$C$22,IF(1-Schedule_Inputs!$B$14=2,Assumptions!$D$22,IF(1-Schedule_Inputs!$B$14=3,Assumptions!$B$23,0)))),IF(Schedule_Inputs!$C$14="Office Setup",$C14*IF(1-Schedule_Inputs!$B$14=0,Assumptions!$B$24,IF(1-Schedule_Inputs!$B$14=1,Assumptions!$C$24,IF(1-Schedule_Inputs!$B$14=2,Assumptions!$D$24,0))),IF(OR(Schedule_Inputs!$C$14="Monthly",Schedule_Inputs!$C$14="Periodic"),IF(AND(1&gt;=Schedule_Inputs!$B$14,MOD(1-Schedule_Inputs!$B$14,Schedule_Inputs!$E$14)=0,(1-Schedule_Inputs!$B$14)/Schedule_Inputs!$E$14&lt;Schedule_Inputs!$D$14),$C14/Schedule_Inputs!$D$14,0),0))))</f>
        <v>0</v>
      </c>
      <c r="F14" s="31">
        <f>IF(Schedule_Inputs!$C$14="Blueprint",$C14*IF(2-Schedule_Inputs!$B$14=0,Assumptions!$B$21,IF(2-Schedule_Inputs!$B$14=1,Assumptions!$C$21,IF(2-Schedule_Inputs!$B$14=2,Assumptions!$D$21,0))),IF(Schedule_Inputs!$C$14="Launch",$C14*IF(2-Schedule_Inputs!$B$14=0,Assumptions!$B$22,IF(2-Schedule_Inputs!$B$14=1,Assumptions!$C$22,IF(2-Schedule_Inputs!$B$14=2,Assumptions!$D$22,IF(2-Schedule_Inputs!$B$14=3,Assumptions!$B$23,0)))),IF(Schedule_Inputs!$C$14="Office Setup",$C14*IF(2-Schedule_Inputs!$B$14=0,Assumptions!$B$24,IF(2-Schedule_Inputs!$B$14=1,Assumptions!$C$24,IF(2-Schedule_Inputs!$B$14=2,Assumptions!$D$24,0))),IF(OR(Schedule_Inputs!$C$14="Monthly",Schedule_Inputs!$C$14="Periodic"),IF(AND(2&gt;=Schedule_Inputs!$B$14,MOD(2-Schedule_Inputs!$B$14,Schedule_Inputs!$E$14)=0,(2-Schedule_Inputs!$B$14)/Schedule_Inputs!$E$14&lt;Schedule_Inputs!$D$14),$C14/Schedule_Inputs!$D$14,0),0))))</f>
        <v>0</v>
      </c>
      <c r="G14" s="31">
        <f>IF(Schedule_Inputs!$C$14="Blueprint",$C14*IF(3-Schedule_Inputs!$B$14=0,Assumptions!$B$21,IF(3-Schedule_Inputs!$B$14=1,Assumptions!$C$21,IF(3-Schedule_Inputs!$B$14=2,Assumptions!$D$21,0))),IF(Schedule_Inputs!$C$14="Launch",$C14*IF(3-Schedule_Inputs!$B$14=0,Assumptions!$B$22,IF(3-Schedule_Inputs!$B$14=1,Assumptions!$C$22,IF(3-Schedule_Inputs!$B$14=2,Assumptions!$D$22,IF(3-Schedule_Inputs!$B$14=3,Assumptions!$B$23,0)))),IF(Schedule_Inputs!$C$14="Office Setup",$C14*IF(3-Schedule_Inputs!$B$14=0,Assumptions!$B$24,IF(3-Schedule_Inputs!$B$14=1,Assumptions!$C$24,IF(3-Schedule_Inputs!$B$14=2,Assumptions!$D$24,0))),IF(OR(Schedule_Inputs!$C$14="Monthly",Schedule_Inputs!$C$14="Periodic"),IF(AND(3&gt;=Schedule_Inputs!$B$14,MOD(3-Schedule_Inputs!$B$14,Schedule_Inputs!$E$14)=0,(3-Schedule_Inputs!$B$14)/Schedule_Inputs!$E$14&lt;Schedule_Inputs!$D$14),$C14/Schedule_Inputs!$D$14,0),0))))</f>
        <v>0</v>
      </c>
      <c r="H14" s="31">
        <f>IF(Schedule_Inputs!$C$14="Blueprint",$C14*IF(4-Schedule_Inputs!$B$14=0,Assumptions!$B$21,IF(4-Schedule_Inputs!$B$14=1,Assumptions!$C$21,IF(4-Schedule_Inputs!$B$14=2,Assumptions!$D$21,0))),IF(Schedule_Inputs!$C$14="Launch",$C14*IF(4-Schedule_Inputs!$B$14=0,Assumptions!$B$22,IF(4-Schedule_Inputs!$B$14=1,Assumptions!$C$22,IF(4-Schedule_Inputs!$B$14=2,Assumptions!$D$22,IF(4-Schedule_Inputs!$B$14=3,Assumptions!$B$23,0)))),IF(Schedule_Inputs!$C$14="Office Setup",$C14*IF(4-Schedule_Inputs!$B$14=0,Assumptions!$B$24,IF(4-Schedule_Inputs!$B$14=1,Assumptions!$C$24,IF(4-Schedule_Inputs!$B$14=2,Assumptions!$D$24,0))),IF(OR(Schedule_Inputs!$C$14="Monthly",Schedule_Inputs!$C$14="Periodic"),IF(AND(4&gt;=Schedule_Inputs!$B$14,MOD(4-Schedule_Inputs!$B$14,Schedule_Inputs!$E$14)=0,(4-Schedule_Inputs!$B$14)/Schedule_Inputs!$E$14&lt;Schedule_Inputs!$D$14),$C14/Schedule_Inputs!$D$14,0),0))))</f>
        <v>0</v>
      </c>
      <c r="I14" s="31">
        <f>IF(Schedule_Inputs!$C$14="Blueprint",$C14*IF(5-Schedule_Inputs!$B$14=0,Assumptions!$B$21,IF(5-Schedule_Inputs!$B$14=1,Assumptions!$C$21,IF(5-Schedule_Inputs!$B$14=2,Assumptions!$D$21,0))),IF(Schedule_Inputs!$C$14="Launch",$C14*IF(5-Schedule_Inputs!$B$14=0,Assumptions!$B$22,IF(5-Schedule_Inputs!$B$14=1,Assumptions!$C$22,IF(5-Schedule_Inputs!$B$14=2,Assumptions!$D$22,IF(5-Schedule_Inputs!$B$14=3,Assumptions!$B$23,0)))),IF(Schedule_Inputs!$C$14="Office Setup",$C14*IF(5-Schedule_Inputs!$B$14=0,Assumptions!$B$24,IF(5-Schedule_Inputs!$B$14=1,Assumptions!$C$24,IF(5-Schedule_Inputs!$B$14=2,Assumptions!$D$24,0))),IF(OR(Schedule_Inputs!$C$14="Monthly",Schedule_Inputs!$C$14="Periodic"),IF(AND(5&gt;=Schedule_Inputs!$B$14,MOD(5-Schedule_Inputs!$B$14,Schedule_Inputs!$E$14)=0,(5-Schedule_Inputs!$B$14)/Schedule_Inputs!$E$14&lt;Schedule_Inputs!$D$14),$C14/Schedule_Inputs!$D$14,0),0))))</f>
        <v>0</v>
      </c>
      <c r="J14" s="31">
        <f>IF(Schedule_Inputs!$C$14="Blueprint",$C14*IF(6-Schedule_Inputs!$B$14=0,Assumptions!$B$21,IF(6-Schedule_Inputs!$B$14=1,Assumptions!$C$21,IF(6-Schedule_Inputs!$B$14=2,Assumptions!$D$21,0))),IF(Schedule_Inputs!$C$14="Launch",$C14*IF(6-Schedule_Inputs!$B$14=0,Assumptions!$B$22,IF(6-Schedule_Inputs!$B$14=1,Assumptions!$C$22,IF(6-Schedule_Inputs!$B$14=2,Assumptions!$D$22,IF(6-Schedule_Inputs!$B$14=3,Assumptions!$B$23,0)))),IF(Schedule_Inputs!$C$14="Office Setup",$C14*IF(6-Schedule_Inputs!$B$14=0,Assumptions!$B$24,IF(6-Schedule_Inputs!$B$14=1,Assumptions!$C$24,IF(6-Schedule_Inputs!$B$14=2,Assumptions!$D$24,0))),IF(OR(Schedule_Inputs!$C$14="Monthly",Schedule_Inputs!$C$14="Periodic"),IF(AND(6&gt;=Schedule_Inputs!$B$14,MOD(6-Schedule_Inputs!$B$14,Schedule_Inputs!$E$14)=0,(6-Schedule_Inputs!$B$14)/Schedule_Inputs!$E$14&lt;Schedule_Inputs!$D$14),$C14/Schedule_Inputs!$D$14,0),0))))</f>
        <v>0</v>
      </c>
      <c r="K14" s="31">
        <f>IF(Schedule_Inputs!$C$14="Blueprint",$C14*IF(7-Schedule_Inputs!$B$14=0,Assumptions!$B$21,IF(7-Schedule_Inputs!$B$14=1,Assumptions!$C$21,IF(7-Schedule_Inputs!$B$14=2,Assumptions!$D$21,0))),IF(Schedule_Inputs!$C$14="Launch",$C14*IF(7-Schedule_Inputs!$B$14=0,Assumptions!$B$22,IF(7-Schedule_Inputs!$B$14=1,Assumptions!$C$22,IF(7-Schedule_Inputs!$B$14=2,Assumptions!$D$22,IF(7-Schedule_Inputs!$B$14=3,Assumptions!$B$23,0)))),IF(Schedule_Inputs!$C$14="Office Setup",$C14*IF(7-Schedule_Inputs!$B$14=0,Assumptions!$B$24,IF(7-Schedule_Inputs!$B$14=1,Assumptions!$C$24,IF(7-Schedule_Inputs!$B$14=2,Assumptions!$D$24,0))),IF(OR(Schedule_Inputs!$C$14="Monthly",Schedule_Inputs!$C$14="Periodic"),IF(AND(7&gt;=Schedule_Inputs!$B$14,MOD(7-Schedule_Inputs!$B$14,Schedule_Inputs!$E$14)=0,(7-Schedule_Inputs!$B$14)/Schedule_Inputs!$E$14&lt;Schedule_Inputs!$D$14),$C14/Schedule_Inputs!$D$14,0),0))))</f>
        <v>0</v>
      </c>
      <c r="L14" s="31">
        <f>IF(Schedule_Inputs!$C$14="Blueprint",$C14*IF(8-Schedule_Inputs!$B$14=0,Assumptions!$B$21,IF(8-Schedule_Inputs!$B$14=1,Assumptions!$C$21,IF(8-Schedule_Inputs!$B$14=2,Assumptions!$D$21,0))),IF(Schedule_Inputs!$C$14="Launch",$C14*IF(8-Schedule_Inputs!$B$14=0,Assumptions!$B$22,IF(8-Schedule_Inputs!$B$14=1,Assumptions!$C$22,IF(8-Schedule_Inputs!$B$14=2,Assumptions!$D$22,IF(8-Schedule_Inputs!$B$14=3,Assumptions!$B$23,0)))),IF(Schedule_Inputs!$C$14="Office Setup",$C14*IF(8-Schedule_Inputs!$B$14=0,Assumptions!$B$24,IF(8-Schedule_Inputs!$B$14=1,Assumptions!$C$24,IF(8-Schedule_Inputs!$B$14=2,Assumptions!$D$24,0))),IF(OR(Schedule_Inputs!$C$14="Monthly",Schedule_Inputs!$C$14="Periodic"),IF(AND(8&gt;=Schedule_Inputs!$B$14,MOD(8-Schedule_Inputs!$B$14,Schedule_Inputs!$E$14)=0,(8-Schedule_Inputs!$B$14)/Schedule_Inputs!$E$14&lt;Schedule_Inputs!$D$14),$C14/Schedule_Inputs!$D$14,0),0))))</f>
        <v>0</v>
      </c>
      <c r="M14" s="31">
        <f>IF(Schedule_Inputs!$C$14="Blueprint",$C14*IF(9-Schedule_Inputs!$B$14=0,Assumptions!$B$21,IF(9-Schedule_Inputs!$B$14=1,Assumptions!$C$21,IF(9-Schedule_Inputs!$B$14=2,Assumptions!$D$21,0))),IF(Schedule_Inputs!$C$14="Launch",$C14*IF(9-Schedule_Inputs!$B$14=0,Assumptions!$B$22,IF(9-Schedule_Inputs!$B$14=1,Assumptions!$C$22,IF(9-Schedule_Inputs!$B$14=2,Assumptions!$D$22,IF(9-Schedule_Inputs!$B$14=3,Assumptions!$B$23,0)))),IF(Schedule_Inputs!$C$14="Office Setup",$C14*IF(9-Schedule_Inputs!$B$14=0,Assumptions!$B$24,IF(9-Schedule_Inputs!$B$14=1,Assumptions!$C$24,IF(9-Schedule_Inputs!$B$14=2,Assumptions!$D$24,0))),IF(OR(Schedule_Inputs!$C$14="Monthly",Schedule_Inputs!$C$14="Periodic"),IF(AND(9&gt;=Schedule_Inputs!$B$14,MOD(9-Schedule_Inputs!$B$14,Schedule_Inputs!$E$14)=0,(9-Schedule_Inputs!$B$14)/Schedule_Inputs!$E$14&lt;Schedule_Inputs!$D$14),$C14/Schedule_Inputs!$D$14,0),0))))</f>
        <v>0</v>
      </c>
      <c r="N14" s="31">
        <f>IF(Schedule_Inputs!$C$14="Blueprint",$C14*IF(10-Schedule_Inputs!$B$14=0,Assumptions!$B$21,IF(10-Schedule_Inputs!$B$14=1,Assumptions!$C$21,IF(10-Schedule_Inputs!$B$14=2,Assumptions!$D$21,0))),IF(Schedule_Inputs!$C$14="Launch",$C14*IF(10-Schedule_Inputs!$B$14=0,Assumptions!$B$22,IF(10-Schedule_Inputs!$B$14=1,Assumptions!$C$22,IF(10-Schedule_Inputs!$B$14=2,Assumptions!$D$22,IF(10-Schedule_Inputs!$B$14=3,Assumptions!$B$23,0)))),IF(Schedule_Inputs!$C$14="Office Setup",$C14*IF(10-Schedule_Inputs!$B$14=0,Assumptions!$B$24,IF(10-Schedule_Inputs!$B$14=1,Assumptions!$C$24,IF(10-Schedule_Inputs!$B$14=2,Assumptions!$D$24,0))),IF(OR(Schedule_Inputs!$C$14="Monthly",Schedule_Inputs!$C$14="Periodic"),IF(AND(10&gt;=Schedule_Inputs!$B$14,MOD(10-Schedule_Inputs!$B$14,Schedule_Inputs!$E$14)=0,(10-Schedule_Inputs!$B$14)/Schedule_Inputs!$E$14&lt;Schedule_Inputs!$D$14),$C14/Schedule_Inputs!$D$14,0),0))))</f>
        <v>0</v>
      </c>
      <c r="O14" s="31">
        <f>IF(Schedule_Inputs!$C$14="Blueprint",$C14*IF(11-Schedule_Inputs!$B$14=0,Assumptions!$B$21,IF(11-Schedule_Inputs!$B$14=1,Assumptions!$C$21,IF(11-Schedule_Inputs!$B$14=2,Assumptions!$D$21,0))),IF(Schedule_Inputs!$C$14="Launch",$C14*IF(11-Schedule_Inputs!$B$14=0,Assumptions!$B$22,IF(11-Schedule_Inputs!$B$14=1,Assumptions!$C$22,IF(11-Schedule_Inputs!$B$14=2,Assumptions!$D$22,IF(11-Schedule_Inputs!$B$14=3,Assumptions!$B$23,0)))),IF(Schedule_Inputs!$C$14="Office Setup",$C14*IF(11-Schedule_Inputs!$B$14=0,Assumptions!$B$24,IF(11-Schedule_Inputs!$B$14=1,Assumptions!$C$24,IF(11-Schedule_Inputs!$B$14=2,Assumptions!$D$24,0))),IF(OR(Schedule_Inputs!$C$14="Monthly",Schedule_Inputs!$C$14="Periodic"),IF(AND(11&gt;=Schedule_Inputs!$B$14,MOD(11-Schedule_Inputs!$B$14,Schedule_Inputs!$E$14)=0,(11-Schedule_Inputs!$B$14)/Schedule_Inputs!$E$14&lt;Schedule_Inputs!$D$14),$C14/Schedule_Inputs!$D$14,0),0))))</f>
        <v>0</v>
      </c>
      <c r="P14" s="31">
        <f>IF(Schedule_Inputs!$C$14="Blueprint",$C14*IF(12-Schedule_Inputs!$B$14=0,Assumptions!$B$21,IF(12-Schedule_Inputs!$B$14=1,Assumptions!$C$21,IF(12-Schedule_Inputs!$B$14=2,Assumptions!$D$21,0))),IF(Schedule_Inputs!$C$14="Launch",$C14*IF(12-Schedule_Inputs!$B$14=0,Assumptions!$B$22,IF(12-Schedule_Inputs!$B$14=1,Assumptions!$C$22,IF(12-Schedule_Inputs!$B$14=2,Assumptions!$D$22,IF(12-Schedule_Inputs!$B$14=3,Assumptions!$B$23,0)))),IF(Schedule_Inputs!$C$14="Office Setup",$C14*IF(12-Schedule_Inputs!$B$14=0,Assumptions!$B$24,IF(12-Schedule_Inputs!$B$14=1,Assumptions!$C$24,IF(12-Schedule_Inputs!$B$14=2,Assumptions!$D$24,0))),IF(OR(Schedule_Inputs!$C$14="Monthly",Schedule_Inputs!$C$14="Periodic"),IF(AND(12&gt;=Schedule_Inputs!$B$14,MOD(12-Schedule_Inputs!$B$14,Schedule_Inputs!$E$14)=0,(12-Schedule_Inputs!$B$14)/Schedule_Inputs!$E$14&lt;Schedule_Inputs!$D$14),$C14/Schedule_Inputs!$D$14,0),0))))</f>
        <v>0</v>
      </c>
      <c r="Q14" s="31">
        <f>IF(Schedule_Inputs!$C$14="Blueprint",$C14*IF(13-Schedule_Inputs!$B$14=0,Assumptions!$B$21,IF(13-Schedule_Inputs!$B$14=1,Assumptions!$C$21,IF(13-Schedule_Inputs!$B$14=2,Assumptions!$D$21,0))),IF(Schedule_Inputs!$C$14="Launch",$C14*IF(13-Schedule_Inputs!$B$14=0,Assumptions!$B$22,IF(13-Schedule_Inputs!$B$14=1,Assumptions!$C$22,IF(13-Schedule_Inputs!$B$14=2,Assumptions!$D$22,IF(13-Schedule_Inputs!$B$14=3,Assumptions!$B$23,0)))),IF(Schedule_Inputs!$C$14="Office Setup",$C14*IF(13-Schedule_Inputs!$B$14=0,Assumptions!$B$24,IF(13-Schedule_Inputs!$B$14=1,Assumptions!$C$24,IF(13-Schedule_Inputs!$B$14=2,Assumptions!$D$24,0))),IF(OR(Schedule_Inputs!$C$14="Monthly",Schedule_Inputs!$C$14="Periodic"),IF(AND(13&gt;=Schedule_Inputs!$B$14,MOD(13-Schedule_Inputs!$B$14,Schedule_Inputs!$E$14)=0,(13-Schedule_Inputs!$B$14)/Schedule_Inputs!$E$14&lt;Schedule_Inputs!$D$14),$C14/Schedule_Inputs!$D$14,0),0))))</f>
        <v>0</v>
      </c>
      <c r="R14" s="31">
        <f>IF(Schedule_Inputs!$C$14="Blueprint",$C14*IF(14-Schedule_Inputs!$B$14=0,Assumptions!$B$21,IF(14-Schedule_Inputs!$B$14=1,Assumptions!$C$21,IF(14-Schedule_Inputs!$B$14=2,Assumptions!$D$21,0))),IF(Schedule_Inputs!$C$14="Launch",$C14*IF(14-Schedule_Inputs!$B$14=0,Assumptions!$B$22,IF(14-Schedule_Inputs!$B$14=1,Assumptions!$C$22,IF(14-Schedule_Inputs!$B$14=2,Assumptions!$D$22,IF(14-Schedule_Inputs!$B$14=3,Assumptions!$B$23,0)))),IF(Schedule_Inputs!$C$14="Office Setup",$C14*IF(14-Schedule_Inputs!$B$14=0,Assumptions!$B$24,IF(14-Schedule_Inputs!$B$14=1,Assumptions!$C$24,IF(14-Schedule_Inputs!$B$14=2,Assumptions!$D$24,0))),IF(OR(Schedule_Inputs!$C$14="Monthly",Schedule_Inputs!$C$14="Periodic"),IF(AND(14&gt;=Schedule_Inputs!$B$14,MOD(14-Schedule_Inputs!$B$14,Schedule_Inputs!$E$14)=0,(14-Schedule_Inputs!$B$14)/Schedule_Inputs!$E$14&lt;Schedule_Inputs!$D$14),$C14/Schedule_Inputs!$D$14,0),0))))</f>
        <v>0</v>
      </c>
      <c r="S14" s="31">
        <f>IF(Schedule_Inputs!$C$14="Blueprint",$C14*IF(15-Schedule_Inputs!$B$14=0,Assumptions!$B$21,IF(15-Schedule_Inputs!$B$14=1,Assumptions!$C$21,IF(15-Schedule_Inputs!$B$14=2,Assumptions!$D$21,0))),IF(Schedule_Inputs!$C$14="Launch",$C14*IF(15-Schedule_Inputs!$B$14=0,Assumptions!$B$22,IF(15-Schedule_Inputs!$B$14=1,Assumptions!$C$22,IF(15-Schedule_Inputs!$B$14=2,Assumptions!$D$22,IF(15-Schedule_Inputs!$B$14=3,Assumptions!$B$23,0)))),IF(Schedule_Inputs!$C$14="Office Setup",$C14*IF(15-Schedule_Inputs!$B$14=0,Assumptions!$B$24,IF(15-Schedule_Inputs!$B$14=1,Assumptions!$C$24,IF(15-Schedule_Inputs!$B$14=2,Assumptions!$D$24,0))),IF(OR(Schedule_Inputs!$C$14="Monthly",Schedule_Inputs!$C$14="Periodic"),IF(AND(15&gt;=Schedule_Inputs!$B$14,MOD(15-Schedule_Inputs!$B$14,Schedule_Inputs!$E$14)=0,(15-Schedule_Inputs!$B$14)/Schedule_Inputs!$E$14&lt;Schedule_Inputs!$D$14),$C14/Schedule_Inputs!$D$14,0),0))))</f>
        <v>0</v>
      </c>
      <c r="T14" s="31">
        <f>IF(Schedule_Inputs!$C$14="Blueprint",$C14*IF(16-Schedule_Inputs!$B$14=0,Assumptions!$B$21,IF(16-Schedule_Inputs!$B$14=1,Assumptions!$C$21,IF(16-Schedule_Inputs!$B$14=2,Assumptions!$D$21,0))),IF(Schedule_Inputs!$C$14="Launch",$C14*IF(16-Schedule_Inputs!$B$14=0,Assumptions!$B$22,IF(16-Schedule_Inputs!$B$14=1,Assumptions!$C$22,IF(16-Schedule_Inputs!$B$14=2,Assumptions!$D$22,IF(16-Schedule_Inputs!$B$14=3,Assumptions!$B$23,0)))),IF(Schedule_Inputs!$C$14="Office Setup",$C14*IF(16-Schedule_Inputs!$B$14=0,Assumptions!$B$24,IF(16-Schedule_Inputs!$B$14=1,Assumptions!$C$24,IF(16-Schedule_Inputs!$B$14=2,Assumptions!$D$24,0))),IF(OR(Schedule_Inputs!$C$14="Monthly",Schedule_Inputs!$C$14="Periodic"),IF(AND(16&gt;=Schedule_Inputs!$B$14,MOD(16-Schedule_Inputs!$B$14,Schedule_Inputs!$E$14)=0,(16-Schedule_Inputs!$B$14)/Schedule_Inputs!$E$14&lt;Schedule_Inputs!$D$14),$C14/Schedule_Inputs!$D$14,0),0))))</f>
        <v>0</v>
      </c>
      <c r="U14" s="31">
        <f>IF(Schedule_Inputs!$C$14="Blueprint",$C14*IF(17-Schedule_Inputs!$B$14=0,Assumptions!$B$21,IF(17-Schedule_Inputs!$B$14=1,Assumptions!$C$21,IF(17-Schedule_Inputs!$B$14=2,Assumptions!$D$21,0))),IF(Schedule_Inputs!$C$14="Launch",$C14*IF(17-Schedule_Inputs!$B$14=0,Assumptions!$B$22,IF(17-Schedule_Inputs!$B$14=1,Assumptions!$C$22,IF(17-Schedule_Inputs!$B$14=2,Assumptions!$D$22,IF(17-Schedule_Inputs!$B$14=3,Assumptions!$B$23,0)))),IF(Schedule_Inputs!$C$14="Office Setup",$C14*IF(17-Schedule_Inputs!$B$14=0,Assumptions!$B$24,IF(17-Schedule_Inputs!$B$14=1,Assumptions!$C$24,IF(17-Schedule_Inputs!$B$14=2,Assumptions!$D$24,0))),IF(OR(Schedule_Inputs!$C$14="Monthly",Schedule_Inputs!$C$14="Periodic"),IF(AND(17&gt;=Schedule_Inputs!$B$14,MOD(17-Schedule_Inputs!$B$14,Schedule_Inputs!$E$14)=0,(17-Schedule_Inputs!$B$14)/Schedule_Inputs!$E$14&lt;Schedule_Inputs!$D$14),$C14/Schedule_Inputs!$D$14,0),0))))</f>
        <v>0</v>
      </c>
      <c r="V14" s="31">
        <f>IF(Schedule_Inputs!$C$14="Blueprint",$C14*IF(18-Schedule_Inputs!$B$14=0,Assumptions!$B$21,IF(18-Schedule_Inputs!$B$14=1,Assumptions!$C$21,IF(18-Schedule_Inputs!$B$14=2,Assumptions!$D$21,0))),IF(Schedule_Inputs!$C$14="Launch",$C14*IF(18-Schedule_Inputs!$B$14=0,Assumptions!$B$22,IF(18-Schedule_Inputs!$B$14=1,Assumptions!$C$22,IF(18-Schedule_Inputs!$B$14=2,Assumptions!$D$22,IF(18-Schedule_Inputs!$B$14=3,Assumptions!$B$23,0)))),IF(Schedule_Inputs!$C$14="Office Setup",$C14*IF(18-Schedule_Inputs!$B$14=0,Assumptions!$B$24,IF(18-Schedule_Inputs!$B$14=1,Assumptions!$C$24,IF(18-Schedule_Inputs!$B$14=2,Assumptions!$D$24,0))),IF(OR(Schedule_Inputs!$C$14="Monthly",Schedule_Inputs!$C$14="Periodic"),IF(AND(18&gt;=Schedule_Inputs!$B$14,MOD(18-Schedule_Inputs!$B$14,Schedule_Inputs!$E$14)=0,(18-Schedule_Inputs!$B$14)/Schedule_Inputs!$E$14&lt;Schedule_Inputs!$D$14),$C14/Schedule_Inputs!$D$14,0),0))))</f>
        <v>15000</v>
      </c>
      <c r="W14" s="31">
        <f>IF(Schedule_Inputs!$C$14="Blueprint",$C14*IF(19-Schedule_Inputs!$B$14=0,Assumptions!$B$21,IF(19-Schedule_Inputs!$B$14=1,Assumptions!$C$21,IF(19-Schedule_Inputs!$B$14=2,Assumptions!$D$21,0))),IF(Schedule_Inputs!$C$14="Launch",$C14*IF(19-Schedule_Inputs!$B$14=0,Assumptions!$B$22,IF(19-Schedule_Inputs!$B$14=1,Assumptions!$C$22,IF(19-Schedule_Inputs!$B$14=2,Assumptions!$D$22,IF(19-Schedule_Inputs!$B$14=3,Assumptions!$B$23,0)))),IF(Schedule_Inputs!$C$14="Office Setup",$C14*IF(19-Schedule_Inputs!$B$14=0,Assumptions!$B$24,IF(19-Schedule_Inputs!$B$14=1,Assumptions!$C$24,IF(19-Schedule_Inputs!$B$14=2,Assumptions!$D$24,0))),IF(OR(Schedule_Inputs!$C$14="Monthly",Schedule_Inputs!$C$14="Periodic"),IF(AND(19&gt;=Schedule_Inputs!$B$14,MOD(19-Schedule_Inputs!$B$14,Schedule_Inputs!$E$14)=0,(19-Schedule_Inputs!$B$14)/Schedule_Inputs!$E$14&lt;Schedule_Inputs!$D$14),$C14/Schedule_Inputs!$D$14,0),0))))</f>
        <v>15000</v>
      </c>
      <c r="X14" s="31">
        <f>IF(Schedule_Inputs!$C$14="Blueprint",$C14*IF(20-Schedule_Inputs!$B$14=0,Assumptions!$B$21,IF(20-Schedule_Inputs!$B$14=1,Assumptions!$C$21,IF(20-Schedule_Inputs!$B$14=2,Assumptions!$D$21,0))),IF(Schedule_Inputs!$C$14="Launch",$C14*IF(20-Schedule_Inputs!$B$14=0,Assumptions!$B$22,IF(20-Schedule_Inputs!$B$14=1,Assumptions!$C$22,IF(20-Schedule_Inputs!$B$14=2,Assumptions!$D$22,IF(20-Schedule_Inputs!$B$14=3,Assumptions!$B$23,0)))),IF(Schedule_Inputs!$C$14="Office Setup",$C14*IF(20-Schedule_Inputs!$B$14=0,Assumptions!$B$24,IF(20-Schedule_Inputs!$B$14=1,Assumptions!$C$24,IF(20-Schedule_Inputs!$B$14=2,Assumptions!$D$24,0))),IF(OR(Schedule_Inputs!$C$14="Monthly",Schedule_Inputs!$C$14="Periodic"),IF(AND(20&gt;=Schedule_Inputs!$B$14,MOD(20-Schedule_Inputs!$B$14,Schedule_Inputs!$E$14)=0,(20-Schedule_Inputs!$B$14)/Schedule_Inputs!$E$14&lt;Schedule_Inputs!$D$14),$C14/Schedule_Inputs!$D$14,0),0))))</f>
        <v>15000</v>
      </c>
      <c r="Y14" s="31">
        <f>IF(Schedule_Inputs!$C$14="Blueprint",$C14*IF(21-Schedule_Inputs!$B$14=0,Assumptions!$B$21,IF(21-Schedule_Inputs!$B$14=1,Assumptions!$C$21,IF(21-Schedule_Inputs!$B$14=2,Assumptions!$D$21,0))),IF(Schedule_Inputs!$C$14="Launch",$C14*IF(21-Schedule_Inputs!$B$14=0,Assumptions!$B$22,IF(21-Schedule_Inputs!$B$14=1,Assumptions!$C$22,IF(21-Schedule_Inputs!$B$14=2,Assumptions!$D$22,IF(21-Schedule_Inputs!$B$14=3,Assumptions!$B$23,0)))),IF(Schedule_Inputs!$C$14="Office Setup",$C14*IF(21-Schedule_Inputs!$B$14=0,Assumptions!$B$24,IF(21-Schedule_Inputs!$B$14=1,Assumptions!$C$24,IF(21-Schedule_Inputs!$B$14=2,Assumptions!$D$24,0))),IF(OR(Schedule_Inputs!$C$14="Monthly",Schedule_Inputs!$C$14="Periodic"),IF(AND(21&gt;=Schedule_Inputs!$B$14,MOD(21-Schedule_Inputs!$B$14,Schedule_Inputs!$E$14)=0,(21-Schedule_Inputs!$B$14)/Schedule_Inputs!$E$14&lt;Schedule_Inputs!$D$14),$C14/Schedule_Inputs!$D$14,0),0))))</f>
        <v>5000</v>
      </c>
      <c r="Z14" s="31">
        <f>IF(Schedule_Inputs!$C$14="Blueprint",$C14*IF(22-Schedule_Inputs!$B$14=0,Assumptions!$B$21,IF(22-Schedule_Inputs!$B$14=1,Assumptions!$C$21,IF(22-Schedule_Inputs!$B$14=2,Assumptions!$D$21,0))),IF(Schedule_Inputs!$C$14="Launch",$C14*IF(22-Schedule_Inputs!$B$14=0,Assumptions!$B$22,IF(22-Schedule_Inputs!$B$14=1,Assumptions!$C$22,IF(22-Schedule_Inputs!$B$14=2,Assumptions!$D$22,IF(22-Schedule_Inputs!$B$14=3,Assumptions!$B$23,0)))),IF(Schedule_Inputs!$C$14="Office Setup",$C14*IF(22-Schedule_Inputs!$B$14=0,Assumptions!$B$24,IF(22-Schedule_Inputs!$B$14=1,Assumptions!$C$24,IF(22-Schedule_Inputs!$B$14=2,Assumptions!$D$24,0))),IF(OR(Schedule_Inputs!$C$14="Monthly",Schedule_Inputs!$C$14="Periodic"),IF(AND(22&gt;=Schedule_Inputs!$B$14,MOD(22-Schedule_Inputs!$B$14,Schedule_Inputs!$E$14)=0,(22-Schedule_Inputs!$B$14)/Schedule_Inputs!$E$14&lt;Schedule_Inputs!$D$14),$C14/Schedule_Inputs!$D$14,0),0))))</f>
        <v>0</v>
      </c>
      <c r="AA14" s="31">
        <f>IF(Schedule_Inputs!$C$14="Blueprint",$C14*IF(23-Schedule_Inputs!$B$14=0,Assumptions!$B$21,IF(23-Schedule_Inputs!$B$14=1,Assumptions!$C$21,IF(23-Schedule_Inputs!$B$14=2,Assumptions!$D$21,0))),IF(Schedule_Inputs!$C$14="Launch",$C14*IF(23-Schedule_Inputs!$B$14=0,Assumptions!$B$22,IF(23-Schedule_Inputs!$B$14=1,Assumptions!$C$22,IF(23-Schedule_Inputs!$B$14=2,Assumptions!$D$22,IF(23-Schedule_Inputs!$B$14=3,Assumptions!$B$23,0)))),IF(Schedule_Inputs!$C$14="Office Setup",$C14*IF(23-Schedule_Inputs!$B$14=0,Assumptions!$B$24,IF(23-Schedule_Inputs!$B$14=1,Assumptions!$C$24,IF(23-Schedule_Inputs!$B$14=2,Assumptions!$D$24,0))),IF(OR(Schedule_Inputs!$C$14="Monthly",Schedule_Inputs!$C$14="Periodic"),IF(AND(23&gt;=Schedule_Inputs!$B$14,MOD(23-Schedule_Inputs!$B$14,Schedule_Inputs!$E$14)=0,(23-Schedule_Inputs!$B$14)/Schedule_Inputs!$E$14&lt;Schedule_Inputs!$D$14),$C14/Schedule_Inputs!$D$14,0),0))))</f>
        <v>0</v>
      </c>
      <c r="AB14" s="31">
        <f>IF(Schedule_Inputs!$C$14="Blueprint",$C14*IF(24-Schedule_Inputs!$B$14=0,Assumptions!$B$21,IF(24-Schedule_Inputs!$B$14=1,Assumptions!$C$21,IF(24-Schedule_Inputs!$B$14=2,Assumptions!$D$21,0))),IF(Schedule_Inputs!$C$14="Launch",$C14*IF(24-Schedule_Inputs!$B$14=0,Assumptions!$B$22,IF(24-Schedule_Inputs!$B$14=1,Assumptions!$C$22,IF(24-Schedule_Inputs!$B$14=2,Assumptions!$D$22,IF(24-Schedule_Inputs!$B$14=3,Assumptions!$B$23,0)))),IF(Schedule_Inputs!$C$14="Office Setup",$C14*IF(24-Schedule_Inputs!$B$14=0,Assumptions!$B$24,IF(24-Schedule_Inputs!$B$14=1,Assumptions!$C$24,IF(24-Schedule_Inputs!$B$14=2,Assumptions!$D$24,0))),IF(OR(Schedule_Inputs!$C$14="Monthly",Schedule_Inputs!$C$14="Periodic"),IF(AND(24&gt;=Schedule_Inputs!$B$14,MOD(24-Schedule_Inputs!$B$14,Schedule_Inputs!$E$14)=0,(24-Schedule_Inputs!$B$14)/Schedule_Inputs!$E$14&lt;Schedule_Inputs!$D$14),$C14/Schedule_Inputs!$D$14,0),0))))</f>
        <v>0</v>
      </c>
      <c r="AC14" s="31">
        <f>IF(Schedule_Inputs!$C$14="Blueprint",$C14*IF(25-Schedule_Inputs!$B$14=0,Assumptions!$B$21,IF(25-Schedule_Inputs!$B$14=1,Assumptions!$C$21,IF(25-Schedule_Inputs!$B$14=2,Assumptions!$D$21,0))),IF(Schedule_Inputs!$C$14="Launch",$C14*IF(25-Schedule_Inputs!$B$14=0,Assumptions!$B$22,IF(25-Schedule_Inputs!$B$14=1,Assumptions!$C$22,IF(25-Schedule_Inputs!$B$14=2,Assumptions!$D$22,IF(25-Schedule_Inputs!$B$14=3,Assumptions!$B$23,0)))),IF(Schedule_Inputs!$C$14="Office Setup",$C14*IF(25-Schedule_Inputs!$B$14=0,Assumptions!$B$24,IF(25-Schedule_Inputs!$B$14=1,Assumptions!$C$24,IF(25-Schedule_Inputs!$B$14=2,Assumptions!$D$24,0))),IF(OR(Schedule_Inputs!$C$14="Monthly",Schedule_Inputs!$C$14="Periodic"),IF(AND(25&gt;=Schedule_Inputs!$B$14,MOD(25-Schedule_Inputs!$B$14,Schedule_Inputs!$E$14)=0,(25-Schedule_Inputs!$B$14)/Schedule_Inputs!$E$14&lt;Schedule_Inputs!$D$14),$C14/Schedule_Inputs!$D$14,0),0))))</f>
        <v>0</v>
      </c>
      <c r="AD14" s="31">
        <f>IF(Schedule_Inputs!$C$14="Blueprint",$C14*IF(26-Schedule_Inputs!$B$14=0,Assumptions!$B$21,IF(26-Schedule_Inputs!$B$14=1,Assumptions!$C$21,IF(26-Schedule_Inputs!$B$14=2,Assumptions!$D$21,0))),IF(Schedule_Inputs!$C$14="Launch",$C14*IF(26-Schedule_Inputs!$B$14=0,Assumptions!$B$22,IF(26-Schedule_Inputs!$B$14=1,Assumptions!$C$22,IF(26-Schedule_Inputs!$B$14=2,Assumptions!$D$22,IF(26-Schedule_Inputs!$B$14=3,Assumptions!$B$23,0)))),IF(Schedule_Inputs!$C$14="Office Setup",$C14*IF(26-Schedule_Inputs!$B$14=0,Assumptions!$B$24,IF(26-Schedule_Inputs!$B$14=1,Assumptions!$C$24,IF(26-Schedule_Inputs!$B$14=2,Assumptions!$D$24,0))),IF(OR(Schedule_Inputs!$C$14="Monthly",Schedule_Inputs!$C$14="Periodic"),IF(AND(26&gt;=Schedule_Inputs!$B$14,MOD(26-Schedule_Inputs!$B$14,Schedule_Inputs!$E$14)=0,(26-Schedule_Inputs!$B$14)/Schedule_Inputs!$E$14&lt;Schedule_Inputs!$D$14),$C14/Schedule_Inputs!$D$14,0),0))))</f>
        <v>0</v>
      </c>
      <c r="AE14" s="31">
        <f>IF(Schedule_Inputs!$C$14="Blueprint",$C14*IF(27-Schedule_Inputs!$B$14=0,Assumptions!$B$21,IF(27-Schedule_Inputs!$B$14=1,Assumptions!$C$21,IF(27-Schedule_Inputs!$B$14=2,Assumptions!$D$21,0))),IF(Schedule_Inputs!$C$14="Launch",$C14*IF(27-Schedule_Inputs!$B$14=0,Assumptions!$B$22,IF(27-Schedule_Inputs!$B$14=1,Assumptions!$C$22,IF(27-Schedule_Inputs!$B$14=2,Assumptions!$D$22,IF(27-Schedule_Inputs!$B$14=3,Assumptions!$B$23,0)))),IF(Schedule_Inputs!$C$14="Office Setup",$C14*IF(27-Schedule_Inputs!$B$14=0,Assumptions!$B$24,IF(27-Schedule_Inputs!$B$14=1,Assumptions!$C$24,IF(27-Schedule_Inputs!$B$14=2,Assumptions!$D$24,0))),IF(OR(Schedule_Inputs!$C$14="Monthly",Schedule_Inputs!$C$14="Periodic"),IF(AND(27&gt;=Schedule_Inputs!$B$14,MOD(27-Schedule_Inputs!$B$14,Schedule_Inputs!$E$14)=0,(27-Schedule_Inputs!$B$14)/Schedule_Inputs!$E$14&lt;Schedule_Inputs!$D$14),$C14/Schedule_Inputs!$D$14,0),0))))</f>
        <v>0</v>
      </c>
      <c r="AF14" s="31">
        <f>IF(Schedule_Inputs!$C$14="Blueprint",$C14*IF(28-Schedule_Inputs!$B$14=0,Assumptions!$B$21,IF(28-Schedule_Inputs!$B$14=1,Assumptions!$C$21,IF(28-Schedule_Inputs!$B$14=2,Assumptions!$D$21,0))),IF(Schedule_Inputs!$C$14="Launch",$C14*IF(28-Schedule_Inputs!$B$14=0,Assumptions!$B$22,IF(28-Schedule_Inputs!$B$14=1,Assumptions!$C$22,IF(28-Schedule_Inputs!$B$14=2,Assumptions!$D$22,IF(28-Schedule_Inputs!$B$14=3,Assumptions!$B$23,0)))),IF(Schedule_Inputs!$C$14="Office Setup",$C14*IF(28-Schedule_Inputs!$B$14=0,Assumptions!$B$24,IF(28-Schedule_Inputs!$B$14=1,Assumptions!$C$24,IF(28-Schedule_Inputs!$B$14=2,Assumptions!$D$24,0))),IF(OR(Schedule_Inputs!$C$14="Monthly",Schedule_Inputs!$C$14="Periodic"),IF(AND(28&gt;=Schedule_Inputs!$B$14,MOD(28-Schedule_Inputs!$B$14,Schedule_Inputs!$E$14)=0,(28-Schedule_Inputs!$B$14)/Schedule_Inputs!$E$14&lt;Schedule_Inputs!$D$14),$C14/Schedule_Inputs!$D$14,0),0))))</f>
        <v>0</v>
      </c>
      <c r="AG14" s="31">
        <f>IF(Schedule_Inputs!$C$14="Blueprint",$C14*IF(29-Schedule_Inputs!$B$14=0,Assumptions!$B$21,IF(29-Schedule_Inputs!$B$14=1,Assumptions!$C$21,IF(29-Schedule_Inputs!$B$14=2,Assumptions!$D$21,0))),IF(Schedule_Inputs!$C$14="Launch",$C14*IF(29-Schedule_Inputs!$B$14=0,Assumptions!$B$22,IF(29-Schedule_Inputs!$B$14=1,Assumptions!$C$22,IF(29-Schedule_Inputs!$B$14=2,Assumptions!$D$22,IF(29-Schedule_Inputs!$B$14=3,Assumptions!$B$23,0)))),IF(Schedule_Inputs!$C$14="Office Setup",$C14*IF(29-Schedule_Inputs!$B$14=0,Assumptions!$B$24,IF(29-Schedule_Inputs!$B$14=1,Assumptions!$C$24,IF(29-Schedule_Inputs!$B$14=2,Assumptions!$D$24,0))),IF(OR(Schedule_Inputs!$C$14="Monthly",Schedule_Inputs!$C$14="Periodic"),IF(AND(29&gt;=Schedule_Inputs!$B$14,MOD(29-Schedule_Inputs!$B$14,Schedule_Inputs!$E$14)=0,(29-Schedule_Inputs!$B$14)/Schedule_Inputs!$E$14&lt;Schedule_Inputs!$D$14),$C14/Schedule_Inputs!$D$14,0),0))))</f>
        <v>0</v>
      </c>
      <c r="AH14" s="31">
        <f>IF(Schedule_Inputs!$C$14="Blueprint",$C14*IF(30-Schedule_Inputs!$B$14=0,Assumptions!$B$21,IF(30-Schedule_Inputs!$B$14=1,Assumptions!$C$21,IF(30-Schedule_Inputs!$B$14=2,Assumptions!$D$21,0))),IF(Schedule_Inputs!$C$14="Launch",$C14*IF(30-Schedule_Inputs!$B$14=0,Assumptions!$B$22,IF(30-Schedule_Inputs!$B$14=1,Assumptions!$C$22,IF(30-Schedule_Inputs!$B$14=2,Assumptions!$D$22,IF(30-Schedule_Inputs!$B$14=3,Assumptions!$B$23,0)))),IF(Schedule_Inputs!$C$14="Office Setup",$C14*IF(30-Schedule_Inputs!$B$14=0,Assumptions!$B$24,IF(30-Schedule_Inputs!$B$14=1,Assumptions!$C$24,IF(30-Schedule_Inputs!$B$14=2,Assumptions!$D$24,0))),IF(OR(Schedule_Inputs!$C$14="Monthly",Schedule_Inputs!$C$14="Periodic"),IF(AND(30&gt;=Schedule_Inputs!$B$14,MOD(30-Schedule_Inputs!$B$14,Schedule_Inputs!$E$14)=0,(30-Schedule_Inputs!$B$14)/Schedule_Inputs!$E$14&lt;Schedule_Inputs!$D$14),$C14/Schedule_Inputs!$D$14,0),0))))</f>
        <v>0</v>
      </c>
      <c r="AI14" s="31">
        <f>IF(Schedule_Inputs!$C$14="Blueprint",$C14*IF(31-Schedule_Inputs!$B$14=0,Assumptions!$B$21,IF(31-Schedule_Inputs!$B$14=1,Assumptions!$C$21,IF(31-Schedule_Inputs!$B$14=2,Assumptions!$D$21,0))),IF(Schedule_Inputs!$C$14="Launch",$C14*IF(31-Schedule_Inputs!$B$14=0,Assumptions!$B$22,IF(31-Schedule_Inputs!$B$14=1,Assumptions!$C$22,IF(31-Schedule_Inputs!$B$14=2,Assumptions!$D$22,IF(31-Schedule_Inputs!$B$14=3,Assumptions!$B$23,0)))),IF(Schedule_Inputs!$C$14="Office Setup",$C14*IF(31-Schedule_Inputs!$B$14=0,Assumptions!$B$24,IF(31-Schedule_Inputs!$B$14=1,Assumptions!$C$24,IF(31-Schedule_Inputs!$B$14=2,Assumptions!$D$24,0))),IF(OR(Schedule_Inputs!$C$14="Monthly",Schedule_Inputs!$C$14="Periodic"),IF(AND(31&gt;=Schedule_Inputs!$B$14,MOD(31-Schedule_Inputs!$B$14,Schedule_Inputs!$E$14)=0,(31-Schedule_Inputs!$B$14)/Schedule_Inputs!$E$14&lt;Schedule_Inputs!$D$14),$C14/Schedule_Inputs!$D$14,0),0))))</f>
        <v>0</v>
      </c>
      <c r="AJ14" s="31">
        <f>IF(Schedule_Inputs!$C$14="Blueprint",$C14*IF(32-Schedule_Inputs!$B$14=0,Assumptions!$B$21,IF(32-Schedule_Inputs!$B$14=1,Assumptions!$C$21,IF(32-Schedule_Inputs!$B$14=2,Assumptions!$D$21,0))),IF(Schedule_Inputs!$C$14="Launch",$C14*IF(32-Schedule_Inputs!$B$14=0,Assumptions!$B$22,IF(32-Schedule_Inputs!$B$14=1,Assumptions!$C$22,IF(32-Schedule_Inputs!$B$14=2,Assumptions!$D$22,IF(32-Schedule_Inputs!$B$14=3,Assumptions!$B$23,0)))),IF(Schedule_Inputs!$C$14="Office Setup",$C14*IF(32-Schedule_Inputs!$B$14=0,Assumptions!$B$24,IF(32-Schedule_Inputs!$B$14=1,Assumptions!$C$24,IF(32-Schedule_Inputs!$B$14=2,Assumptions!$D$24,0))),IF(OR(Schedule_Inputs!$C$14="Monthly",Schedule_Inputs!$C$14="Periodic"),IF(AND(32&gt;=Schedule_Inputs!$B$14,MOD(32-Schedule_Inputs!$B$14,Schedule_Inputs!$E$14)=0,(32-Schedule_Inputs!$B$14)/Schedule_Inputs!$E$14&lt;Schedule_Inputs!$D$14),$C14/Schedule_Inputs!$D$14,0),0))))</f>
        <v>0</v>
      </c>
      <c r="AK14" s="31">
        <f>IF(Schedule_Inputs!$C$14="Blueprint",$C14*IF(33-Schedule_Inputs!$B$14=0,Assumptions!$B$21,IF(33-Schedule_Inputs!$B$14=1,Assumptions!$C$21,IF(33-Schedule_Inputs!$B$14=2,Assumptions!$D$21,0))),IF(Schedule_Inputs!$C$14="Launch",$C14*IF(33-Schedule_Inputs!$B$14=0,Assumptions!$B$22,IF(33-Schedule_Inputs!$B$14=1,Assumptions!$C$22,IF(33-Schedule_Inputs!$B$14=2,Assumptions!$D$22,IF(33-Schedule_Inputs!$B$14=3,Assumptions!$B$23,0)))),IF(Schedule_Inputs!$C$14="Office Setup",$C14*IF(33-Schedule_Inputs!$B$14=0,Assumptions!$B$24,IF(33-Schedule_Inputs!$B$14=1,Assumptions!$C$24,IF(33-Schedule_Inputs!$B$14=2,Assumptions!$D$24,0))),IF(OR(Schedule_Inputs!$C$14="Monthly",Schedule_Inputs!$C$14="Periodic"),IF(AND(33&gt;=Schedule_Inputs!$B$14,MOD(33-Schedule_Inputs!$B$14,Schedule_Inputs!$E$14)=0,(33-Schedule_Inputs!$B$14)/Schedule_Inputs!$E$14&lt;Schedule_Inputs!$D$14),$C14/Schedule_Inputs!$D$14,0),0))))</f>
        <v>0</v>
      </c>
      <c r="AL14" s="31">
        <f>IF(Schedule_Inputs!$C$14="Blueprint",$C14*IF(34-Schedule_Inputs!$B$14=0,Assumptions!$B$21,IF(34-Schedule_Inputs!$B$14=1,Assumptions!$C$21,IF(34-Schedule_Inputs!$B$14=2,Assumptions!$D$21,0))),IF(Schedule_Inputs!$C$14="Launch",$C14*IF(34-Schedule_Inputs!$B$14=0,Assumptions!$B$22,IF(34-Schedule_Inputs!$B$14=1,Assumptions!$C$22,IF(34-Schedule_Inputs!$B$14=2,Assumptions!$D$22,IF(34-Schedule_Inputs!$B$14=3,Assumptions!$B$23,0)))),IF(Schedule_Inputs!$C$14="Office Setup",$C14*IF(34-Schedule_Inputs!$B$14=0,Assumptions!$B$24,IF(34-Schedule_Inputs!$B$14=1,Assumptions!$C$24,IF(34-Schedule_Inputs!$B$14=2,Assumptions!$D$24,0))),IF(OR(Schedule_Inputs!$C$14="Monthly",Schedule_Inputs!$C$14="Periodic"),IF(AND(34&gt;=Schedule_Inputs!$B$14,MOD(34-Schedule_Inputs!$B$14,Schedule_Inputs!$E$14)=0,(34-Schedule_Inputs!$B$14)/Schedule_Inputs!$E$14&lt;Schedule_Inputs!$D$14),$C14/Schedule_Inputs!$D$14,0),0))))</f>
        <v>0</v>
      </c>
      <c r="AM14" s="31">
        <f>IF(Schedule_Inputs!$C$14="Blueprint",$C14*IF(35-Schedule_Inputs!$B$14=0,Assumptions!$B$21,IF(35-Schedule_Inputs!$B$14=1,Assumptions!$C$21,IF(35-Schedule_Inputs!$B$14=2,Assumptions!$D$21,0))),IF(Schedule_Inputs!$C$14="Launch",$C14*IF(35-Schedule_Inputs!$B$14=0,Assumptions!$B$22,IF(35-Schedule_Inputs!$B$14=1,Assumptions!$C$22,IF(35-Schedule_Inputs!$B$14=2,Assumptions!$D$22,IF(35-Schedule_Inputs!$B$14=3,Assumptions!$B$23,0)))),IF(Schedule_Inputs!$C$14="Office Setup",$C14*IF(35-Schedule_Inputs!$B$14=0,Assumptions!$B$24,IF(35-Schedule_Inputs!$B$14=1,Assumptions!$C$24,IF(35-Schedule_Inputs!$B$14=2,Assumptions!$D$24,0))),IF(OR(Schedule_Inputs!$C$14="Monthly",Schedule_Inputs!$C$14="Periodic"),IF(AND(35&gt;=Schedule_Inputs!$B$14,MOD(35-Schedule_Inputs!$B$14,Schedule_Inputs!$E$14)=0,(35-Schedule_Inputs!$B$14)/Schedule_Inputs!$E$14&lt;Schedule_Inputs!$D$14),$C14/Schedule_Inputs!$D$14,0),0))))</f>
        <v>0</v>
      </c>
      <c r="AN14" s="31">
        <f>IF(Schedule_Inputs!$C$14="Blueprint",$C14*IF(36-Schedule_Inputs!$B$14=0,Assumptions!$B$21,IF(36-Schedule_Inputs!$B$14=1,Assumptions!$C$21,IF(36-Schedule_Inputs!$B$14=2,Assumptions!$D$21,0))),IF(Schedule_Inputs!$C$14="Launch",$C14*IF(36-Schedule_Inputs!$B$14=0,Assumptions!$B$22,IF(36-Schedule_Inputs!$B$14=1,Assumptions!$C$22,IF(36-Schedule_Inputs!$B$14=2,Assumptions!$D$22,IF(36-Schedule_Inputs!$B$14=3,Assumptions!$B$23,0)))),IF(Schedule_Inputs!$C$14="Office Setup",$C14*IF(36-Schedule_Inputs!$B$14=0,Assumptions!$B$24,IF(36-Schedule_Inputs!$B$14=1,Assumptions!$C$24,IF(36-Schedule_Inputs!$B$14=2,Assumptions!$D$24,0))),IF(OR(Schedule_Inputs!$C$14="Monthly",Schedule_Inputs!$C$14="Periodic"),IF(AND(36&gt;=Schedule_Inputs!$B$14,MOD(36-Schedule_Inputs!$B$14,Schedule_Inputs!$E$14)=0,(36-Schedule_Inputs!$B$14)/Schedule_Inputs!$E$14&lt;Schedule_Inputs!$D$14),$C14/Schedule_Inputs!$D$14,0),0))))</f>
        <v>0</v>
      </c>
    </row>
    <row r="15" spans="1:40">
      <c r="A15" s="29" t="s">
        <v>245</v>
      </c>
      <c r="B15" s="29">
        <v>2</v>
      </c>
      <c r="C15" s="30">
        <v>25000</v>
      </c>
      <c r="D15" s="31" t="s">
        <v>235</v>
      </c>
      <c r="E15" s="31">
        <f>IF(Schedule_Inputs!$C$15="Blueprint",$C15*IF(1-Schedule_Inputs!$B$15=0,Assumptions!$B$21,IF(1-Schedule_Inputs!$B$15=1,Assumptions!$C$21,IF(1-Schedule_Inputs!$B$15=2,Assumptions!$D$21,0))),IF(Schedule_Inputs!$C$15="Launch",$C15*IF(1-Schedule_Inputs!$B$15=0,Assumptions!$B$22,IF(1-Schedule_Inputs!$B$15=1,Assumptions!$C$22,IF(1-Schedule_Inputs!$B$15=2,Assumptions!$D$22,IF(1-Schedule_Inputs!$B$15=3,Assumptions!$B$23,0)))),IF(Schedule_Inputs!$C$15="Office Setup",$C15*IF(1-Schedule_Inputs!$B$15=0,Assumptions!$B$24,IF(1-Schedule_Inputs!$B$15=1,Assumptions!$C$24,IF(1-Schedule_Inputs!$B$15=2,Assumptions!$D$24,0))),IF(OR(Schedule_Inputs!$C$15="Monthly",Schedule_Inputs!$C$15="Periodic"),IF(AND(1&gt;=Schedule_Inputs!$B$15,MOD(1-Schedule_Inputs!$B$15,Schedule_Inputs!$E$15)=0,(1-Schedule_Inputs!$B$15)/Schedule_Inputs!$E$15&lt;Schedule_Inputs!$D$15),$C15/Schedule_Inputs!$D$15,0),0))))</f>
        <v>0</v>
      </c>
      <c r="F15" s="31">
        <f>IF(Schedule_Inputs!$C$15="Blueprint",$C15*IF(2-Schedule_Inputs!$B$15=0,Assumptions!$B$21,IF(2-Schedule_Inputs!$B$15=1,Assumptions!$C$21,IF(2-Schedule_Inputs!$B$15=2,Assumptions!$D$21,0))),IF(Schedule_Inputs!$C$15="Launch",$C15*IF(2-Schedule_Inputs!$B$15=0,Assumptions!$B$22,IF(2-Schedule_Inputs!$B$15=1,Assumptions!$C$22,IF(2-Schedule_Inputs!$B$15=2,Assumptions!$D$22,IF(2-Schedule_Inputs!$B$15=3,Assumptions!$B$23,0)))),IF(Schedule_Inputs!$C$15="Office Setup",$C15*IF(2-Schedule_Inputs!$B$15=0,Assumptions!$B$24,IF(2-Schedule_Inputs!$B$15=1,Assumptions!$C$24,IF(2-Schedule_Inputs!$B$15=2,Assumptions!$D$24,0))),IF(OR(Schedule_Inputs!$C$15="Monthly",Schedule_Inputs!$C$15="Periodic"),IF(AND(2&gt;=Schedule_Inputs!$B$15,MOD(2-Schedule_Inputs!$B$15,Schedule_Inputs!$E$15)=0,(2-Schedule_Inputs!$B$15)/Schedule_Inputs!$E$15&lt;Schedule_Inputs!$D$15),$C15/Schedule_Inputs!$D$15,0),0))))</f>
        <v>0</v>
      </c>
      <c r="G15" s="31">
        <f>IF(Schedule_Inputs!$C$15="Blueprint",$C15*IF(3-Schedule_Inputs!$B$15=0,Assumptions!$B$21,IF(3-Schedule_Inputs!$B$15=1,Assumptions!$C$21,IF(3-Schedule_Inputs!$B$15=2,Assumptions!$D$21,0))),IF(Schedule_Inputs!$C$15="Launch",$C15*IF(3-Schedule_Inputs!$B$15=0,Assumptions!$B$22,IF(3-Schedule_Inputs!$B$15=1,Assumptions!$C$22,IF(3-Schedule_Inputs!$B$15=2,Assumptions!$D$22,IF(3-Schedule_Inputs!$B$15=3,Assumptions!$B$23,0)))),IF(Schedule_Inputs!$C$15="Office Setup",$C15*IF(3-Schedule_Inputs!$B$15=0,Assumptions!$B$24,IF(3-Schedule_Inputs!$B$15=1,Assumptions!$C$24,IF(3-Schedule_Inputs!$B$15=2,Assumptions!$D$24,0))),IF(OR(Schedule_Inputs!$C$15="Monthly",Schedule_Inputs!$C$15="Periodic"),IF(AND(3&gt;=Schedule_Inputs!$B$15,MOD(3-Schedule_Inputs!$B$15,Schedule_Inputs!$E$15)=0,(3-Schedule_Inputs!$B$15)/Schedule_Inputs!$E$15&lt;Schedule_Inputs!$D$15),$C15/Schedule_Inputs!$D$15,0),0))))</f>
        <v>0</v>
      </c>
      <c r="H15" s="31">
        <f>IF(Schedule_Inputs!$C$15="Blueprint",$C15*IF(4-Schedule_Inputs!$B$15=0,Assumptions!$B$21,IF(4-Schedule_Inputs!$B$15=1,Assumptions!$C$21,IF(4-Schedule_Inputs!$B$15=2,Assumptions!$D$21,0))),IF(Schedule_Inputs!$C$15="Launch",$C15*IF(4-Schedule_Inputs!$B$15=0,Assumptions!$B$22,IF(4-Schedule_Inputs!$B$15=1,Assumptions!$C$22,IF(4-Schedule_Inputs!$B$15=2,Assumptions!$D$22,IF(4-Schedule_Inputs!$B$15=3,Assumptions!$B$23,0)))),IF(Schedule_Inputs!$C$15="Office Setup",$C15*IF(4-Schedule_Inputs!$B$15=0,Assumptions!$B$24,IF(4-Schedule_Inputs!$B$15=1,Assumptions!$C$24,IF(4-Schedule_Inputs!$B$15=2,Assumptions!$D$24,0))),IF(OR(Schedule_Inputs!$C$15="Monthly",Schedule_Inputs!$C$15="Periodic"),IF(AND(4&gt;=Schedule_Inputs!$B$15,MOD(4-Schedule_Inputs!$B$15,Schedule_Inputs!$E$15)=0,(4-Schedule_Inputs!$B$15)/Schedule_Inputs!$E$15&lt;Schedule_Inputs!$D$15),$C15/Schedule_Inputs!$D$15,0),0))))</f>
        <v>0</v>
      </c>
      <c r="I15" s="31">
        <f>IF(Schedule_Inputs!$C$15="Blueprint",$C15*IF(5-Schedule_Inputs!$B$15=0,Assumptions!$B$21,IF(5-Schedule_Inputs!$B$15=1,Assumptions!$C$21,IF(5-Schedule_Inputs!$B$15=2,Assumptions!$D$21,0))),IF(Schedule_Inputs!$C$15="Launch",$C15*IF(5-Schedule_Inputs!$B$15=0,Assumptions!$B$22,IF(5-Schedule_Inputs!$B$15=1,Assumptions!$C$22,IF(5-Schedule_Inputs!$B$15=2,Assumptions!$D$22,IF(5-Schedule_Inputs!$B$15=3,Assumptions!$B$23,0)))),IF(Schedule_Inputs!$C$15="Office Setup",$C15*IF(5-Schedule_Inputs!$B$15=0,Assumptions!$B$24,IF(5-Schedule_Inputs!$B$15=1,Assumptions!$C$24,IF(5-Schedule_Inputs!$B$15=2,Assumptions!$D$24,0))),IF(OR(Schedule_Inputs!$C$15="Monthly",Schedule_Inputs!$C$15="Periodic"),IF(AND(5&gt;=Schedule_Inputs!$B$15,MOD(5-Schedule_Inputs!$B$15,Schedule_Inputs!$E$15)=0,(5-Schedule_Inputs!$B$15)/Schedule_Inputs!$E$15&lt;Schedule_Inputs!$D$15),$C15/Schedule_Inputs!$D$15,0),0))))</f>
        <v>0</v>
      </c>
      <c r="J15" s="31">
        <f>IF(Schedule_Inputs!$C$15="Blueprint",$C15*IF(6-Schedule_Inputs!$B$15=0,Assumptions!$B$21,IF(6-Schedule_Inputs!$B$15=1,Assumptions!$C$21,IF(6-Schedule_Inputs!$B$15=2,Assumptions!$D$21,0))),IF(Schedule_Inputs!$C$15="Launch",$C15*IF(6-Schedule_Inputs!$B$15=0,Assumptions!$B$22,IF(6-Schedule_Inputs!$B$15=1,Assumptions!$C$22,IF(6-Schedule_Inputs!$B$15=2,Assumptions!$D$22,IF(6-Schedule_Inputs!$B$15=3,Assumptions!$B$23,0)))),IF(Schedule_Inputs!$C$15="Office Setup",$C15*IF(6-Schedule_Inputs!$B$15=0,Assumptions!$B$24,IF(6-Schedule_Inputs!$B$15=1,Assumptions!$C$24,IF(6-Schedule_Inputs!$B$15=2,Assumptions!$D$24,0))),IF(OR(Schedule_Inputs!$C$15="Monthly",Schedule_Inputs!$C$15="Periodic"),IF(AND(6&gt;=Schedule_Inputs!$B$15,MOD(6-Schedule_Inputs!$B$15,Schedule_Inputs!$E$15)=0,(6-Schedule_Inputs!$B$15)/Schedule_Inputs!$E$15&lt;Schedule_Inputs!$D$15),$C15/Schedule_Inputs!$D$15,0),0))))</f>
        <v>0</v>
      </c>
      <c r="K15" s="31">
        <f>IF(Schedule_Inputs!$C$15="Blueprint",$C15*IF(7-Schedule_Inputs!$B$15=0,Assumptions!$B$21,IF(7-Schedule_Inputs!$B$15=1,Assumptions!$C$21,IF(7-Schedule_Inputs!$B$15=2,Assumptions!$D$21,0))),IF(Schedule_Inputs!$C$15="Launch",$C15*IF(7-Schedule_Inputs!$B$15=0,Assumptions!$B$22,IF(7-Schedule_Inputs!$B$15=1,Assumptions!$C$22,IF(7-Schedule_Inputs!$B$15=2,Assumptions!$D$22,IF(7-Schedule_Inputs!$B$15=3,Assumptions!$B$23,0)))),IF(Schedule_Inputs!$C$15="Office Setup",$C15*IF(7-Schedule_Inputs!$B$15=0,Assumptions!$B$24,IF(7-Schedule_Inputs!$B$15=1,Assumptions!$C$24,IF(7-Schedule_Inputs!$B$15=2,Assumptions!$D$24,0))),IF(OR(Schedule_Inputs!$C$15="Monthly",Schedule_Inputs!$C$15="Periodic"),IF(AND(7&gt;=Schedule_Inputs!$B$15,MOD(7-Schedule_Inputs!$B$15,Schedule_Inputs!$E$15)=0,(7-Schedule_Inputs!$B$15)/Schedule_Inputs!$E$15&lt;Schedule_Inputs!$D$15),$C15/Schedule_Inputs!$D$15,0),0))))</f>
        <v>0</v>
      </c>
      <c r="L15" s="31">
        <f>IF(Schedule_Inputs!$C$15="Blueprint",$C15*IF(8-Schedule_Inputs!$B$15=0,Assumptions!$B$21,IF(8-Schedule_Inputs!$B$15=1,Assumptions!$C$21,IF(8-Schedule_Inputs!$B$15=2,Assumptions!$D$21,0))),IF(Schedule_Inputs!$C$15="Launch",$C15*IF(8-Schedule_Inputs!$B$15=0,Assumptions!$B$22,IF(8-Schedule_Inputs!$B$15=1,Assumptions!$C$22,IF(8-Schedule_Inputs!$B$15=2,Assumptions!$D$22,IF(8-Schedule_Inputs!$B$15=3,Assumptions!$B$23,0)))),IF(Schedule_Inputs!$C$15="Office Setup",$C15*IF(8-Schedule_Inputs!$B$15=0,Assumptions!$B$24,IF(8-Schedule_Inputs!$B$15=1,Assumptions!$C$24,IF(8-Schedule_Inputs!$B$15=2,Assumptions!$D$24,0))),IF(OR(Schedule_Inputs!$C$15="Monthly",Schedule_Inputs!$C$15="Periodic"),IF(AND(8&gt;=Schedule_Inputs!$B$15,MOD(8-Schedule_Inputs!$B$15,Schedule_Inputs!$E$15)=0,(8-Schedule_Inputs!$B$15)/Schedule_Inputs!$E$15&lt;Schedule_Inputs!$D$15),$C15/Schedule_Inputs!$D$15,0),0))))</f>
        <v>0</v>
      </c>
      <c r="M15" s="31">
        <f>IF(Schedule_Inputs!$C$15="Blueprint",$C15*IF(9-Schedule_Inputs!$B$15=0,Assumptions!$B$21,IF(9-Schedule_Inputs!$B$15=1,Assumptions!$C$21,IF(9-Schedule_Inputs!$B$15=2,Assumptions!$D$21,0))),IF(Schedule_Inputs!$C$15="Launch",$C15*IF(9-Schedule_Inputs!$B$15=0,Assumptions!$B$22,IF(9-Schedule_Inputs!$B$15=1,Assumptions!$C$22,IF(9-Schedule_Inputs!$B$15=2,Assumptions!$D$22,IF(9-Schedule_Inputs!$B$15=3,Assumptions!$B$23,0)))),IF(Schedule_Inputs!$C$15="Office Setup",$C15*IF(9-Schedule_Inputs!$B$15=0,Assumptions!$B$24,IF(9-Schedule_Inputs!$B$15=1,Assumptions!$C$24,IF(9-Schedule_Inputs!$B$15=2,Assumptions!$D$24,0))),IF(OR(Schedule_Inputs!$C$15="Monthly",Schedule_Inputs!$C$15="Periodic"),IF(AND(9&gt;=Schedule_Inputs!$B$15,MOD(9-Schedule_Inputs!$B$15,Schedule_Inputs!$E$15)=0,(9-Schedule_Inputs!$B$15)/Schedule_Inputs!$E$15&lt;Schedule_Inputs!$D$15),$C15/Schedule_Inputs!$D$15,0),0))))</f>
        <v>0</v>
      </c>
      <c r="N15" s="31">
        <f>IF(Schedule_Inputs!$C$15="Blueprint",$C15*IF(10-Schedule_Inputs!$B$15=0,Assumptions!$B$21,IF(10-Schedule_Inputs!$B$15=1,Assumptions!$C$21,IF(10-Schedule_Inputs!$B$15=2,Assumptions!$D$21,0))),IF(Schedule_Inputs!$C$15="Launch",$C15*IF(10-Schedule_Inputs!$B$15=0,Assumptions!$B$22,IF(10-Schedule_Inputs!$B$15=1,Assumptions!$C$22,IF(10-Schedule_Inputs!$B$15=2,Assumptions!$D$22,IF(10-Schedule_Inputs!$B$15=3,Assumptions!$B$23,0)))),IF(Schedule_Inputs!$C$15="Office Setup",$C15*IF(10-Schedule_Inputs!$B$15=0,Assumptions!$B$24,IF(10-Schedule_Inputs!$B$15=1,Assumptions!$C$24,IF(10-Schedule_Inputs!$B$15=2,Assumptions!$D$24,0))),IF(OR(Schedule_Inputs!$C$15="Monthly",Schedule_Inputs!$C$15="Periodic"),IF(AND(10&gt;=Schedule_Inputs!$B$15,MOD(10-Schedule_Inputs!$B$15,Schedule_Inputs!$E$15)=0,(10-Schedule_Inputs!$B$15)/Schedule_Inputs!$E$15&lt;Schedule_Inputs!$D$15),$C15/Schedule_Inputs!$D$15,0),0))))</f>
        <v>0</v>
      </c>
      <c r="O15" s="31">
        <f>IF(Schedule_Inputs!$C$15="Blueprint",$C15*IF(11-Schedule_Inputs!$B$15=0,Assumptions!$B$21,IF(11-Schedule_Inputs!$B$15=1,Assumptions!$C$21,IF(11-Schedule_Inputs!$B$15=2,Assumptions!$D$21,0))),IF(Schedule_Inputs!$C$15="Launch",$C15*IF(11-Schedule_Inputs!$B$15=0,Assumptions!$B$22,IF(11-Schedule_Inputs!$B$15=1,Assumptions!$C$22,IF(11-Schedule_Inputs!$B$15=2,Assumptions!$D$22,IF(11-Schedule_Inputs!$B$15=3,Assumptions!$B$23,0)))),IF(Schedule_Inputs!$C$15="Office Setup",$C15*IF(11-Schedule_Inputs!$B$15=0,Assumptions!$B$24,IF(11-Schedule_Inputs!$B$15=1,Assumptions!$C$24,IF(11-Schedule_Inputs!$B$15=2,Assumptions!$D$24,0))),IF(OR(Schedule_Inputs!$C$15="Monthly",Schedule_Inputs!$C$15="Periodic"),IF(AND(11&gt;=Schedule_Inputs!$B$15,MOD(11-Schedule_Inputs!$B$15,Schedule_Inputs!$E$15)=0,(11-Schedule_Inputs!$B$15)/Schedule_Inputs!$E$15&lt;Schedule_Inputs!$D$15),$C15/Schedule_Inputs!$D$15,0),0))))</f>
        <v>0</v>
      </c>
      <c r="P15" s="31">
        <f>IF(Schedule_Inputs!$C$15="Blueprint",$C15*IF(12-Schedule_Inputs!$B$15=0,Assumptions!$B$21,IF(12-Schedule_Inputs!$B$15=1,Assumptions!$C$21,IF(12-Schedule_Inputs!$B$15=2,Assumptions!$D$21,0))),IF(Schedule_Inputs!$C$15="Launch",$C15*IF(12-Schedule_Inputs!$B$15=0,Assumptions!$B$22,IF(12-Schedule_Inputs!$B$15=1,Assumptions!$C$22,IF(12-Schedule_Inputs!$B$15=2,Assumptions!$D$22,IF(12-Schedule_Inputs!$B$15=3,Assumptions!$B$23,0)))),IF(Schedule_Inputs!$C$15="Office Setup",$C15*IF(12-Schedule_Inputs!$B$15=0,Assumptions!$B$24,IF(12-Schedule_Inputs!$B$15=1,Assumptions!$C$24,IF(12-Schedule_Inputs!$B$15=2,Assumptions!$D$24,0))),IF(OR(Schedule_Inputs!$C$15="Monthly",Schedule_Inputs!$C$15="Periodic"),IF(AND(12&gt;=Schedule_Inputs!$B$15,MOD(12-Schedule_Inputs!$B$15,Schedule_Inputs!$E$15)=0,(12-Schedule_Inputs!$B$15)/Schedule_Inputs!$E$15&lt;Schedule_Inputs!$D$15),$C15/Schedule_Inputs!$D$15,0),0))))</f>
        <v>0</v>
      </c>
      <c r="Q15" s="31">
        <f>IF(Schedule_Inputs!$C$15="Blueprint",$C15*IF(13-Schedule_Inputs!$B$15=0,Assumptions!$B$21,IF(13-Schedule_Inputs!$B$15=1,Assumptions!$C$21,IF(13-Schedule_Inputs!$B$15=2,Assumptions!$D$21,0))),IF(Schedule_Inputs!$C$15="Launch",$C15*IF(13-Schedule_Inputs!$B$15=0,Assumptions!$B$22,IF(13-Schedule_Inputs!$B$15=1,Assumptions!$C$22,IF(13-Schedule_Inputs!$B$15=2,Assumptions!$D$22,IF(13-Schedule_Inputs!$B$15=3,Assumptions!$B$23,0)))),IF(Schedule_Inputs!$C$15="Office Setup",$C15*IF(13-Schedule_Inputs!$B$15=0,Assumptions!$B$24,IF(13-Schedule_Inputs!$B$15=1,Assumptions!$C$24,IF(13-Schedule_Inputs!$B$15=2,Assumptions!$D$24,0))),IF(OR(Schedule_Inputs!$C$15="Monthly",Schedule_Inputs!$C$15="Periodic"),IF(AND(13&gt;=Schedule_Inputs!$B$15,MOD(13-Schedule_Inputs!$B$15,Schedule_Inputs!$E$15)=0,(13-Schedule_Inputs!$B$15)/Schedule_Inputs!$E$15&lt;Schedule_Inputs!$D$15),$C15/Schedule_Inputs!$D$15,0),0))))</f>
        <v>0</v>
      </c>
      <c r="R15" s="31">
        <f>IF(Schedule_Inputs!$C$15="Blueprint",$C15*IF(14-Schedule_Inputs!$B$15=0,Assumptions!$B$21,IF(14-Schedule_Inputs!$B$15=1,Assumptions!$C$21,IF(14-Schedule_Inputs!$B$15=2,Assumptions!$D$21,0))),IF(Schedule_Inputs!$C$15="Launch",$C15*IF(14-Schedule_Inputs!$B$15=0,Assumptions!$B$22,IF(14-Schedule_Inputs!$B$15=1,Assumptions!$C$22,IF(14-Schedule_Inputs!$B$15=2,Assumptions!$D$22,IF(14-Schedule_Inputs!$B$15=3,Assumptions!$B$23,0)))),IF(Schedule_Inputs!$C$15="Office Setup",$C15*IF(14-Schedule_Inputs!$B$15=0,Assumptions!$B$24,IF(14-Schedule_Inputs!$B$15=1,Assumptions!$C$24,IF(14-Schedule_Inputs!$B$15=2,Assumptions!$D$24,0))),IF(OR(Schedule_Inputs!$C$15="Monthly",Schedule_Inputs!$C$15="Periodic"),IF(AND(14&gt;=Schedule_Inputs!$B$15,MOD(14-Schedule_Inputs!$B$15,Schedule_Inputs!$E$15)=0,(14-Schedule_Inputs!$B$15)/Schedule_Inputs!$E$15&lt;Schedule_Inputs!$D$15),$C15/Schedule_Inputs!$D$15,0),0))))</f>
        <v>0</v>
      </c>
      <c r="S15" s="31">
        <f>IF(Schedule_Inputs!$C$15="Blueprint",$C15*IF(15-Schedule_Inputs!$B$15=0,Assumptions!$B$21,IF(15-Schedule_Inputs!$B$15=1,Assumptions!$C$21,IF(15-Schedule_Inputs!$B$15=2,Assumptions!$D$21,0))),IF(Schedule_Inputs!$C$15="Launch",$C15*IF(15-Schedule_Inputs!$B$15=0,Assumptions!$B$22,IF(15-Schedule_Inputs!$B$15=1,Assumptions!$C$22,IF(15-Schedule_Inputs!$B$15=2,Assumptions!$D$22,IF(15-Schedule_Inputs!$B$15=3,Assumptions!$B$23,0)))),IF(Schedule_Inputs!$C$15="Office Setup",$C15*IF(15-Schedule_Inputs!$B$15=0,Assumptions!$B$24,IF(15-Schedule_Inputs!$B$15=1,Assumptions!$C$24,IF(15-Schedule_Inputs!$B$15=2,Assumptions!$D$24,0))),IF(OR(Schedule_Inputs!$C$15="Monthly",Schedule_Inputs!$C$15="Periodic"),IF(AND(15&gt;=Schedule_Inputs!$B$15,MOD(15-Schedule_Inputs!$B$15,Schedule_Inputs!$E$15)=0,(15-Schedule_Inputs!$B$15)/Schedule_Inputs!$E$15&lt;Schedule_Inputs!$D$15),$C15/Schedule_Inputs!$D$15,0),0))))</f>
        <v>0</v>
      </c>
      <c r="T15" s="31">
        <f>IF(Schedule_Inputs!$C$15="Blueprint",$C15*IF(16-Schedule_Inputs!$B$15=0,Assumptions!$B$21,IF(16-Schedule_Inputs!$B$15=1,Assumptions!$C$21,IF(16-Schedule_Inputs!$B$15=2,Assumptions!$D$21,0))),IF(Schedule_Inputs!$C$15="Launch",$C15*IF(16-Schedule_Inputs!$B$15=0,Assumptions!$B$22,IF(16-Schedule_Inputs!$B$15=1,Assumptions!$C$22,IF(16-Schedule_Inputs!$B$15=2,Assumptions!$D$22,IF(16-Schedule_Inputs!$B$15=3,Assumptions!$B$23,0)))),IF(Schedule_Inputs!$C$15="Office Setup",$C15*IF(16-Schedule_Inputs!$B$15=0,Assumptions!$B$24,IF(16-Schedule_Inputs!$B$15=1,Assumptions!$C$24,IF(16-Schedule_Inputs!$B$15=2,Assumptions!$D$24,0))),IF(OR(Schedule_Inputs!$C$15="Monthly",Schedule_Inputs!$C$15="Periodic"),IF(AND(16&gt;=Schedule_Inputs!$B$15,MOD(16-Schedule_Inputs!$B$15,Schedule_Inputs!$E$15)=0,(16-Schedule_Inputs!$B$15)/Schedule_Inputs!$E$15&lt;Schedule_Inputs!$D$15),$C15/Schedule_Inputs!$D$15,0),0))))</f>
        <v>0</v>
      </c>
      <c r="U15" s="31">
        <f>IF(Schedule_Inputs!$C$15="Blueprint",$C15*IF(17-Schedule_Inputs!$B$15=0,Assumptions!$B$21,IF(17-Schedule_Inputs!$B$15=1,Assumptions!$C$21,IF(17-Schedule_Inputs!$B$15=2,Assumptions!$D$21,0))),IF(Schedule_Inputs!$C$15="Launch",$C15*IF(17-Schedule_Inputs!$B$15=0,Assumptions!$B$22,IF(17-Schedule_Inputs!$B$15=1,Assumptions!$C$22,IF(17-Schedule_Inputs!$B$15=2,Assumptions!$D$22,IF(17-Schedule_Inputs!$B$15=3,Assumptions!$B$23,0)))),IF(Schedule_Inputs!$C$15="Office Setup",$C15*IF(17-Schedule_Inputs!$B$15=0,Assumptions!$B$24,IF(17-Schedule_Inputs!$B$15=1,Assumptions!$C$24,IF(17-Schedule_Inputs!$B$15=2,Assumptions!$D$24,0))),IF(OR(Schedule_Inputs!$C$15="Monthly",Schedule_Inputs!$C$15="Periodic"),IF(AND(17&gt;=Schedule_Inputs!$B$15,MOD(17-Schedule_Inputs!$B$15,Schedule_Inputs!$E$15)=0,(17-Schedule_Inputs!$B$15)/Schedule_Inputs!$E$15&lt;Schedule_Inputs!$D$15),$C15/Schedule_Inputs!$D$15,0),0))))</f>
        <v>0</v>
      </c>
      <c r="V15" s="31">
        <f>IF(Schedule_Inputs!$C$15="Blueprint",$C15*IF(18-Schedule_Inputs!$B$15=0,Assumptions!$B$21,IF(18-Schedule_Inputs!$B$15=1,Assumptions!$C$21,IF(18-Schedule_Inputs!$B$15=2,Assumptions!$D$21,0))),IF(Schedule_Inputs!$C$15="Launch",$C15*IF(18-Schedule_Inputs!$B$15=0,Assumptions!$B$22,IF(18-Schedule_Inputs!$B$15=1,Assumptions!$C$22,IF(18-Schedule_Inputs!$B$15=2,Assumptions!$D$22,IF(18-Schedule_Inputs!$B$15=3,Assumptions!$B$23,0)))),IF(Schedule_Inputs!$C$15="Office Setup",$C15*IF(18-Schedule_Inputs!$B$15=0,Assumptions!$B$24,IF(18-Schedule_Inputs!$B$15=1,Assumptions!$C$24,IF(18-Schedule_Inputs!$B$15=2,Assumptions!$D$24,0))),IF(OR(Schedule_Inputs!$C$15="Monthly",Schedule_Inputs!$C$15="Periodic"),IF(AND(18&gt;=Schedule_Inputs!$B$15,MOD(18-Schedule_Inputs!$B$15,Schedule_Inputs!$E$15)=0,(18-Schedule_Inputs!$B$15)/Schedule_Inputs!$E$15&lt;Schedule_Inputs!$D$15),$C15/Schedule_Inputs!$D$15,0),0))))</f>
        <v>12500</v>
      </c>
      <c r="W15" s="31">
        <f>IF(Schedule_Inputs!$C$15="Blueprint",$C15*IF(19-Schedule_Inputs!$B$15=0,Assumptions!$B$21,IF(19-Schedule_Inputs!$B$15=1,Assumptions!$C$21,IF(19-Schedule_Inputs!$B$15=2,Assumptions!$D$21,0))),IF(Schedule_Inputs!$C$15="Launch",$C15*IF(19-Schedule_Inputs!$B$15=0,Assumptions!$B$22,IF(19-Schedule_Inputs!$B$15=1,Assumptions!$C$22,IF(19-Schedule_Inputs!$B$15=2,Assumptions!$D$22,IF(19-Schedule_Inputs!$B$15=3,Assumptions!$B$23,0)))),IF(Schedule_Inputs!$C$15="Office Setup",$C15*IF(19-Schedule_Inputs!$B$15=0,Assumptions!$B$24,IF(19-Schedule_Inputs!$B$15=1,Assumptions!$C$24,IF(19-Schedule_Inputs!$B$15=2,Assumptions!$D$24,0))),IF(OR(Schedule_Inputs!$C$15="Monthly",Schedule_Inputs!$C$15="Periodic"),IF(AND(19&gt;=Schedule_Inputs!$B$15,MOD(19-Schedule_Inputs!$B$15,Schedule_Inputs!$E$15)=0,(19-Schedule_Inputs!$B$15)/Schedule_Inputs!$E$15&lt;Schedule_Inputs!$D$15),$C15/Schedule_Inputs!$D$15,0),0))))</f>
        <v>7500</v>
      </c>
      <c r="X15" s="31">
        <f>IF(Schedule_Inputs!$C$15="Blueprint",$C15*IF(20-Schedule_Inputs!$B$15=0,Assumptions!$B$21,IF(20-Schedule_Inputs!$B$15=1,Assumptions!$C$21,IF(20-Schedule_Inputs!$B$15=2,Assumptions!$D$21,0))),IF(Schedule_Inputs!$C$15="Launch",$C15*IF(20-Schedule_Inputs!$B$15=0,Assumptions!$B$22,IF(20-Schedule_Inputs!$B$15=1,Assumptions!$C$22,IF(20-Schedule_Inputs!$B$15=2,Assumptions!$D$22,IF(20-Schedule_Inputs!$B$15=3,Assumptions!$B$23,0)))),IF(Schedule_Inputs!$C$15="Office Setup",$C15*IF(20-Schedule_Inputs!$B$15=0,Assumptions!$B$24,IF(20-Schedule_Inputs!$B$15=1,Assumptions!$C$24,IF(20-Schedule_Inputs!$B$15=2,Assumptions!$D$24,0))),IF(OR(Schedule_Inputs!$C$15="Monthly",Schedule_Inputs!$C$15="Periodic"),IF(AND(20&gt;=Schedule_Inputs!$B$15,MOD(20-Schedule_Inputs!$B$15,Schedule_Inputs!$E$15)=0,(20-Schedule_Inputs!$B$15)/Schedule_Inputs!$E$15&lt;Schedule_Inputs!$D$15),$C15/Schedule_Inputs!$D$15,0),0))))</f>
        <v>5000</v>
      </c>
      <c r="Y15" s="31">
        <f>IF(Schedule_Inputs!$C$15="Blueprint",$C15*IF(21-Schedule_Inputs!$B$15=0,Assumptions!$B$21,IF(21-Schedule_Inputs!$B$15=1,Assumptions!$C$21,IF(21-Schedule_Inputs!$B$15=2,Assumptions!$D$21,0))),IF(Schedule_Inputs!$C$15="Launch",$C15*IF(21-Schedule_Inputs!$B$15=0,Assumptions!$B$22,IF(21-Schedule_Inputs!$B$15=1,Assumptions!$C$22,IF(21-Schedule_Inputs!$B$15=2,Assumptions!$D$22,IF(21-Schedule_Inputs!$B$15=3,Assumptions!$B$23,0)))),IF(Schedule_Inputs!$C$15="Office Setup",$C15*IF(21-Schedule_Inputs!$B$15=0,Assumptions!$B$24,IF(21-Schedule_Inputs!$B$15=1,Assumptions!$C$24,IF(21-Schedule_Inputs!$B$15=2,Assumptions!$D$24,0))),IF(OR(Schedule_Inputs!$C$15="Monthly",Schedule_Inputs!$C$15="Periodic"),IF(AND(21&gt;=Schedule_Inputs!$B$15,MOD(21-Schedule_Inputs!$B$15,Schedule_Inputs!$E$15)=0,(21-Schedule_Inputs!$B$15)/Schedule_Inputs!$E$15&lt;Schedule_Inputs!$D$15),$C15/Schedule_Inputs!$D$15,0),0))))</f>
        <v>0</v>
      </c>
      <c r="Z15" s="31">
        <f>IF(Schedule_Inputs!$C$15="Blueprint",$C15*IF(22-Schedule_Inputs!$B$15=0,Assumptions!$B$21,IF(22-Schedule_Inputs!$B$15=1,Assumptions!$C$21,IF(22-Schedule_Inputs!$B$15=2,Assumptions!$D$21,0))),IF(Schedule_Inputs!$C$15="Launch",$C15*IF(22-Schedule_Inputs!$B$15=0,Assumptions!$B$22,IF(22-Schedule_Inputs!$B$15=1,Assumptions!$C$22,IF(22-Schedule_Inputs!$B$15=2,Assumptions!$D$22,IF(22-Schedule_Inputs!$B$15=3,Assumptions!$B$23,0)))),IF(Schedule_Inputs!$C$15="Office Setup",$C15*IF(22-Schedule_Inputs!$B$15=0,Assumptions!$B$24,IF(22-Schedule_Inputs!$B$15=1,Assumptions!$C$24,IF(22-Schedule_Inputs!$B$15=2,Assumptions!$D$24,0))),IF(OR(Schedule_Inputs!$C$15="Monthly",Schedule_Inputs!$C$15="Periodic"),IF(AND(22&gt;=Schedule_Inputs!$B$15,MOD(22-Schedule_Inputs!$B$15,Schedule_Inputs!$E$15)=0,(22-Schedule_Inputs!$B$15)/Schedule_Inputs!$E$15&lt;Schedule_Inputs!$D$15),$C15/Schedule_Inputs!$D$15,0),0))))</f>
        <v>0</v>
      </c>
      <c r="AA15" s="31">
        <f>IF(Schedule_Inputs!$C$15="Blueprint",$C15*IF(23-Schedule_Inputs!$B$15=0,Assumptions!$B$21,IF(23-Schedule_Inputs!$B$15=1,Assumptions!$C$21,IF(23-Schedule_Inputs!$B$15=2,Assumptions!$D$21,0))),IF(Schedule_Inputs!$C$15="Launch",$C15*IF(23-Schedule_Inputs!$B$15=0,Assumptions!$B$22,IF(23-Schedule_Inputs!$B$15=1,Assumptions!$C$22,IF(23-Schedule_Inputs!$B$15=2,Assumptions!$D$22,IF(23-Schedule_Inputs!$B$15=3,Assumptions!$B$23,0)))),IF(Schedule_Inputs!$C$15="Office Setup",$C15*IF(23-Schedule_Inputs!$B$15=0,Assumptions!$B$24,IF(23-Schedule_Inputs!$B$15=1,Assumptions!$C$24,IF(23-Schedule_Inputs!$B$15=2,Assumptions!$D$24,0))),IF(OR(Schedule_Inputs!$C$15="Monthly",Schedule_Inputs!$C$15="Periodic"),IF(AND(23&gt;=Schedule_Inputs!$B$15,MOD(23-Schedule_Inputs!$B$15,Schedule_Inputs!$E$15)=0,(23-Schedule_Inputs!$B$15)/Schedule_Inputs!$E$15&lt;Schedule_Inputs!$D$15),$C15/Schedule_Inputs!$D$15,0),0))))</f>
        <v>0</v>
      </c>
      <c r="AB15" s="31">
        <f>IF(Schedule_Inputs!$C$15="Blueprint",$C15*IF(24-Schedule_Inputs!$B$15=0,Assumptions!$B$21,IF(24-Schedule_Inputs!$B$15=1,Assumptions!$C$21,IF(24-Schedule_Inputs!$B$15=2,Assumptions!$D$21,0))),IF(Schedule_Inputs!$C$15="Launch",$C15*IF(24-Schedule_Inputs!$B$15=0,Assumptions!$B$22,IF(24-Schedule_Inputs!$B$15=1,Assumptions!$C$22,IF(24-Schedule_Inputs!$B$15=2,Assumptions!$D$22,IF(24-Schedule_Inputs!$B$15=3,Assumptions!$B$23,0)))),IF(Schedule_Inputs!$C$15="Office Setup",$C15*IF(24-Schedule_Inputs!$B$15=0,Assumptions!$B$24,IF(24-Schedule_Inputs!$B$15=1,Assumptions!$C$24,IF(24-Schedule_Inputs!$B$15=2,Assumptions!$D$24,0))),IF(OR(Schedule_Inputs!$C$15="Monthly",Schedule_Inputs!$C$15="Periodic"),IF(AND(24&gt;=Schedule_Inputs!$B$15,MOD(24-Schedule_Inputs!$B$15,Schedule_Inputs!$E$15)=0,(24-Schedule_Inputs!$B$15)/Schedule_Inputs!$E$15&lt;Schedule_Inputs!$D$15),$C15/Schedule_Inputs!$D$15,0),0))))</f>
        <v>0</v>
      </c>
      <c r="AC15" s="31">
        <f>IF(Schedule_Inputs!$C$15="Blueprint",$C15*IF(25-Schedule_Inputs!$B$15=0,Assumptions!$B$21,IF(25-Schedule_Inputs!$B$15=1,Assumptions!$C$21,IF(25-Schedule_Inputs!$B$15=2,Assumptions!$D$21,0))),IF(Schedule_Inputs!$C$15="Launch",$C15*IF(25-Schedule_Inputs!$B$15=0,Assumptions!$B$22,IF(25-Schedule_Inputs!$B$15=1,Assumptions!$C$22,IF(25-Schedule_Inputs!$B$15=2,Assumptions!$D$22,IF(25-Schedule_Inputs!$B$15=3,Assumptions!$B$23,0)))),IF(Schedule_Inputs!$C$15="Office Setup",$C15*IF(25-Schedule_Inputs!$B$15=0,Assumptions!$B$24,IF(25-Schedule_Inputs!$B$15=1,Assumptions!$C$24,IF(25-Schedule_Inputs!$B$15=2,Assumptions!$D$24,0))),IF(OR(Schedule_Inputs!$C$15="Monthly",Schedule_Inputs!$C$15="Periodic"),IF(AND(25&gt;=Schedule_Inputs!$B$15,MOD(25-Schedule_Inputs!$B$15,Schedule_Inputs!$E$15)=0,(25-Schedule_Inputs!$B$15)/Schedule_Inputs!$E$15&lt;Schedule_Inputs!$D$15),$C15/Schedule_Inputs!$D$15,0),0))))</f>
        <v>0</v>
      </c>
      <c r="AD15" s="31">
        <f>IF(Schedule_Inputs!$C$15="Blueprint",$C15*IF(26-Schedule_Inputs!$B$15=0,Assumptions!$B$21,IF(26-Schedule_Inputs!$B$15=1,Assumptions!$C$21,IF(26-Schedule_Inputs!$B$15=2,Assumptions!$D$21,0))),IF(Schedule_Inputs!$C$15="Launch",$C15*IF(26-Schedule_Inputs!$B$15=0,Assumptions!$B$22,IF(26-Schedule_Inputs!$B$15=1,Assumptions!$C$22,IF(26-Schedule_Inputs!$B$15=2,Assumptions!$D$22,IF(26-Schedule_Inputs!$B$15=3,Assumptions!$B$23,0)))),IF(Schedule_Inputs!$C$15="Office Setup",$C15*IF(26-Schedule_Inputs!$B$15=0,Assumptions!$B$24,IF(26-Schedule_Inputs!$B$15=1,Assumptions!$C$24,IF(26-Schedule_Inputs!$B$15=2,Assumptions!$D$24,0))),IF(OR(Schedule_Inputs!$C$15="Monthly",Schedule_Inputs!$C$15="Periodic"),IF(AND(26&gt;=Schedule_Inputs!$B$15,MOD(26-Schedule_Inputs!$B$15,Schedule_Inputs!$E$15)=0,(26-Schedule_Inputs!$B$15)/Schedule_Inputs!$E$15&lt;Schedule_Inputs!$D$15),$C15/Schedule_Inputs!$D$15,0),0))))</f>
        <v>0</v>
      </c>
      <c r="AE15" s="31">
        <f>IF(Schedule_Inputs!$C$15="Blueprint",$C15*IF(27-Schedule_Inputs!$B$15=0,Assumptions!$B$21,IF(27-Schedule_Inputs!$B$15=1,Assumptions!$C$21,IF(27-Schedule_Inputs!$B$15=2,Assumptions!$D$21,0))),IF(Schedule_Inputs!$C$15="Launch",$C15*IF(27-Schedule_Inputs!$B$15=0,Assumptions!$B$22,IF(27-Schedule_Inputs!$B$15=1,Assumptions!$C$22,IF(27-Schedule_Inputs!$B$15=2,Assumptions!$D$22,IF(27-Schedule_Inputs!$B$15=3,Assumptions!$B$23,0)))),IF(Schedule_Inputs!$C$15="Office Setup",$C15*IF(27-Schedule_Inputs!$B$15=0,Assumptions!$B$24,IF(27-Schedule_Inputs!$B$15=1,Assumptions!$C$24,IF(27-Schedule_Inputs!$B$15=2,Assumptions!$D$24,0))),IF(OR(Schedule_Inputs!$C$15="Monthly",Schedule_Inputs!$C$15="Periodic"),IF(AND(27&gt;=Schedule_Inputs!$B$15,MOD(27-Schedule_Inputs!$B$15,Schedule_Inputs!$E$15)=0,(27-Schedule_Inputs!$B$15)/Schedule_Inputs!$E$15&lt;Schedule_Inputs!$D$15),$C15/Schedule_Inputs!$D$15,0),0))))</f>
        <v>0</v>
      </c>
      <c r="AF15" s="31">
        <f>IF(Schedule_Inputs!$C$15="Blueprint",$C15*IF(28-Schedule_Inputs!$B$15=0,Assumptions!$B$21,IF(28-Schedule_Inputs!$B$15=1,Assumptions!$C$21,IF(28-Schedule_Inputs!$B$15=2,Assumptions!$D$21,0))),IF(Schedule_Inputs!$C$15="Launch",$C15*IF(28-Schedule_Inputs!$B$15=0,Assumptions!$B$22,IF(28-Schedule_Inputs!$B$15=1,Assumptions!$C$22,IF(28-Schedule_Inputs!$B$15=2,Assumptions!$D$22,IF(28-Schedule_Inputs!$B$15=3,Assumptions!$B$23,0)))),IF(Schedule_Inputs!$C$15="Office Setup",$C15*IF(28-Schedule_Inputs!$B$15=0,Assumptions!$B$24,IF(28-Schedule_Inputs!$B$15=1,Assumptions!$C$24,IF(28-Schedule_Inputs!$B$15=2,Assumptions!$D$24,0))),IF(OR(Schedule_Inputs!$C$15="Monthly",Schedule_Inputs!$C$15="Periodic"),IF(AND(28&gt;=Schedule_Inputs!$B$15,MOD(28-Schedule_Inputs!$B$15,Schedule_Inputs!$E$15)=0,(28-Schedule_Inputs!$B$15)/Schedule_Inputs!$E$15&lt;Schedule_Inputs!$D$15),$C15/Schedule_Inputs!$D$15,0),0))))</f>
        <v>0</v>
      </c>
      <c r="AG15" s="31">
        <f>IF(Schedule_Inputs!$C$15="Blueprint",$C15*IF(29-Schedule_Inputs!$B$15=0,Assumptions!$B$21,IF(29-Schedule_Inputs!$B$15=1,Assumptions!$C$21,IF(29-Schedule_Inputs!$B$15=2,Assumptions!$D$21,0))),IF(Schedule_Inputs!$C$15="Launch",$C15*IF(29-Schedule_Inputs!$B$15=0,Assumptions!$B$22,IF(29-Schedule_Inputs!$B$15=1,Assumptions!$C$22,IF(29-Schedule_Inputs!$B$15=2,Assumptions!$D$22,IF(29-Schedule_Inputs!$B$15=3,Assumptions!$B$23,0)))),IF(Schedule_Inputs!$C$15="Office Setup",$C15*IF(29-Schedule_Inputs!$B$15=0,Assumptions!$B$24,IF(29-Schedule_Inputs!$B$15=1,Assumptions!$C$24,IF(29-Schedule_Inputs!$B$15=2,Assumptions!$D$24,0))),IF(OR(Schedule_Inputs!$C$15="Monthly",Schedule_Inputs!$C$15="Periodic"),IF(AND(29&gt;=Schedule_Inputs!$B$15,MOD(29-Schedule_Inputs!$B$15,Schedule_Inputs!$E$15)=0,(29-Schedule_Inputs!$B$15)/Schedule_Inputs!$E$15&lt;Schedule_Inputs!$D$15),$C15/Schedule_Inputs!$D$15,0),0))))</f>
        <v>0</v>
      </c>
      <c r="AH15" s="31">
        <f>IF(Schedule_Inputs!$C$15="Blueprint",$C15*IF(30-Schedule_Inputs!$B$15=0,Assumptions!$B$21,IF(30-Schedule_Inputs!$B$15=1,Assumptions!$C$21,IF(30-Schedule_Inputs!$B$15=2,Assumptions!$D$21,0))),IF(Schedule_Inputs!$C$15="Launch",$C15*IF(30-Schedule_Inputs!$B$15=0,Assumptions!$B$22,IF(30-Schedule_Inputs!$B$15=1,Assumptions!$C$22,IF(30-Schedule_Inputs!$B$15=2,Assumptions!$D$22,IF(30-Schedule_Inputs!$B$15=3,Assumptions!$B$23,0)))),IF(Schedule_Inputs!$C$15="Office Setup",$C15*IF(30-Schedule_Inputs!$B$15=0,Assumptions!$B$24,IF(30-Schedule_Inputs!$B$15=1,Assumptions!$C$24,IF(30-Schedule_Inputs!$B$15=2,Assumptions!$D$24,0))),IF(OR(Schedule_Inputs!$C$15="Monthly",Schedule_Inputs!$C$15="Periodic"),IF(AND(30&gt;=Schedule_Inputs!$B$15,MOD(30-Schedule_Inputs!$B$15,Schedule_Inputs!$E$15)=0,(30-Schedule_Inputs!$B$15)/Schedule_Inputs!$E$15&lt;Schedule_Inputs!$D$15),$C15/Schedule_Inputs!$D$15,0),0))))</f>
        <v>0</v>
      </c>
      <c r="AI15" s="31">
        <f>IF(Schedule_Inputs!$C$15="Blueprint",$C15*IF(31-Schedule_Inputs!$B$15=0,Assumptions!$B$21,IF(31-Schedule_Inputs!$B$15=1,Assumptions!$C$21,IF(31-Schedule_Inputs!$B$15=2,Assumptions!$D$21,0))),IF(Schedule_Inputs!$C$15="Launch",$C15*IF(31-Schedule_Inputs!$B$15=0,Assumptions!$B$22,IF(31-Schedule_Inputs!$B$15=1,Assumptions!$C$22,IF(31-Schedule_Inputs!$B$15=2,Assumptions!$D$22,IF(31-Schedule_Inputs!$B$15=3,Assumptions!$B$23,0)))),IF(Schedule_Inputs!$C$15="Office Setup",$C15*IF(31-Schedule_Inputs!$B$15=0,Assumptions!$B$24,IF(31-Schedule_Inputs!$B$15=1,Assumptions!$C$24,IF(31-Schedule_Inputs!$B$15=2,Assumptions!$D$24,0))),IF(OR(Schedule_Inputs!$C$15="Monthly",Schedule_Inputs!$C$15="Periodic"),IF(AND(31&gt;=Schedule_Inputs!$B$15,MOD(31-Schedule_Inputs!$B$15,Schedule_Inputs!$E$15)=0,(31-Schedule_Inputs!$B$15)/Schedule_Inputs!$E$15&lt;Schedule_Inputs!$D$15),$C15/Schedule_Inputs!$D$15,0),0))))</f>
        <v>0</v>
      </c>
      <c r="AJ15" s="31">
        <f>IF(Schedule_Inputs!$C$15="Blueprint",$C15*IF(32-Schedule_Inputs!$B$15=0,Assumptions!$B$21,IF(32-Schedule_Inputs!$B$15=1,Assumptions!$C$21,IF(32-Schedule_Inputs!$B$15=2,Assumptions!$D$21,0))),IF(Schedule_Inputs!$C$15="Launch",$C15*IF(32-Schedule_Inputs!$B$15=0,Assumptions!$B$22,IF(32-Schedule_Inputs!$B$15=1,Assumptions!$C$22,IF(32-Schedule_Inputs!$B$15=2,Assumptions!$D$22,IF(32-Schedule_Inputs!$B$15=3,Assumptions!$B$23,0)))),IF(Schedule_Inputs!$C$15="Office Setup",$C15*IF(32-Schedule_Inputs!$B$15=0,Assumptions!$B$24,IF(32-Schedule_Inputs!$B$15=1,Assumptions!$C$24,IF(32-Schedule_Inputs!$B$15=2,Assumptions!$D$24,0))),IF(OR(Schedule_Inputs!$C$15="Monthly",Schedule_Inputs!$C$15="Periodic"),IF(AND(32&gt;=Schedule_Inputs!$B$15,MOD(32-Schedule_Inputs!$B$15,Schedule_Inputs!$E$15)=0,(32-Schedule_Inputs!$B$15)/Schedule_Inputs!$E$15&lt;Schedule_Inputs!$D$15),$C15/Schedule_Inputs!$D$15,0),0))))</f>
        <v>0</v>
      </c>
      <c r="AK15" s="31">
        <f>IF(Schedule_Inputs!$C$15="Blueprint",$C15*IF(33-Schedule_Inputs!$B$15=0,Assumptions!$B$21,IF(33-Schedule_Inputs!$B$15=1,Assumptions!$C$21,IF(33-Schedule_Inputs!$B$15=2,Assumptions!$D$21,0))),IF(Schedule_Inputs!$C$15="Launch",$C15*IF(33-Schedule_Inputs!$B$15=0,Assumptions!$B$22,IF(33-Schedule_Inputs!$B$15=1,Assumptions!$C$22,IF(33-Schedule_Inputs!$B$15=2,Assumptions!$D$22,IF(33-Schedule_Inputs!$B$15=3,Assumptions!$B$23,0)))),IF(Schedule_Inputs!$C$15="Office Setup",$C15*IF(33-Schedule_Inputs!$B$15=0,Assumptions!$B$24,IF(33-Schedule_Inputs!$B$15=1,Assumptions!$C$24,IF(33-Schedule_Inputs!$B$15=2,Assumptions!$D$24,0))),IF(OR(Schedule_Inputs!$C$15="Monthly",Schedule_Inputs!$C$15="Periodic"),IF(AND(33&gt;=Schedule_Inputs!$B$15,MOD(33-Schedule_Inputs!$B$15,Schedule_Inputs!$E$15)=0,(33-Schedule_Inputs!$B$15)/Schedule_Inputs!$E$15&lt;Schedule_Inputs!$D$15),$C15/Schedule_Inputs!$D$15,0),0))))</f>
        <v>0</v>
      </c>
      <c r="AL15" s="31">
        <f>IF(Schedule_Inputs!$C$15="Blueprint",$C15*IF(34-Schedule_Inputs!$B$15=0,Assumptions!$B$21,IF(34-Schedule_Inputs!$B$15=1,Assumptions!$C$21,IF(34-Schedule_Inputs!$B$15=2,Assumptions!$D$21,0))),IF(Schedule_Inputs!$C$15="Launch",$C15*IF(34-Schedule_Inputs!$B$15=0,Assumptions!$B$22,IF(34-Schedule_Inputs!$B$15=1,Assumptions!$C$22,IF(34-Schedule_Inputs!$B$15=2,Assumptions!$D$22,IF(34-Schedule_Inputs!$B$15=3,Assumptions!$B$23,0)))),IF(Schedule_Inputs!$C$15="Office Setup",$C15*IF(34-Schedule_Inputs!$B$15=0,Assumptions!$B$24,IF(34-Schedule_Inputs!$B$15=1,Assumptions!$C$24,IF(34-Schedule_Inputs!$B$15=2,Assumptions!$D$24,0))),IF(OR(Schedule_Inputs!$C$15="Monthly",Schedule_Inputs!$C$15="Periodic"),IF(AND(34&gt;=Schedule_Inputs!$B$15,MOD(34-Schedule_Inputs!$B$15,Schedule_Inputs!$E$15)=0,(34-Schedule_Inputs!$B$15)/Schedule_Inputs!$E$15&lt;Schedule_Inputs!$D$15),$C15/Schedule_Inputs!$D$15,0),0))))</f>
        <v>0</v>
      </c>
      <c r="AM15" s="31">
        <f>IF(Schedule_Inputs!$C$15="Blueprint",$C15*IF(35-Schedule_Inputs!$B$15=0,Assumptions!$B$21,IF(35-Schedule_Inputs!$B$15=1,Assumptions!$C$21,IF(35-Schedule_Inputs!$B$15=2,Assumptions!$D$21,0))),IF(Schedule_Inputs!$C$15="Launch",$C15*IF(35-Schedule_Inputs!$B$15=0,Assumptions!$B$22,IF(35-Schedule_Inputs!$B$15=1,Assumptions!$C$22,IF(35-Schedule_Inputs!$B$15=2,Assumptions!$D$22,IF(35-Schedule_Inputs!$B$15=3,Assumptions!$B$23,0)))),IF(Schedule_Inputs!$C$15="Office Setup",$C15*IF(35-Schedule_Inputs!$B$15=0,Assumptions!$B$24,IF(35-Schedule_Inputs!$B$15=1,Assumptions!$C$24,IF(35-Schedule_Inputs!$B$15=2,Assumptions!$D$24,0))),IF(OR(Schedule_Inputs!$C$15="Monthly",Schedule_Inputs!$C$15="Periodic"),IF(AND(35&gt;=Schedule_Inputs!$B$15,MOD(35-Schedule_Inputs!$B$15,Schedule_Inputs!$E$15)=0,(35-Schedule_Inputs!$B$15)/Schedule_Inputs!$E$15&lt;Schedule_Inputs!$D$15),$C15/Schedule_Inputs!$D$15,0),0))))</f>
        <v>0</v>
      </c>
      <c r="AN15" s="31">
        <f>IF(Schedule_Inputs!$C$15="Blueprint",$C15*IF(36-Schedule_Inputs!$B$15=0,Assumptions!$B$21,IF(36-Schedule_Inputs!$B$15=1,Assumptions!$C$21,IF(36-Schedule_Inputs!$B$15=2,Assumptions!$D$21,0))),IF(Schedule_Inputs!$C$15="Launch",$C15*IF(36-Schedule_Inputs!$B$15=0,Assumptions!$B$22,IF(36-Schedule_Inputs!$B$15=1,Assumptions!$C$22,IF(36-Schedule_Inputs!$B$15=2,Assumptions!$D$22,IF(36-Schedule_Inputs!$B$15=3,Assumptions!$B$23,0)))),IF(Schedule_Inputs!$C$15="Office Setup",$C15*IF(36-Schedule_Inputs!$B$15=0,Assumptions!$B$24,IF(36-Schedule_Inputs!$B$15=1,Assumptions!$C$24,IF(36-Schedule_Inputs!$B$15=2,Assumptions!$D$24,0))),IF(OR(Schedule_Inputs!$C$15="Monthly",Schedule_Inputs!$C$15="Periodic"),IF(AND(36&gt;=Schedule_Inputs!$B$15,MOD(36-Schedule_Inputs!$B$15,Schedule_Inputs!$E$15)=0,(36-Schedule_Inputs!$B$15)/Schedule_Inputs!$E$15&lt;Schedule_Inputs!$D$15),$C15/Schedule_Inputs!$D$15,0),0))))</f>
        <v>0</v>
      </c>
    </row>
    <row r="16" spans="1:40">
      <c r="A16" s="29" t="s">
        <v>246</v>
      </c>
      <c r="B16" s="29">
        <v>2</v>
      </c>
      <c r="C16" s="30">
        <v>72000</v>
      </c>
      <c r="D16" s="31" t="s">
        <v>237</v>
      </c>
      <c r="E16" s="31">
        <f>IF(Schedule_Inputs!$C$16="Blueprint",$C16*IF(1-Schedule_Inputs!$B$16=0,Assumptions!$B$21,IF(1-Schedule_Inputs!$B$16=1,Assumptions!$C$21,IF(1-Schedule_Inputs!$B$16=2,Assumptions!$D$21,0))),IF(Schedule_Inputs!$C$16="Launch",$C16*IF(1-Schedule_Inputs!$B$16=0,Assumptions!$B$22,IF(1-Schedule_Inputs!$B$16=1,Assumptions!$C$22,IF(1-Schedule_Inputs!$B$16=2,Assumptions!$D$22,IF(1-Schedule_Inputs!$B$16=3,Assumptions!$B$23,0)))),IF(Schedule_Inputs!$C$16="Office Setup",$C16*IF(1-Schedule_Inputs!$B$16=0,Assumptions!$B$24,IF(1-Schedule_Inputs!$B$16=1,Assumptions!$C$24,IF(1-Schedule_Inputs!$B$16=2,Assumptions!$D$24,0))),IF(OR(Schedule_Inputs!$C$16="Monthly",Schedule_Inputs!$C$16="Periodic"),IF(AND(1&gt;=Schedule_Inputs!$B$16,MOD(1-Schedule_Inputs!$B$16,Schedule_Inputs!$E$16)=0,(1-Schedule_Inputs!$B$16)/Schedule_Inputs!$E$16&lt;Schedule_Inputs!$D$16),$C16/Schedule_Inputs!$D$16,0),0))))</f>
        <v>0</v>
      </c>
      <c r="F16" s="31">
        <f>IF(Schedule_Inputs!$C$16="Blueprint",$C16*IF(2-Schedule_Inputs!$B$16=0,Assumptions!$B$21,IF(2-Schedule_Inputs!$B$16=1,Assumptions!$C$21,IF(2-Schedule_Inputs!$B$16=2,Assumptions!$D$21,0))),IF(Schedule_Inputs!$C$16="Launch",$C16*IF(2-Schedule_Inputs!$B$16=0,Assumptions!$B$22,IF(2-Schedule_Inputs!$B$16=1,Assumptions!$C$22,IF(2-Schedule_Inputs!$B$16=2,Assumptions!$D$22,IF(2-Schedule_Inputs!$B$16=3,Assumptions!$B$23,0)))),IF(Schedule_Inputs!$C$16="Office Setup",$C16*IF(2-Schedule_Inputs!$B$16=0,Assumptions!$B$24,IF(2-Schedule_Inputs!$B$16=1,Assumptions!$C$24,IF(2-Schedule_Inputs!$B$16=2,Assumptions!$D$24,0))),IF(OR(Schedule_Inputs!$C$16="Monthly",Schedule_Inputs!$C$16="Periodic"),IF(AND(2&gt;=Schedule_Inputs!$B$16,MOD(2-Schedule_Inputs!$B$16,Schedule_Inputs!$E$16)=0,(2-Schedule_Inputs!$B$16)/Schedule_Inputs!$E$16&lt;Schedule_Inputs!$D$16),$C16/Schedule_Inputs!$D$16,0),0))))</f>
        <v>0</v>
      </c>
      <c r="G16" s="31">
        <f>IF(Schedule_Inputs!$C$16="Blueprint",$C16*IF(3-Schedule_Inputs!$B$16=0,Assumptions!$B$21,IF(3-Schedule_Inputs!$B$16=1,Assumptions!$C$21,IF(3-Schedule_Inputs!$B$16=2,Assumptions!$D$21,0))),IF(Schedule_Inputs!$C$16="Launch",$C16*IF(3-Schedule_Inputs!$B$16=0,Assumptions!$B$22,IF(3-Schedule_Inputs!$B$16=1,Assumptions!$C$22,IF(3-Schedule_Inputs!$B$16=2,Assumptions!$D$22,IF(3-Schedule_Inputs!$B$16=3,Assumptions!$B$23,0)))),IF(Schedule_Inputs!$C$16="Office Setup",$C16*IF(3-Schedule_Inputs!$B$16=0,Assumptions!$B$24,IF(3-Schedule_Inputs!$B$16=1,Assumptions!$C$24,IF(3-Schedule_Inputs!$B$16=2,Assumptions!$D$24,0))),IF(OR(Schedule_Inputs!$C$16="Monthly",Schedule_Inputs!$C$16="Periodic"),IF(AND(3&gt;=Schedule_Inputs!$B$16,MOD(3-Schedule_Inputs!$B$16,Schedule_Inputs!$E$16)=0,(3-Schedule_Inputs!$B$16)/Schedule_Inputs!$E$16&lt;Schedule_Inputs!$D$16),$C16/Schedule_Inputs!$D$16,0),0))))</f>
        <v>0</v>
      </c>
      <c r="H16" s="31">
        <f>IF(Schedule_Inputs!$C$16="Blueprint",$C16*IF(4-Schedule_Inputs!$B$16=0,Assumptions!$B$21,IF(4-Schedule_Inputs!$B$16=1,Assumptions!$C$21,IF(4-Schedule_Inputs!$B$16=2,Assumptions!$D$21,0))),IF(Schedule_Inputs!$C$16="Launch",$C16*IF(4-Schedule_Inputs!$B$16=0,Assumptions!$B$22,IF(4-Schedule_Inputs!$B$16=1,Assumptions!$C$22,IF(4-Schedule_Inputs!$B$16=2,Assumptions!$D$22,IF(4-Schedule_Inputs!$B$16=3,Assumptions!$B$23,0)))),IF(Schedule_Inputs!$C$16="Office Setup",$C16*IF(4-Schedule_Inputs!$B$16=0,Assumptions!$B$24,IF(4-Schedule_Inputs!$B$16=1,Assumptions!$C$24,IF(4-Schedule_Inputs!$B$16=2,Assumptions!$D$24,0))),IF(OR(Schedule_Inputs!$C$16="Monthly",Schedule_Inputs!$C$16="Periodic"),IF(AND(4&gt;=Schedule_Inputs!$B$16,MOD(4-Schedule_Inputs!$B$16,Schedule_Inputs!$E$16)=0,(4-Schedule_Inputs!$B$16)/Schedule_Inputs!$E$16&lt;Schedule_Inputs!$D$16),$C16/Schedule_Inputs!$D$16,0),0))))</f>
        <v>0</v>
      </c>
      <c r="I16" s="31">
        <f>IF(Schedule_Inputs!$C$16="Blueprint",$C16*IF(5-Schedule_Inputs!$B$16=0,Assumptions!$B$21,IF(5-Schedule_Inputs!$B$16=1,Assumptions!$C$21,IF(5-Schedule_Inputs!$B$16=2,Assumptions!$D$21,0))),IF(Schedule_Inputs!$C$16="Launch",$C16*IF(5-Schedule_Inputs!$B$16=0,Assumptions!$B$22,IF(5-Schedule_Inputs!$B$16=1,Assumptions!$C$22,IF(5-Schedule_Inputs!$B$16=2,Assumptions!$D$22,IF(5-Schedule_Inputs!$B$16=3,Assumptions!$B$23,0)))),IF(Schedule_Inputs!$C$16="Office Setup",$C16*IF(5-Schedule_Inputs!$B$16=0,Assumptions!$B$24,IF(5-Schedule_Inputs!$B$16=1,Assumptions!$C$24,IF(5-Schedule_Inputs!$B$16=2,Assumptions!$D$24,0))),IF(OR(Schedule_Inputs!$C$16="Monthly",Schedule_Inputs!$C$16="Periodic"),IF(AND(5&gt;=Schedule_Inputs!$B$16,MOD(5-Schedule_Inputs!$B$16,Schedule_Inputs!$E$16)=0,(5-Schedule_Inputs!$B$16)/Schedule_Inputs!$E$16&lt;Schedule_Inputs!$D$16),$C16/Schedule_Inputs!$D$16,0),0))))</f>
        <v>0</v>
      </c>
      <c r="J16" s="31">
        <f>IF(Schedule_Inputs!$C$16="Blueprint",$C16*IF(6-Schedule_Inputs!$B$16=0,Assumptions!$B$21,IF(6-Schedule_Inputs!$B$16=1,Assumptions!$C$21,IF(6-Schedule_Inputs!$B$16=2,Assumptions!$D$21,0))),IF(Schedule_Inputs!$C$16="Launch",$C16*IF(6-Schedule_Inputs!$B$16=0,Assumptions!$B$22,IF(6-Schedule_Inputs!$B$16=1,Assumptions!$C$22,IF(6-Schedule_Inputs!$B$16=2,Assumptions!$D$22,IF(6-Schedule_Inputs!$B$16=3,Assumptions!$B$23,0)))),IF(Schedule_Inputs!$C$16="Office Setup",$C16*IF(6-Schedule_Inputs!$B$16=0,Assumptions!$B$24,IF(6-Schedule_Inputs!$B$16=1,Assumptions!$C$24,IF(6-Schedule_Inputs!$B$16=2,Assumptions!$D$24,0))),IF(OR(Schedule_Inputs!$C$16="Monthly",Schedule_Inputs!$C$16="Periodic"),IF(AND(6&gt;=Schedule_Inputs!$B$16,MOD(6-Schedule_Inputs!$B$16,Schedule_Inputs!$E$16)=0,(6-Schedule_Inputs!$B$16)/Schedule_Inputs!$E$16&lt;Schedule_Inputs!$D$16),$C16/Schedule_Inputs!$D$16,0),0))))</f>
        <v>0</v>
      </c>
      <c r="K16" s="31">
        <f>IF(Schedule_Inputs!$C$16="Blueprint",$C16*IF(7-Schedule_Inputs!$B$16=0,Assumptions!$B$21,IF(7-Schedule_Inputs!$B$16=1,Assumptions!$C$21,IF(7-Schedule_Inputs!$B$16=2,Assumptions!$D$21,0))),IF(Schedule_Inputs!$C$16="Launch",$C16*IF(7-Schedule_Inputs!$B$16=0,Assumptions!$B$22,IF(7-Schedule_Inputs!$B$16=1,Assumptions!$C$22,IF(7-Schedule_Inputs!$B$16=2,Assumptions!$D$22,IF(7-Schedule_Inputs!$B$16=3,Assumptions!$B$23,0)))),IF(Schedule_Inputs!$C$16="Office Setup",$C16*IF(7-Schedule_Inputs!$B$16=0,Assumptions!$B$24,IF(7-Schedule_Inputs!$B$16=1,Assumptions!$C$24,IF(7-Schedule_Inputs!$B$16=2,Assumptions!$D$24,0))),IF(OR(Schedule_Inputs!$C$16="Monthly",Schedule_Inputs!$C$16="Periodic"),IF(AND(7&gt;=Schedule_Inputs!$B$16,MOD(7-Schedule_Inputs!$B$16,Schedule_Inputs!$E$16)=0,(7-Schedule_Inputs!$B$16)/Schedule_Inputs!$E$16&lt;Schedule_Inputs!$D$16),$C16/Schedule_Inputs!$D$16,0),0))))</f>
        <v>0</v>
      </c>
      <c r="L16" s="31">
        <f>IF(Schedule_Inputs!$C$16="Blueprint",$C16*IF(8-Schedule_Inputs!$B$16=0,Assumptions!$B$21,IF(8-Schedule_Inputs!$B$16=1,Assumptions!$C$21,IF(8-Schedule_Inputs!$B$16=2,Assumptions!$D$21,0))),IF(Schedule_Inputs!$C$16="Launch",$C16*IF(8-Schedule_Inputs!$B$16=0,Assumptions!$B$22,IF(8-Schedule_Inputs!$B$16=1,Assumptions!$C$22,IF(8-Schedule_Inputs!$B$16=2,Assumptions!$D$22,IF(8-Schedule_Inputs!$B$16=3,Assumptions!$B$23,0)))),IF(Schedule_Inputs!$C$16="Office Setup",$C16*IF(8-Schedule_Inputs!$B$16=0,Assumptions!$B$24,IF(8-Schedule_Inputs!$B$16=1,Assumptions!$C$24,IF(8-Schedule_Inputs!$B$16=2,Assumptions!$D$24,0))),IF(OR(Schedule_Inputs!$C$16="Monthly",Schedule_Inputs!$C$16="Periodic"),IF(AND(8&gt;=Schedule_Inputs!$B$16,MOD(8-Schedule_Inputs!$B$16,Schedule_Inputs!$E$16)=0,(8-Schedule_Inputs!$B$16)/Schedule_Inputs!$E$16&lt;Schedule_Inputs!$D$16),$C16/Schedule_Inputs!$D$16,0),0))))</f>
        <v>0</v>
      </c>
      <c r="M16" s="31">
        <f>IF(Schedule_Inputs!$C$16="Blueprint",$C16*IF(9-Schedule_Inputs!$B$16=0,Assumptions!$B$21,IF(9-Schedule_Inputs!$B$16=1,Assumptions!$C$21,IF(9-Schedule_Inputs!$B$16=2,Assumptions!$D$21,0))),IF(Schedule_Inputs!$C$16="Launch",$C16*IF(9-Schedule_Inputs!$B$16=0,Assumptions!$B$22,IF(9-Schedule_Inputs!$B$16=1,Assumptions!$C$22,IF(9-Schedule_Inputs!$B$16=2,Assumptions!$D$22,IF(9-Schedule_Inputs!$B$16=3,Assumptions!$B$23,0)))),IF(Schedule_Inputs!$C$16="Office Setup",$C16*IF(9-Schedule_Inputs!$B$16=0,Assumptions!$B$24,IF(9-Schedule_Inputs!$B$16=1,Assumptions!$C$24,IF(9-Schedule_Inputs!$B$16=2,Assumptions!$D$24,0))),IF(OR(Schedule_Inputs!$C$16="Monthly",Schedule_Inputs!$C$16="Periodic"),IF(AND(9&gt;=Schedule_Inputs!$B$16,MOD(9-Schedule_Inputs!$B$16,Schedule_Inputs!$E$16)=0,(9-Schedule_Inputs!$B$16)/Schedule_Inputs!$E$16&lt;Schedule_Inputs!$D$16),$C16/Schedule_Inputs!$D$16,0),0))))</f>
        <v>0</v>
      </c>
      <c r="N16" s="31">
        <f>IF(Schedule_Inputs!$C$16="Blueprint",$C16*IF(10-Schedule_Inputs!$B$16=0,Assumptions!$B$21,IF(10-Schedule_Inputs!$B$16=1,Assumptions!$C$21,IF(10-Schedule_Inputs!$B$16=2,Assumptions!$D$21,0))),IF(Schedule_Inputs!$C$16="Launch",$C16*IF(10-Schedule_Inputs!$B$16=0,Assumptions!$B$22,IF(10-Schedule_Inputs!$B$16=1,Assumptions!$C$22,IF(10-Schedule_Inputs!$B$16=2,Assumptions!$D$22,IF(10-Schedule_Inputs!$B$16=3,Assumptions!$B$23,0)))),IF(Schedule_Inputs!$C$16="Office Setup",$C16*IF(10-Schedule_Inputs!$B$16=0,Assumptions!$B$24,IF(10-Schedule_Inputs!$B$16=1,Assumptions!$C$24,IF(10-Schedule_Inputs!$B$16=2,Assumptions!$D$24,0))),IF(OR(Schedule_Inputs!$C$16="Monthly",Schedule_Inputs!$C$16="Periodic"),IF(AND(10&gt;=Schedule_Inputs!$B$16,MOD(10-Schedule_Inputs!$B$16,Schedule_Inputs!$E$16)=0,(10-Schedule_Inputs!$B$16)/Schedule_Inputs!$E$16&lt;Schedule_Inputs!$D$16),$C16/Schedule_Inputs!$D$16,0),0))))</f>
        <v>0</v>
      </c>
      <c r="O16" s="31">
        <f>IF(Schedule_Inputs!$C$16="Blueprint",$C16*IF(11-Schedule_Inputs!$B$16=0,Assumptions!$B$21,IF(11-Schedule_Inputs!$B$16=1,Assumptions!$C$21,IF(11-Schedule_Inputs!$B$16=2,Assumptions!$D$21,0))),IF(Schedule_Inputs!$C$16="Launch",$C16*IF(11-Schedule_Inputs!$B$16=0,Assumptions!$B$22,IF(11-Schedule_Inputs!$B$16=1,Assumptions!$C$22,IF(11-Schedule_Inputs!$B$16=2,Assumptions!$D$22,IF(11-Schedule_Inputs!$B$16=3,Assumptions!$B$23,0)))),IF(Schedule_Inputs!$C$16="Office Setup",$C16*IF(11-Schedule_Inputs!$B$16=0,Assumptions!$B$24,IF(11-Schedule_Inputs!$B$16=1,Assumptions!$C$24,IF(11-Schedule_Inputs!$B$16=2,Assumptions!$D$24,0))),IF(OR(Schedule_Inputs!$C$16="Monthly",Schedule_Inputs!$C$16="Periodic"),IF(AND(11&gt;=Schedule_Inputs!$B$16,MOD(11-Schedule_Inputs!$B$16,Schedule_Inputs!$E$16)=0,(11-Schedule_Inputs!$B$16)/Schedule_Inputs!$E$16&lt;Schedule_Inputs!$D$16),$C16/Schedule_Inputs!$D$16,0),0))))</f>
        <v>0</v>
      </c>
      <c r="P16" s="31">
        <f>IF(Schedule_Inputs!$C$16="Blueprint",$C16*IF(12-Schedule_Inputs!$B$16=0,Assumptions!$B$21,IF(12-Schedule_Inputs!$B$16=1,Assumptions!$C$21,IF(12-Schedule_Inputs!$B$16=2,Assumptions!$D$21,0))),IF(Schedule_Inputs!$C$16="Launch",$C16*IF(12-Schedule_Inputs!$B$16=0,Assumptions!$B$22,IF(12-Schedule_Inputs!$B$16=1,Assumptions!$C$22,IF(12-Schedule_Inputs!$B$16=2,Assumptions!$D$22,IF(12-Schedule_Inputs!$B$16=3,Assumptions!$B$23,0)))),IF(Schedule_Inputs!$C$16="Office Setup",$C16*IF(12-Schedule_Inputs!$B$16=0,Assumptions!$B$24,IF(12-Schedule_Inputs!$B$16=1,Assumptions!$C$24,IF(12-Schedule_Inputs!$B$16=2,Assumptions!$D$24,0))),IF(OR(Schedule_Inputs!$C$16="Monthly",Schedule_Inputs!$C$16="Periodic"),IF(AND(12&gt;=Schedule_Inputs!$B$16,MOD(12-Schedule_Inputs!$B$16,Schedule_Inputs!$E$16)=0,(12-Schedule_Inputs!$B$16)/Schedule_Inputs!$E$16&lt;Schedule_Inputs!$D$16),$C16/Schedule_Inputs!$D$16,0),0))))</f>
        <v>0</v>
      </c>
      <c r="Q16" s="31">
        <f>IF(Schedule_Inputs!$C$16="Blueprint",$C16*IF(13-Schedule_Inputs!$B$16=0,Assumptions!$B$21,IF(13-Schedule_Inputs!$B$16=1,Assumptions!$C$21,IF(13-Schedule_Inputs!$B$16=2,Assumptions!$D$21,0))),IF(Schedule_Inputs!$C$16="Launch",$C16*IF(13-Schedule_Inputs!$B$16=0,Assumptions!$B$22,IF(13-Schedule_Inputs!$B$16=1,Assumptions!$C$22,IF(13-Schedule_Inputs!$B$16=2,Assumptions!$D$22,IF(13-Schedule_Inputs!$B$16=3,Assumptions!$B$23,0)))),IF(Schedule_Inputs!$C$16="Office Setup",$C16*IF(13-Schedule_Inputs!$B$16=0,Assumptions!$B$24,IF(13-Schedule_Inputs!$B$16=1,Assumptions!$C$24,IF(13-Schedule_Inputs!$B$16=2,Assumptions!$D$24,0))),IF(OR(Schedule_Inputs!$C$16="Monthly",Schedule_Inputs!$C$16="Periodic"),IF(AND(13&gt;=Schedule_Inputs!$B$16,MOD(13-Schedule_Inputs!$B$16,Schedule_Inputs!$E$16)=0,(13-Schedule_Inputs!$B$16)/Schedule_Inputs!$E$16&lt;Schedule_Inputs!$D$16),$C16/Schedule_Inputs!$D$16,0),0))))</f>
        <v>6000</v>
      </c>
      <c r="R16" s="31">
        <f>IF(Schedule_Inputs!$C$16="Blueprint",$C16*IF(14-Schedule_Inputs!$B$16=0,Assumptions!$B$21,IF(14-Schedule_Inputs!$B$16=1,Assumptions!$C$21,IF(14-Schedule_Inputs!$B$16=2,Assumptions!$D$21,0))),IF(Schedule_Inputs!$C$16="Launch",$C16*IF(14-Schedule_Inputs!$B$16=0,Assumptions!$B$22,IF(14-Schedule_Inputs!$B$16=1,Assumptions!$C$22,IF(14-Schedule_Inputs!$B$16=2,Assumptions!$D$22,IF(14-Schedule_Inputs!$B$16=3,Assumptions!$B$23,0)))),IF(Schedule_Inputs!$C$16="Office Setup",$C16*IF(14-Schedule_Inputs!$B$16=0,Assumptions!$B$24,IF(14-Schedule_Inputs!$B$16=1,Assumptions!$C$24,IF(14-Schedule_Inputs!$B$16=2,Assumptions!$D$24,0))),IF(OR(Schedule_Inputs!$C$16="Monthly",Schedule_Inputs!$C$16="Periodic"),IF(AND(14&gt;=Schedule_Inputs!$B$16,MOD(14-Schedule_Inputs!$B$16,Schedule_Inputs!$E$16)=0,(14-Schedule_Inputs!$B$16)/Schedule_Inputs!$E$16&lt;Schedule_Inputs!$D$16),$C16/Schedule_Inputs!$D$16,0),0))))</f>
        <v>6000</v>
      </c>
      <c r="S16" s="31">
        <f>IF(Schedule_Inputs!$C$16="Blueprint",$C16*IF(15-Schedule_Inputs!$B$16=0,Assumptions!$B$21,IF(15-Schedule_Inputs!$B$16=1,Assumptions!$C$21,IF(15-Schedule_Inputs!$B$16=2,Assumptions!$D$21,0))),IF(Schedule_Inputs!$C$16="Launch",$C16*IF(15-Schedule_Inputs!$B$16=0,Assumptions!$B$22,IF(15-Schedule_Inputs!$B$16=1,Assumptions!$C$22,IF(15-Schedule_Inputs!$B$16=2,Assumptions!$D$22,IF(15-Schedule_Inputs!$B$16=3,Assumptions!$B$23,0)))),IF(Schedule_Inputs!$C$16="Office Setup",$C16*IF(15-Schedule_Inputs!$B$16=0,Assumptions!$B$24,IF(15-Schedule_Inputs!$B$16=1,Assumptions!$C$24,IF(15-Schedule_Inputs!$B$16=2,Assumptions!$D$24,0))),IF(OR(Schedule_Inputs!$C$16="Monthly",Schedule_Inputs!$C$16="Periodic"),IF(AND(15&gt;=Schedule_Inputs!$B$16,MOD(15-Schedule_Inputs!$B$16,Schedule_Inputs!$E$16)=0,(15-Schedule_Inputs!$B$16)/Schedule_Inputs!$E$16&lt;Schedule_Inputs!$D$16),$C16/Schedule_Inputs!$D$16,0),0))))</f>
        <v>6000</v>
      </c>
      <c r="T16" s="31">
        <f>IF(Schedule_Inputs!$C$16="Blueprint",$C16*IF(16-Schedule_Inputs!$B$16=0,Assumptions!$B$21,IF(16-Schedule_Inputs!$B$16=1,Assumptions!$C$21,IF(16-Schedule_Inputs!$B$16=2,Assumptions!$D$21,0))),IF(Schedule_Inputs!$C$16="Launch",$C16*IF(16-Schedule_Inputs!$B$16=0,Assumptions!$B$22,IF(16-Schedule_Inputs!$B$16=1,Assumptions!$C$22,IF(16-Schedule_Inputs!$B$16=2,Assumptions!$D$22,IF(16-Schedule_Inputs!$B$16=3,Assumptions!$B$23,0)))),IF(Schedule_Inputs!$C$16="Office Setup",$C16*IF(16-Schedule_Inputs!$B$16=0,Assumptions!$B$24,IF(16-Schedule_Inputs!$B$16=1,Assumptions!$C$24,IF(16-Schedule_Inputs!$B$16=2,Assumptions!$D$24,0))),IF(OR(Schedule_Inputs!$C$16="Monthly",Schedule_Inputs!$C$16="Periodic"),IF(AND(16&gt;=Schedule_Inputs!$B$16,MOD(16-Schedule_Inputs!$B$16,Schedule_Inputs!$E$16)=0,(16-Schedule_Inputs!$B$16)/Schedule_Inputs!$E$16&lt;Schedule_Inputs!$D$16),$C16/Schedule_Inputs!$D$16,0),0))))</f>
        <v>6000</v>
      </c>
      <c r="U16" s="31">
        <f>IF(Schedule_Inputs!$C$16="Blueprint",$C16*IF(17-Schedule_Inputs!$B$16=0,Assumptions!$B$21,IF(17-Schedule_Inputs!$B$16=1,Assumptions!$C$21,IF(17-Schedule_Inputs!$B$16=2,Assumptions!$D$21,0))),IF(Schedule_Inputs!$C$16="Launch",$C16*IF(17-Schedule_Inputs!$B$16=0,Assumptions!$B$22,IF(17-Schedule_Inputs!$B$16=1,Assumptions!$C$22,IF(17-Schedule_Inputs!$B$16=2,Assumptions!$D$22,IF(17-Schedule_Inputs!$B$16=3,Assumptions!$B$23,0)))),IF(Schedule_Inputs!$C$16="Office Setup",$C16*IF(17-Schedule_Inputs!$B$16=0,Assumptions!$B$24,IF(17-Schedule_Inputs!$B$16=1,Assumptions!$C$24,IF(17-Schedule_Inputs!$B$16=2,Assumptions!$D$24,0))),IF(OR(Schedule_Inputs!$C$16="Monthly",Schedule_Inputs!$C$16="Periodic"),IF(AND(17&gt;=Schedule_Inputs!$B$16,MOD(17-Schedule_Inputs!$B$16,Schedule_Inputs!$E$16)=0,(17-Schedule_Inputs!$B$16)/Schedule_Inputs!$E$16&lt;Schedule_Inputs!$D$16),$C16/Schedule_Inputs!$D$16,0),0))))</f>
        <v>6000</v>
      </c>
      <c r="V16" s="31">
        <f>IF(Schedule_Inputs!$C$16="Blueprint",$C16*IF(18-Schedule_Inputs!$B$16=0,Assumptions!$B$21,IF(18-Schedule_Inputs!$B$16=1,Assumptions!$C$21,IF(18-Schedule_Inputs!$B$16=2,Assumptions!$D$21,0))),IF(Schedule_Inputs!$C$16="Launch",$C16*IF(18-Schedule_Inputs!$B$16=0,Assumptions!$B$22,IF(18-Schedule_Inputs!$B$16=1,Assumptions!$C$22,IF(18-Schedule_Inputs!$B$16=2,Assumptions!$D$22,IF(18-Schedule_Inputs!$B$16=3,Assumptions!$B$23,0)))),IF(Schedule_Inputs!$C$16="Office Setup",$C16*IF(18-Schedule_Inputs!$B$16=0,Assumptions!$B$24,IF(18-Schedule_Inputs!$B$16=1,Assumptions!$C$24,IF(18-Schedule_Inputs!$B$16=2,Assumptions!$D$24,0))),IF(OR(Schedule_Inputs!$C$16="Monthly",Schedule_Inputs!$C$16="Periodic"),IF(AND(18&gt;=Schedule_Inputs!$B$16,MOD(18-Schedule_Inputs!$B$16,Schedule_Inputs!$E$16)=0,(18-Schedule_Inputs!$B$16)/Schedule_Inputs!$E$16&lt;Schedule_Inputs!$D$16),$C16/Schedule_Inputs!$D$16,0),0))))</f>
        <v>6000</v>
      </c>
      <c r="W16" s="31">
        <f>IF(Schedule_Inputs!$C$16="Blueprint",$C16*IF(19-Schedule_Inputs!$B$16=0,Assumptions!$B$21,IF(19-Schedule_Inputs!$B$16=1,Assumptions!$C$21,IF(19-Schedule_Inputs!$B$16=2,Assumptions!$D$21,0))),IF(Schedule_Inputs!$C$16="Launch",$C16*IF(19-Schedule_Inputs!$B$16=0,Assumptions!$B$22,IF(19-Schedule_Inputs!$B$16=1,Assumptions!$C$22,IF(19-Schedule_Inputs!$B$16=2,Assumptions!$D$22,IF(19-Schedule_Inputs!$B$16=3,Assumptions!$B$23,0)))),IF(Schedule_Inputs!$C$16="Office Setup",$C16*IF(19-Schedule_Inputs!$B$16=0,Assumptions!$B$24,IF(19-Schedule_Inputs!$B$16=1,Assumptions!$C$24,IF(19-Schedule_Inputs!$B$16=2,Assumptions!$D$24,0))),IF(OR(Schedule_Inputs!$C$16="Monthly",Schedule_Inputs!$C$16="Periodic"),IF(AND(19&gt;=Schedule_Inputs!$B$16,MOD(19-Schedule_Inputs!$B$16,Schedule_Inputs!$E$16)=0,(19-Schedule_Inputs!$B$16)/Schedule_Inputs!$E$16&lt;Schedule_Inputs!$D$16),$C16/Schedule_Inputs!$D$16,0),0))))</f>
        <v>6000</v>
      </c>
      <c r="X16" s="31">
        <f>IF(Schedule_Inputs!$C$16="Blueprint",$C16*IF(20-Schedule_Inputs!$B$16=0,Assumptions!$B$21,IF(20-Schedule_Inputs!$B$16=1,Assumptions!$C$21,IF(20-Schedule_Inputs!$B$16=2,Assumptions!$D$21,0))),IF(Schedule_Inputs!$C$16="Launch",$C16*IF(20-Schedule_Inputs!$B$16=0,Assumptions!$B$22,IF(20-Schedule_Inputs!$B$16=1,Assumptions!$C$22,IF(20-Schedule_Inputs!$B$16=2,Assumptions!$D$22,IF(20-Schedule_Inputs!$B$16=3,Assumptions!$B$23,0)))),IF(Schedule_Inputs!$C$16="Office Setup",$C16*IF(20-Schedule_Inputs!$B$16=0,Assumptions!$B$24,IF(20-Schedule_Inputs!$B$16=1,Assumptions!$C$24,IF(20-Schedule_Inputs!$B$16=2,Assumptions!$D$24,0))),IF(OR(Schedule_Inputs!$C$16="Monthly",Schedule_Inputs!$C$16="Periodic"),IF(AND(20&gt;=Schedule_Inputs!$B$16,MOD(20-Schedule_Inputs!$B$16,Schedule_Inputs!$E$16)=0,(20-Schedule_Inputs!$B$16)/Schedule_Inputs!$E$16&lt;Schedule_Inputs!$D$16),$C16/Schedule_Inputs!$D$16,0),0))))</f>
        <v>6000</v>
      </c>
      <c r="Y16" s="31">
        <f>IF(Schedule_Inputs!$C$16="Blueprint",$C16*IF(21-Schedule_Inputs!$B$16=0,Assumptions!$B$21,IF(21-Schedule_Inputs!$B$16=1,Assumptions!$C$21,IF(21-Schedule_Inputs!$B$16=2,Assumptions!$D$21,0))),IF(Schedule_Inputs!$C$16="Launch",$C16*IF(21-Schedule_Inputs!$B$16=0,Assumptions!$B$22,IF(21-Schedule_Inputs!$B$16=1,Assumptions!$C$22,IF(21-Schedule_Inputs!$B$16=2,Assumptions!$D$22,IF(21-Schedule_Inputs!$B$16=3,Assumptions!$B$23,0)))),IF(Schedule_Inputs!$C$16="Office Setup",$C16*IF(21-Schedule_Inputs!$B$16=0,Assumptions!$B$24,IF(21-Schedule_Inputs!$B$16=1,Assumptions!$C$24,IF(21-Schedule_Inputs!$B$16=2,Assumptions!$D$24,0))),IF(OR(Schedule_Inputs!$C$16="Monthly",Schedule_Inputs!$C$16="Periodic"),IF(AND(21&gt;=Schedule_Inputs!$B$16,MOD(21-Schedule_Inputs!$B$16,Schedule_Inputs!$E$16)=0,(21-Schedule_Inputs!$B$16)/Schedule_Inputs!$E$16&lt;Schedule_Inputs!$D$16),$C16/Schedule_Inputs!$D$16,0),0))))</f>
        <v>6000</v>
      </c>
      <c r="Z16" s="31">
        <f>IF(Schedule_Inputs!$C$16="Blueprint",$C16*IF(22-Schedule_Inputs!$B$16=0,Assumptions!$B$21,IF(22-Schedule_Inputs!$B$16=1,Assumptions!$C$21,IF(22-Schedule_Inputs!$B$16=2,Assumptions!$D$21,0))),IF(Schedule_Inputs!$C$16="Launch",$C16*IF(22-Schedule_Inputs!$B$16=0,Assumptions!$B$22,IF(22-Schedule_Inputs!$B$16=1,Assumptions!$C$22,IF(22-Schedule_Inputs!$B$16=2,Assumptions!$D$22,IF(22-Schedule_Inputs!$B$16=3,Assumptions!$B$23,0)))),IF(Schedule_Inputs!$C$16="Office Setup",$C16*IF(22-Schedule_Inputs!$B$16=0,Assumptions!$B$24,IF(22-Schedule_Inputs!$B$16=1,Assumptions!$C$24,IF(22-Schedule_Inputs!$B$16=2,Assumptions!$D$24,0))),IF(OR(Schedule_Inputs!$C$16="Monthly",Schedule_Inputs!$C$16="Periodic"),IF(AND(22&gt;=Schedule_Inputs!$B$16,MOD(22-Schedule_Inputs!$B$16,Schedule_Inputs!$E$16)=0,(22-Schedule_Inputs!$B$16)/Schedule_Inputs!$E$16&lt;Schedule_Inputs!$D$16),$C16/Schedule_Inputs!$D$16,0),0))))</f>
        <v>6000</v>
      </c>
      <c r="AA16" s="31">
        <f>IF(Schedule_Inputs!$C$16="Blueprint",$C16*IF(23-Schedule_Inputs!$B$16=0,Assumptions!$B$21,IF(23-Schedule_Inputs!$B$16=1,Assumptions!$C$21,IF(23-Schedule_Inputs!$B$16=2,Assumptions!$D$21,0))),IF(Schedule_Inputs!$C$16="Launch",$C16*IF(23-Schedule_Inputs!$B$16=0,Assumptions!$B$22,IF(23-Schedule_Inputs!$B$16=1,Assumptions!$C$22,IF(23-Schedule_Inputs!$B$16=2,Assumptions!$D$22,IF(23-Schedule_Inputs!$B$16=3,Assumptions!$B$23,0)))),IF(Schedule_Inputs!$C$16="Office Setup",$C16*IF(23-Schedule_Inputs!$B$16=0,Assumptions!$B$24,IF(23-Schedule_Inputs!$B$16=1,Assumptions!$C$24,IF(23-Schedule_Inputs!$B$16=2,Assumptions!$D$24,0))),IF(OR(Schedule_Inputs!$C$16="Monthly",Schedule_Inputs!$C$16="Periodic"),IF(AND(23&gt;=Schedule_Inputs!$B$16,MOD(23-Schedule_Inputs!$B$16,Schedule_Inputs!$E$16)=0,(23-Schedule_Inputs!$B$16)/Schedule_Inputs!$E$16&lt;Schedule_Inputs!$D$16),$C16/Schedule_Inputs!$D$16,0),0))))</f>
        <v>6000</v>
      </c>
      <c r="AB16" s="31">
        <f>IF(Schedule_Inputs!$C$16="Blueprint",$C16*IF(24-Schedule_Inputs!$B$16=0,Assumptions!$B$21,IF(24-Schedule_Inputs!$B$16=1,Assumptions!$C$21,IF(24-Schedule_Inputs!$B$16=2,Assumptions!$D$21,0))),IF(Schedule_Inputs!$C$16="Launch",$C16*IF(24-Schedule_Inputs!$B$16=0,Assumptions!$B$22,IF(24-Schedule_Inputs!$B$16=1,Assumptions!$C$22,IF(24-Schedule_Inputs!$B$16=2,Assumptions!$D$22,IF(24-Schedule_Inputs!$B$16=3,Assumptions!$B$23,0)))),IF(Schedule_Inputs!$C$16="Office Setup",$C16*IF(24-Schedule_Inputs!$B$16=0,Assumptions!$B$24,IF(24-Schedule_Inputs!$B$16=1,Assumptions!$C$24,IF(24-Schedule_Inputs!$B$16=2,Assumptions!$D$24,0))),IF(OR(Schedule_Inputs!$C$16="Monthly",Schedule_Inputs!$C$16="Periodic"),IF(AND(24&gt;=Schedule_Inputs!$B$16,MOD(24-Schedule_Inputs!$B$16,Schedule_Inputs!$E$16)=0,(24-Schedule_Inputs!$B$16)/Schedule_Inputs!$E$16&lt;Schedule_Inputs!$D$16),$C16/Schedule_Inputs!$D$16,0),0))))</f>
        <v>6000</v>
      </c>
      <c r="AC16" s="31">
        <f>IF(Schedule_Inputs!$C$16="Blueprint",$C16*IF(25-Schedule_Inputs!$B$16=0,Assumptions!$B$21,IF(25-Schedule_Inputs!$B$16=1,Assumptions!$C$21,IF(25-Schedule_Inputs!$B$16=2,Assumptions!$D$21,0))),IF(Schedule_Inputs!$C$16="Launch",$C16*IF(25-Schedule_Inputs!$B$16=0,Assumptions!$B$22,IF(25-Schedule_Inputs!$B$16=1,Assumptions!$C$22,IF(25-Schedule_Inputs!$B$16=2,Assumptions!$D$22,IF(25-Schedule_Inputs!$B$16=3,Assumptions!$B$23,0)))),IF(Schedule_Inputs!$C$16="Office Setup",$C16*IF(25-Schedule_Inputs!$B$16=0,Assumptions!$B$24,IF(25-Schedule_Inputs!$B$16=1,Assumptions!$C$24,IF(25-Schedule_Inputs!$B$16=2,Assumptions!$D$24,0))),IF(OR(Schedule_Inputs!$C$16="Monthly",Schedule_Inputs!$C$16="Periodic"),IF(AND(25&gt;=Schedule_Inputs!$B$16,MOD(25-Schedule_Inputs!$B$16,Schedule_Inputs!$E$16)=0,(25-Schedule_Inputs!$B$16)/Schedule_Inputs!$E$16&lt;Schedule_Inputs!$D$16),$C16/Schedule_Inputs!$D$16,0),0))))</f>
        <v>0</v>
      </c>
      <c r="AD16" s="31">
        <f>IF(Schedule_Inputs!$C$16="Blueprint",$C16*IF(26-Schedule_Inputs!$B$16=0,Assumptions!$B$21,IF(26-Schedule_Inputs!$B$16=1,Assumptions!$C$21,IF(26-Schedule_Inputs!$B$16=2,Assumptions!$D$21,0))),IF(Schedule_Inputs!$C$16="Launch",$C16*IF(26-Schedule_Inputs!$B$16=0,Assumptions!$B$22,IF(26-Schedule_Inputs!$B$16=1,Assumptions!$C$22,IF(26-Schedule_Inputs!$B$16=2,Assumptions!$D$22,IF(26-Schedule_Inputs!$B$16=3,Assumptions!$B$23,0)))),IF(Schedule_Inputs!$C$16="Office Setup",$C16*IF(26-Schedule_Inputs!$B$16=0,Assumptions!$B$24,IF(26-Schedule_Inputs!$B$16=1,Assumptions!$C$24,IF(26-Schedule_Inputs!$B$16=2,Assumptions!$D$24,0))),IF(OR(Schedule_Inputs!$C$16="Monthly",Schedule_Inputs!$C$16="Periodic"),IF(AND(26&gt;=Schedule_Inputs!$B$16,MOD(26-Schedule_Inputs!$B$16,Schedule_Inputs!$E$16)=0,(26-Schedule_Inputs!$B$16)/Schedule_Inputs!$E$16&lt;Schedule_Inputs!$D$16),$C16/Schedule_Inputs!$D$16,0),0))))</f>
        <v>0</v>
      </c>
      <c r="AE16" s="31">
        <f>IF(Schedule_Inputs!$C$16="Blueprint",$C16*IF(27-Schedule_Inputs!$B$16=0,Assumptions!$B$21,IF(27-Schedule_Inputs!$B$16=1,Assumptions!$C$21,IF(27-Schedule_Inputs!$B$16=2,Assumptions!$D$21,0))),IF(Schedule_Inputs!$C$16="Launch",$C16*IF(27-Schedule_Inputs!$B$16=0,Assumptions!$B$22,IF(27-Schedule_Inputs!$B$16=1,Assumptions!$C$22,IF(27-Schedule_Inputs!$B$16=2,Assumptions!$D$22,IF(27-Schedule_Inputs!$B$16=3,Assumptions!$B$23,0)))),IF(Schedule_Inputs!$C$16="Office Setup",$C16*IF(27-Schedule_Inputs!$B$16=0,Assumptions!$B$24,IF(27-Schedule_Inputs!$B$16=1,Assumptions!$C$24,IF(27-Schedule_Inputs!$B$16=2,Assumptions!$D$24,0))),IF(OR(Schedule_Inputs!$C$16="Monthly",Schedule_Inputs!$C$16="Periodic"),IF(AND(27&gt;=Schedule_Inputs!$B$16,MOD(27-Schedule_Inputs!$B$16,Schedule_Inputs!$E$16)=0,(27-Schedule_Inputs!$B$16)/Schedule_Inputs!$E$16&lt;Schedule_Inputs!$D$16),$C16/Schedule_Inputs!$D$16,0),0))))</f>
        <v>0</v>
      </c>
      <c r="AF16" s="31">
        <f>IF(Schedule_Inputs!$C$16="Blueprint",$C16*IF(28-Schedule_Inputs!$B$16=0,Assumptions!$B$21,IF(28-Schedule_Inputs!$B$16=1,Assumptions!$C$21,IF(28-Schedule_Inputs!$B$16=2,Assumptions!$D$21,0))),IF(Schedule_Inputs!$C$16="Launch",$C16*IF(28-Schedule_Inputs!$B$16=0,Assumptions!$B$22,IF(28-Schedule_Inputs!$B$16=1,Assumptions!$C$22,IF(28-Schedule_Inputs!$B$16=2,Assumptions!$D$22,IF(28-Schedule_Inputs!$B$16=3,Assumptions!$B$23,0)))),IF(Schedule_Inputs!$C$16="Office Setup",$C16*IF(28-Schedule_Inputs!$B$16=0,Assumptions!$B$24,IF(28-Schedule_Inputs!$B$16=1,Assumptions!$C$24,IF(28-Schedule_Inputs!$B$16=2,Assumptions!$D$24,0))),IF(OR(Schedule_Inputs!$C$16="Monthly",Schedule_Inputs!$C$16="Periodic"),IF(AND(28&gt;=Schedule_Inputs!$B$16,MOD(28-Schedule_Inputs!$B$16,Schedule_Inputs!$E$16)=0,(28-Schedule_Inputs!$B$16)/Schedule_Inputs!$E$16&lt;Schedule_Inputs!$D$16),$C16/Schedule_Inputs!$D$16,0),0))))</f>
        <v>0</v>
      </c>
      <c r="AG16" s="31">
        <f>IF(Schedule_Inputs!$C$16="Blueprint",$C16*IF(29-Schedule_Inputs!$B$16=0,Assumptions!$B$21,IF(29-Schedule_Inputs!$B$16=1,Assumptions!$C$21,IF(29-Schedule_Inputs!$B$16=2,Assumptions!$D$21,0))),IF(Schedule_Inputs!$C$16="Launch",$C16*IF(29-Schedule_Inputs!$B$16=0,Assumptions!$B$22,IF(29-Schedule_Inputs!$B$16=1,Assumptions!$C$22,IF(29-Schedule_Inputs!$B$16=2,Assumptions!$D$22,IF(29-Schedule_Inputs!$B$16=3,Assumptions!$B$23,0)))),IF(Schedule_Inputs!$C$16="Office Setup",$C16*IF(29-Schedule_Inputs!$B$16=0,Assumptions!$B$24,IF(29-Schedule_Inputs!$B$16=1,Assumptions!$C$24,IF(29-Schedule_Inputs!$B$16=2,Assumptions!$D$24,0))),IF(OR(Schedule_Inputs!$C$16="Monthly",Schedule_Inputs!$C$16="Periodic"),IF(AND(29&gt;=Schedule_Inputs!$B$16,MOD(29-Schedule_Inputs!$B$16,Schedule_Inputs!$E$16)=0,(29-Schedule_Inputs!$B$16)/Schedule_Inputs!$E$16&lt;Schedule_Inputs!$D$16),$C16/Schedule_Inputs!$D$16,0),0))))</f>
        <v>0</v>
      </c>
      <c r="AH16" s="31">
        <f>IF(Schedule_Inputs!$C$16="Blueprint",$C16*IF(30-Schedule_Inputs!$B$16=0,Assumptions!$B$21,IF(30-Schedule_Inputs!$B$16=1,Assumptions!$C$21,IF(30-Schedule_Inputs!$B$16=2,Assumptions!$D$21,0))),IF(Schedule_Inputs!$C$16="Launch",$C16*IF(30-Schedule_Inputs!$B$16=0,Assumptions!$B$22,IF(30-Schedule_Inputs!$B$16=1,Assumptions!$C$22,IF(30-Schedule_Inputs!$B$16=2,Assumptions!$D$22,IF(30-Schedule_Inputs!$B$16=3,Assumptions!$B$23,0)))),IF(Schedule_Inputs!$C$16="Office Setup",$C16*IF(30-Schedule_Inputs!$B$16=0,Assumptions!$B$24,IF(30-Schedule_Inputs!$B$16=1,Assumptions!$C$24,IF(30-Schedule_Inputs!$B$16=2,Assumptions!$D$24,0))),IF(OR(Schedule_Inputs!$C$16="Monthly",Schedule_Inputs!$C$16="Periodic"),IF(AND(30&gt;=Schedule_Inputs!$B$16,MOD(30-Schedule_Inputs!$B$16,Schedule_Inputs!$E$16)=0,(30-Schedule_Inputs!$B$16)/Schedule_Inputs!$E$16&lt;Schedule_Inputs!$D$16),$C16/Schedule_Inputs!$D$16,0),0))))</f>
        <v>0</v>
      </c>
      <c r="AI16" s="31">
        <f>IF(Schedule_Inputs!$C$16="Blueprint",$C16*IF(31-Schedule_Inputs!$B$16=0,Assumptions!$B$21,IF(31-Schedule_Inputs!$B$16=1,Assumptions!$C$21,IF(31-Schedule_Inputs!$B$16=2,Assumptions!$D$21,0))),IF(Schedule_Inputs!$C$16="Launch",$C16*IF(31-Schedule_Inputs!$B$16=0,Assumptions!$B$22,IF(31-Schedule_Inputs!$B$16=1,Assumptions!$C$22,IF(31-Schedule_Inputs!$B$16=2,Assumptions!$D$22,IF(31-Schedule_Inputs!$B$16=3,Assumptions!$B$23,0)))),IF(Schedule_Inputs!$C$16="Office Setup",$C16*IF(31-Schedule_Inputs!$B$16=0,Assumptions!$B$24,IF(31-Schedule_Inputs!$B$16=1,Assumptions!$C$24,IF(31-Schedule_Inputs!$B$16=2,Assumptions!$D$24,0))),IF(OR(Schedule_Inputs!$C$16="Monthly",Schedule_Inputs!$C$16="Periodic"),IF(AND(31&gt;=Schedule_Inputs!$B$16,MOD(31-Schedule_Inputs!$B$16,Schedule_Inputs!$E$16)=0,(31-Schedule_Inputs!$B$16)/Schedule_Inputs!$E$16&lt;Schedule_Inputs!$D$16),$C16/Schedule_Inputs!$D$16,0),0))))</f>
        <v>0</v>
      </c>
      <c r="AJ16" s="31">
        <f>IF(Schedule_Inputs!$C$16="Blueprint",$C16*IF(32-Schedule_Inputs!$B$16=0,Assumptions!$B$21,IF(32-Schedule_Inputs!$B$16=1,Assumptions!$C$21,IF(32-Schedule_Inputs!$B$16=2,Assumptions!$D$21,0))),IF(Schedule_Inputs!$C$16="Launch",$C16*IF(32-Schedule_Inputs!$B$16=0,Assumptions!$B$22,IF(32-Schedule_Inputs!$B$16=1,Assumptions!$C$22,IF(32-Schedule_Inputs!$B$16=2,Assumptions!$D$22,IF(32-Schedule_Inputs!$B$16=3,Assumptions!$B$23,0)))),IF(Schedule_Inputs!$C$16="Office Setup",$C16*IF(32-Schedule_Inputs!$B$16=0,Assumptions!$B$24,IF(32-Schedule_Inputs!$B$16=1,Assumptions!$C$24,IF(32-Schedule_Inputs!$B$16=2,Assumptions!$D$24,0))),IF(OR(Schedule_Inputs!$C$16="Monthly",Schedule_Inputs!$C$16="Periodic"),IF(AND(32&gt;=Schedule_Inputs!$B$16,MOD(32-Schedule_Inputs!$B$16,Schedule_Inputs!$E$16)=0,(32-Schedule_Inputs!$B$16)/Schedule_Inputs!$E$16&lt;Schedule_Inputs!$D$16),$C16/Schedule_Inputs!$D$16,0),0))))</f>
        <v>0</v>
      </c>
      <c r="AK16" s="31">
        <f>IF(Schedule_Inputs!$C$16="Blueprint",$C16*IF(33-Schedule_Inputs!$B$16=0,Assumptions!$B$21,IF(33-Schedule_Inputs!$B$16=1,Assumptions!$C$21,IF(33-Schedule_Inputs!$B$16=2,Assumptions!$D$21,0))),IF(Schedule_Inputs!$C$16="Launch",$C16*IF(33-Schedule_Inputs!$B$16=0,Assumptions!$B$22,IF(33-Schedule_Inputs!$B$16=1,Assumptions!$C$22,IF(33-Schedule_Inputs!$B$16=2,Assumptions!$D$22,IF(33-Schedule_Inputs!$B$16=3,Assumptions!$B$23,0)))),IF(Schedule_Inputs!$C$16="Office Setup",$C16*IF(33-Schedule_Inputs!$B$16=0,Assumptions!$B$24,IF(33-Schedule_Inputs!$B$16=1,Assumptions!$C$24,IF(33-Schedule_Inputs!$B$16=2,Assumptions!$D$24,0))),IF(OR(Schedule_Inputs!$C$16="Monthly",Schedule_Inputs!$C$16="Periodic"),IF(AND(33&gt;=Schedule_Inputs!$B$16,MOD(33-Schedule_Inputs!$B$16,Schedule_Inputs!$E$16)=0,(33-Schedule_Inputs!$B$16)/Schedule_Inputs!$E$16&lt;Schedule_Inputs!$D$16),$C16/Schedule_Inputs!$D$16,0),0))))</f>
        <v>0</v>
      </c>
      <c r="AL16" s="31">
        <f>IF(Schedule_Inputs!$C$16="Blueprint",$C16*IF(34-Schedule_Inputs!$B$16=0,Assumptions!$B$21,IF(34-Schedule_Inputs!$B$16=1,Assumptions!$C$21,IF(34-Schedule_Inputs!$B$16=2,Assumptions!$D$21,0))),IF(Schedule_Inputs!$C$16="Launch",$C16*IF(34-Schedule_Inputs!$B$16=0,Assumptions!$B$22,IF(34-Schedule_Inputs!$B$16=1,Assumptions!$C$22,IF(34-Schedule_Inputs!$B$16=2,Assumptions!$D$22,IF(34-Schedule_Inputs!$B$16=3,Assumptions!$B$23,0)))),IF(Schedule_Inputs!$C$16="Office Setup",$C16*IF(34-Schedule_Inputs!$B$16=0,Assumptions!$B$24,IF(34-Schedule_Inputs!$B$16=1,Assumptions!$C$24,IF(34-Schedule_Inputs!$B$16=2,Assumptions!$D$24,0))),IF(OR(Schedule_Inputs!$C$16="Monthly",Schedule_Inputs!$C$16="Periodic"),IF(AND(34&gt;=Schedule_Inputs!$B$16,MOD(34-Schedule_Inputs!$B$16,Schedule_Inputs!$E$16)=0,(34-Schedule_Inputs!$B$16)/Schedule_Inputs!$E$16&lt;Schedule_Inputs!$D$16),$C16/Schedule_Inputs!$D$16,0),0))))</f>
        <v>0</v>
      </c>
      <c r="AM16" s="31">
        <f>IF(Schedule_Inputs!$C$16="Blueprint",$C16*IF(35-Schedule_Inputs!$B$16=0,Assumptions!$B$21,IF(35-Schedule_Inputs!$B$16=1,Assumptions!$C$21,IF(35-Schedule_Inputs!$B$16=2,Assumptions!$D$21,0))),IF(Schedule_Inputs!$C$16="Launch",$C16*IF(35-Schedule_Inputs!$B$16=0,Assumptions!$B$22,IF(35-Schedule_Inputs!$B$16=1,Assumptions!$C$22,IF(35-Schedule_Inputs!$B$16=2,Assumptions!$D$22,IF(35-Schedule_Inputs!$B$16=3,Assumptions!$B$23,0)))),IF(Schedule_Inputs!$C$16="Office Setup",$C16*IF(35-Schedule_Inputs!$B$16=0,Assumptions!$B$24,IF(35-Schedule_Inputs!$B$16=1,Assumptions!$C$24,IF(35-Schedule_Inputs!$B$16=2,Assumptions!$D$24,0))),IF(OR(Schedule_Inputs!$C$16="Monthly",Schedule_Inputs!$C$16="Periodic"),IF(AND(35&gt;=Schedule_Inputs!$B$16,MOD(35-Schedule_Inputs!$B$16,Schedule_Inputs!$E$16)=0,(35-Schedule_Inputs!$B$16)/Schedule_Inputs!$E$16&lt;Schedule_Inputs!$D$16),$C16/Schedule_Inputs!$D$16,0),0))))</f>
        <v>0</v>
      </c>
      <c r="AN16" s="31">
        <f>IF(Schedule_Inputs!$C$16="Blueprint",$C16*IF(36-Schedule_Inputs!$B$16=0,Assumptions!$B$21,IF(36-Schedule_Inputs!$B$16=1,Assumptions!$C$21,IF(36-Schedule_Inputs!$B$16=2,Assumptions!$D$21,0))),IF(Schedule_Inputs!$C$16="Launch",$C16*IF(36-Schedule_Inputs!$B$16=0,Assumptions!$B$22,IF(36-Schedule_Inputs!$B$16=1,Assumptions!$C$22,IF(36-Schedule_Inputs!$B$16=2,Assumptions!$D$22,IF(36-Schedule_Inputs!$B$16=3,Assumptions!$B$23,0)))),IF(Schedule_Inputs!$C$16="Office Setup",$C16*IF(36-Schedule_Inputs!$B$16=0,Assumptions!$B$24,IF(36-Schedule_Inputs!$B$16=1,Assumptions!$C$24,IF(36-Schedule_Inputs!$B$16=2,Assumptions!$D$24,0))),IF(OR(Schedule_Inputs!$C$16="Monthly",Schedule_Inputs!$C$16="Periodic"),IF(AND(36&gt;=Schedule_Inputs!$B$16,MOD(36-Schedule_Inputs!$B$16,Schedule_Inputs!$E$16)=0,(36-Schedule_Inputs!$B$16)/Schedule_Inputs!$E$16&lt;Schedule_Inputs!$D$16),$C16/Schedule_Inputs!$D$16,0),0))))</f>
        <v>0</v>
      </c>
    </row>
    <row r="17" spans="1:40">
      <c r="A17" s="29" t="s">
        <v>247</v>
      </c>
      <c r="B17" s="29">
        <v>2</v>
      </c>
      <c r="C17" s="30">
        <v>9000</v>
      </c>
      <c r="D17" s="31" t="s">
        <v>239</v>
      </c>
      <c r="E17" s="31">
        <f>IF(Schedule_Inputs!$C$17="Blueprint",$C17*IF(1-Schedule_Inputs!$B$17=0,Assumptions!$B$21,IF(1-Schedule_Inputs!$B$17=1,Assumptions!$C$21,IF(1-Schedule_Inputs!$B$17=2,Assumptions!$D$21,0))),IF(Schedule_Inputs!$C$17="Launch",$C17*IF(1-Schedule_Inputs!$B$17=0,Assumptions!$B$22,IF(1-Schedule_Inputs!$B$17=1,Assumptions!$C$22,IF(1-Schedule_Inputs!$B$17=2,Assumptions!$D$22,IF(1-Schedule_Inputs!$B$17=3,Assumptions!$B$23,0)))),IF(Schedule_Inputs!$C$17="Office Setup",$C17*IF(1-Schedule_Inputs!$B$17=0,Assumptions!$B$24,IF(1-Schedule_Inputs!$B$17=1,Assumptions!$C$24,IF(1-Schedule_Inputs!$B$17=2,Assumptions!$D$24,0))),IF(OR(Schedule_Inputs!$C$17="Monthly",Schedule_Inputs!$C$17="Periodic"),IF(AND(1&gt;=Schedule_Inputs!$B$17,MOD(1-Schedule_Inputs!$B$17,Schedule_Inputs!$E$17)=0,(1-Schedule_Inputs!$B$17)/Schedule_Inputs!$E$17&lt;Schedule_Inputs!$D$17),$C17/Schedule_Inputs!$D$17,0),0))))</f>
        <v>0</v>
      </c>
      <c r="F17" s="31">
        <f>IF(Schedule_Inputs!$C$17="Blueprint",$C17*IF(2-Schedule_Inputs!$B$17=0,Assumptions!$B$21,IF(2-Schedule_Inputs!$B$17=1,Assumptions!$C$21,IF(2-Schedule_Inputs!$B$17=2,Assumptions!$D$21,0))),IF(Schedule_Inputs!$C$17="Launch",$C17*IF(2-Schedule_Inputs!$B$17=0,Assumptions!$B$22,IF(2-Schedule_Inputs!$B$17=1,Assumptions!$C$22,IF(2-Schedule_Inputs!$B$17=2,Assumptions!$D$22,IF(2-Schedule_Inputs!$B$17=3,Assumptions!$B$23,0)))),IF(Schedule_Inputs!$C$17="Office Setup",$C17*IF(2-Schedule_Inputs!$B$17=0,Assumptions!$B$24,IF(2-Schedule_Inputs!$B$17=1,Assumptions!$C$24,IF(2-Schedule_Inputs!$B$17=2,Assumptions!$D$24,0))),IF(OR(Schedule_Inputs!$C$17="Monthly",Schedule_Inputs!$C$17="Periodic"),IF(AND(2&gt;=Schedule_Inputs!$B$17,MOD(2-Schedule_Inputs!$B$17,Schedule_Inputs!$E$17)=0,(2-Schedule_Inputs!$B$17)/Schedule_Inputs!$E$17&lt;Schedule_Inputs!$D$17),$C17/Schedule_Inputs!$D$17,0),0))))</f>
        <v>0</v>
      </c>
      <c r="G17" s="31">
        <f>IF(Schedule_Inputs!$C$17="Blueprint",$C17*IF(3-Schedule_Inputs!$B$17=0,Assumptions!$B$21,IF(3-Schedule_Inputs!$B$17=1,Assumptions!$C$21,IF(3-Schedule_Inputs!$B$17=2,Assumptions!$D$21,0))),IF(Schedule_Inputs!$C$17="Launch",$C17*IF(3-Schedule_Inputs!$B$17=0,Assumptions!$B$22,IF(3-Schedule_Inputs!$B$17=1,Assumptions!$C$22,IF(3-Schedule_Inputs!$B$17=2,Assumptions!$D$22,IF(3-Schedule_Inputs!$B$17=3,Assumptions!$B$23,0)))),IF(Schedule_Inputs!$C$17="Office Setup",$C17*IF(3-Schedule_Inputs!$B$17=0,Assumptions!$B$24,IF(3-Schedule_Inputs!$B$17=1,Assumptions!$C$24,IF(3-Schedule_Inputs!$B$17=2,Assumptions!$D$24,0))),IF(OR(Schedule_Inputs!$C$17="Monthly",Schedule_Inputs!$C$17="Periodic"),IF(AND(3&gt;=Schedule_Inputs!$B$17,MOD(3-Schedule_Inputs!$B$17,Schedule_Inputs!$E$17)=0,(3-Schedule_Inputs!$B$17)/Schedule_Inputs!$E$17&lt;Schedule_Inputs!$D$17),$C17/Schedule_Inputs!$D$17,0),0))))</f>
        <v>0</v>
      </c>
      <c r="H17" s="31">
        <f>IF(Schedule_Inputs!$C$17="Blueprint",$C17*IF(4-Schedule_Inputs!$B$17=0,Assumptions!$B$21,IF(4-Schedule_Inputs!$B$17=1,Assumptions!$C$21,IF(4-Schedule_Inputs!$B$17=2,Assumptions!$D$21,0))),IF(Schedule_Inputs!$C$17="Launch",$C17*IF(4-Schedule_Inputs!$B$17=0,Assumptions!$B$22,IF(4-Schedule_Inputs!$B$17=1,Assumptions!$C$22,IF(4-Schedule_Inputs!$B$17=2,Assumptions!$D$22,IF(4-Schedule_Inputs!$B$17=3,Assumptions!$B$23,0)))),IF(Schedule_Inputs!$C$17="Office Setup",$C17*IF(4-Schedule_Inputs!$B$17=0,Assumptions!$B$24,IF(4-Schedule_Inputs!$B$17=1,Assumptions!$C$24,IF(4-Schedule_Inputs!$B$17=2,Assumptions!$D$24,0))),IF(OR(Schedule_Inputs!$C$17="Monthly",Schedule_Inputs!$C$17="Periodic"),IF(AND(4&gt;=Schedule_Inputs!$B$17,MOD(4-Schedule_Inputs!$B$17,Schedule_Inputs!$E$17)=0,(4-Schedule_Inputs!$B$17)/Schedule_Inputs!$E$17&lt;Schedule_Inputs!$D$17),$C17/Schedule_Inputs!$D$17,0),0))))</f>
        <v>0</v>
      </c>
      <c r="I17" s="31">
        <f>IF(Schedule_Inputs!$C$17="Blueprint",$C17*IF(5-Schedule_Inputs!$B$17=0,Assumptions!$B$21,IF(5-Schedule_Inputs!$B$17=1,Assumptions!$C$21,IF(5-Schedule_Inputs!$B$17=2,Assumptions!$D$21,0))),IF(Schedule_Inputs!$C$17="Launch",$C17*IF(5-Schedule_Inputs!$B$17=0,Assumptions!$B$22,IF(5-Schedule_Inputs!$B$17=1,Assumptions!$C$22,IF(5-Schedule_Inputs!$B$17=2,Assumptions!$D$22,IF(5-Schedule_Inputs!$B$17=3,Assumptions!$B$23,0)))),IF(Schedule_Inputs!$C$17="Office Setup",$C17*IF(5-Schedule_Inputs!$B$17=0,Assumptions!$B$24,IF(5-Schedule_Inputs!$B$17=1,Assumptions!$C$24,IF(5-Schedule_Inputs!$B$17=2,Assumptions!$D$24,0))),IF(OR(Schedule_Inputs!$C$17="Monthly",Schedule_Inputs!$C$17="Periodic"),IF(AND(5&gt;=Schedule_Inputs!$B$17,MOD(5-Schedule_Inputs!$B$17,Schedule_Inputs!$E$17)=0,(5-Schedule_Inputs!$B$17)/Schedule_Inputs!$E$17&lt;Schedule_Inputs!$D$17),$C17/Schedule_Inputs!$D$17,0),0))))</f>
        <v>0</v>
      </c>
      <c r="J17" s="31">
        <f>IF(Schedule_Inputs!$C$17="Blueprint",$C17*IF(6-Schedule_Inputs!$B$17=0,Assumptions!$B$21,IF(6-Schedule_Inputs!$B$17=1,Assumptions!$C$21,IF(6-Schedule_Inputs!$B$17=2,Assumptions!$D$21,0))),IF(Schedule_Inputs!$C$17="Launch",$C17*IF(6-Schedule_Inputs!$B$17=0,Assumptions!$B$22,IF(6-Schedule_Inputs!$B$17=1,Assumptions!$C$22,IF(6-Schedule_Inputs!$B$17=2,Assumptions!$D$22,IF(6-Schedule_Inputs!$B$17=3,Assumptions!$B$23,0)))),IF(Schedule_Inputs!$C$17="Office Setup",$C17*IF(6-Schedule_Inputs!$B$17=0,Assumptions!$B$24,IF(6-Schedule_Inputs!$B$17=1,Assumptions!$C$24,IF(6-Schedule_Inputs!$B$17=2,Assumptions!$D$24,0))),IF(OR(Schedule_Inputs!$C$17="Monthly",Schedule_Inputs!$C$17="Periodic"),IF(AND(6&gt;=Schedule_Inputs!$B$17,MOD(6-Schedule_Inputs!$B$17,Schedule_Inputs!$E$17)=0,(6-Schedule_Inputs!$B$17)/Schedule_Inputs!$E$17&lt;Schedule_Inputs!$D$17),$C17/Schedule_Inputs!$D$17,0),0))))</f>
        <v>0</v>
      </c>
      <c r="K17" s="31">
        <f>IF(Schedule_Inputs!$C$17="Blueprint",$C17*IF(7-Schedule_Inputs!$B$17=0,Assumptions!$B$21,IF(7-Schedule_Inputs!$B$17=1,Assumptions!$C$21,IF(7-Schedule_Inputs!$B$17=2,Assumptions!$D$21,0))),IF(Schedule_Inputs!$C$17="Launch",$C17*IF(7-Schedule_Inputs!$B$17=0,Assumptions!$B$22,IF(7-Schedule_Inputs!$B$17=1,Assumptions!$C$22,IF(7-Schedule_Inputs!$B$17=2,Assumptions!$D$22,IF(7-Schedule_Inputs!$B$17=3,Assumptions!$B$23,0)))),IF(Schedule_Inputs!$C$17="Office Setup",$C17*IF(7-Schedule_Inputs!$B$17=0,Assumptions!$B$24,IF(7-Schedule_Inputs!$B$17=1,Assumptions!$C$24,IF(7-Schedule_Inputs!$B$17=2,Assumptions!$D$24,0))),IF(OR(Schedule_Inputs!$C$17="Monthly",Schedule_Inputs!$C$17="Periodic"),IF(AND(7&gt;=Schedule_Inputs!$B$17,MOD(7-Schedule_Inputs!$B$17,Schedule_Inputs!$E$17)=0,(7-Schedule_Inputs!$B$17)/Schedule_Inputs!$E$17&lt;Schedule_Inputs!$D$17),$C17/Schedule_Inputs!$D$17,0),0))))</f>
        <v>0</v>
      </c>
      <c r="L17" s="31">
        <f>IF(Schedule_Inputs!$C$17="Blueprint",$C17*IF(8-Schedule_Inputs!$B$17=0,Assumptions!$B$21,IF(8-Schedule_Inputs!$B$17=1,Assumptions!$C$21,IF(8-Schedule_Inputs!$B$17=2,Assumptions!$D$21,0))),IF(Schedule_Inputs!$C$17="Launch",$C17*IF(8-Schedule_Inputs!$B$17=0,Assumptions!$B$22,IF(8-Schedule_Inputs!$B$17=1,Assumptions!$C$22,IF(8-Schedule_Inputs!$B$17=2,Assumptions!$D$22,IF(8-Schedule_Inputs!$B$17=3,Assumptions!$B$23,0)))),IF(Schedule_Inputs!$C$17="Office Setup",$C17*IF(8-Schedule_Inputs!$B$17=0,Assumptions!$B$24,IF(8-Schedule_Inputs!$B$17=1,Assumptions!$C$24,IF(8-Schedule_Inputs!$B$17=2,Assumptions!$D$24,0))),IF(OR(Schedule_Inputs!$C$17="Monthly",Schedule_Inputs!$C$17="Periodic"),IF(AND(8&gt;=Schedule_Inputs!$B$17,MOD(8-Schedule_Inputs!$B$17,Schedule_Inputs!$E$17)=0,(8-Schedule_Inputs!$B$17)/Schedule_Inputs!$E$17&lt;Schedule_Inputs!$D$17),$C17/Schedule_Inputs!$D$17,0),0))))</f>
        <v>0</v>
      </c>
      <c r="M17" s="31">
        <f>IF(Schedule_Inputs!$C$17="Blueprint",$C17*IF(9-Schedule_Inputs!$B$17=0,Assumptions!$B$21,IF(9-Schedule_Inputs!$B$17=1,Assumptions!$C$21,IF(9-Schedule_Inputs!$B$17=2,Assumptions!$D$21,0))),IF(Schedule_Inputs!$C$17="Launch",$C17*IF(9-Schedule_Inputs!$B$17=0,Assumptions!$B$22,IF(9-Schedule_Inputs!$B$17=1,Assumptions!$C$22,IF(9-Schedule_Inputs!$B$17=2,Assumptions!$D$22,IF(9-Schedule_Inputs!$B$17=3,Assumptions!$B$23,0)))),IF(Schedule_Inputs!$C$17="Office Setup",$C17*IF(9-Schedule_Inputs!$B$17=0,Assumptions!$B$24,IF(9-Schedule_Inputs!$B$17=1,Assumptions!$C$24,IF(9-Schedule_Inputs!$B$17=2,Assumptions!$D$24,0))),IF(OR(Schedule_Inputs!$C$17="Monthly",Schedule_Inputs!$C$17="Periodic"),IF(AND(9&gt;=Schedule_Inputs!$B$17,MOD(9-Schedule_Inputs!$B$17,Schedule_Inputs!$E$17)=0,(9-Schedule_Inputs!$B$17)/Schedule_Inputs!$E$17&lt;Schedule_Inputs!$D$17),$C17/Schedule_Inputs!$D$17,0),0))))</f>
        <v>0</v>
      </c>
      <c r="N17" s="31">
        <f>IF(Schedule_Inputs!$C$17="Blueprint",$C17*IF(10-Schedule_Inputs!$B$17=0,Assumptions!$B$21,IF(10-Schedule_Inputs!$B$17=1,Assumptions!$C$21,IF(10-Schedule_Inputs!$B$17=2,Assumptions!$D$21,0))),IF(Schedule_Inputs!$C$17="Launch",$C17*IF(10-Schedule_Inputs!$B$17=0,Assumptions!$B$22,IF(10-Schedule_Inputs!$B$17=1,Assumptions!$C$22,IF(10-Schedule_Inputs!$B$17=2,Assumptions!$D$22,IF(10-Schedule_Inputs!$B$17=3,Assumptions!$B$23,0)))),IF(Schedule_Inputs!$C$17="Office Setup",$C17*IF(10-Schedule_Inputs!$B$17=0,Assumptions!$B$24,IF(10-Schedule_Inputs!$B$17=1,Assumptions!$C$24,IF(10-Schedule_Inputs!$B$17=2,Assumptions!$D$24,0))),IF(OR(Schedule_Inputs!$C$17="Monthly",Schedule_Inputs!$C$17="Periodic"),IF(AND(10&gt;=Schedule_Inputs!$B$17,MOD(10-Schedule_Inputs!$B$17,Schedule_Inputs!$E$17)=0,(10-Schedule_Inputs!$B$17)/Schedule_Inputs!$E$17&lt;Schedule_Inputs!$D$17),$C17/Schedule_Inputs!$D$17,0),0))))</f>
        <v>0</v>
      </c>
      <c r="O17" s="31">
        <f>IF(Schedule_Inputs!$C$17="Blueprint",$C17*IF(11-Schedule_Inputs!$B$17=0,Assumptions!$B$21,IF(11-Schedule_Inputs!$B$17=1,Assumptions!$C$21,IF(11-Schedule_Inputs!$B$17=2,Assumptions!$D$21,0))),IF(Schedule_Inputs!$C$17="Launch",$C17*IF(11-Schedule_Inputs!$B$17=0,Assumptions!$B$22,IF(11-Schedule_Inputs!$B$17=1,Assumptions!$C$22,IF(11-Schedule_Inputs!$B$17=2,Assumptions!$D$22,IF(11-Schedule_Inputs!$B$17=3,Assumptions!$B$23,0)))),IF(Schedule_Inputs!$C$17="Office Setup",$C17*IF(11-Schedule_Inputs!$B$17=0,Assumptions!$B$24,IF(11-Schedule_Inputs!$B$17=1,Assumptions!$C$24,IF(11-Schedule_Inputs!$B$17=2,Assumptions!$D$24,0))),IF(OR(Schedule_Inputs!$C$17="Monthly",Schedule_Inputs!$C$17="Periodic"),IF(AND(11&gt;=Schedule_Inputs!$B$17,MOD(11-Schedule_Inputs!$B$17,Schedule_Inputs!$E$17)=0,(11-Schedule_Inputs!$B$17)/Schedule_Inputs!$E$17&lt;Schedule_Inputs!$D$17),$C17/Schedule_Inputs!$D$17,0),0))))</f>
        <v>0</v>
      </c>
      <c r="P17" s="31">
        <f>IF(Schedule_Inputs!$C$17="Blueprint",$C17*IF(12-Schedule_Inputs!$B$17=0,Assumptions!$B$21,IF(12-Schedule_Inputs!$B$17=1,Assumptions!$C$21,IF(12-Schedule_Inputs!$B$17=2,Assumptions!$D$21,0))),IF(Schedule_Inputs!$C$17="Launch",$C17*IF(12-Schedule_Inputs!$B$17=0,Assumptions!$B$22,IF(12-Schedule_Inputs!$B$17=1,Assumptions!$C$22,IF(12-Schedule_Inputs!$B$17=2,Assumptions!$D$22,IF(12-Schedule_Inputs!$B$17=3,Assumptions!$B$23,0)))),IF(Schedule_Inputs!$C$17="Office Setup",$C17*IF(12-Schedule_Inputs!$B$17=0,Assumptions!$B$24,IF(12-Schedule_Inputs!$B$17=1,Assumptions!$C$24,IF(12-Schedule_Inputs!$B$17=2,Assumptions!$D$24,0))),IF(OR(Schedule_Inputs!$C$17="Monthly",Schedule_Inputs!$C$17="Periodic"),IF(AND(12&gt;=Schedule_Inputs!$B$17,MOD(12-Schedule_Inputs!$B$17,Schedule_Inputs!$E$17)=0,(12-Schedule_Inputs!$B$17)/Schedule_Inputs!$E$17&lt;Schedule_Inputs!$D$17),$C17/Schedule_Inputs!$D$17,0),0))))</f>
        <v>0</v>
      </c>
      <c r="Q17" s="31">
        <f>IF(Schedule_Inputs!$C$17="Blueprint",$C17*IF(13-Schedule_Inputs!$B$17=0,Assumptions!$B$21,IF(13-Schedule_Inputs!$B$17=1,Assumptions!$C$21,IF(13-Schedule_Inputs!$B$17=2,Assumptions!$D$21,0))),IF(Schedule_Inputs!$C$17="Launch",$C17*IF(13-Schedule_Inputs!$B$17=0,Assumptions!$B$22,IF(13-Schedule_Inputs!$B$17=1,Assumptions!$C$22,IF(13-Schedule_Inputs!$B$17=2,Assumptions!$D$22,IF(13-Schedule_Inputs!$B$17=3,Assumptions!$B$23,0)))),IF(Schedule_Inputs!$C$17="Office Setup",$C17*IF(13-Schedule_Inputs!$B$17=0,Assumptions!$B$24,IF(13-Schedule_Inputs!$B$17=1,Assumptions!$C$24,IF(13-Schedule_Inputs!$B$17=2,Assumptions!$D$24,0))),IF(OR(Schedule_Inputs!$C$17="Monthly",Schedule_Inputs!$C$17="Periodic"),IF(AND(13&gt;=Schedule_Inputs!$B$17,MOD(13-Schedule_Inputs!$B$17,Schedule_Inputs!$E$17)=0,(13-Schedule_Inputs!$B$17)/Schedule_Inputs!$E$17&lt;Schedule_Inputs!$D$17),$C17/Schedule_Inputs!$D$17,0),0))))</f>
        <v>0</v>
      </c>
      <c r="R17" s="31">
        <f>IF(Schedule_Inputs!$C$17="Blueprint",$C17*IF(14-Schedule_Inputs!$B$17=0,Assumptions!$B$21,IF(14-Schedule_Inputs!$B$17=1,Assumptions!$C$21,IF(14-Schedule_Inputs!$B$17=2,Assumptions!$D$21,0))),IF(Schedule_Inputs!$C$17="Launch",$C17*IF(14-Schedule_Inputs!$B$17=0,Assumptions!$B$22,IF(14-Schedule_Inputs!$B$17=1,Assumptions!$C$22,IF(14-Schedule_Inputs!$B$17=2,Assumptions!$D$22,IF(14-Schedule_Inputs!$B$17=3,Assumptions!$B$23,0)))),IF(Schedule_Inputs!$C$17="Office Setup",$C17*IF(14-Schedule_Inputs!$B$17=0,Assumptions!$B$24,IF(14-Schedule_Inputs!$B$17=1,Assumptions!$C$24,IF(14-Schedule_Inputs!$B$17=2,Assumptions!$D$24,0))),IF(OR(Schedule_Inputs!$C$17="Monthly",Schedule_Inputs!$C$17="Periodic"),IF(AND(14&gt;=Schedule_Inputs!$B$17,MOD(14-Schedule_Inputs!$B$17,Schedule_Inputs!$E$17)=0,(14-Schedule_Inputs!$B$17)/Schedule_Inputs!$E$17&lt;Schedule_Inputs!$D$17),$C17/Schedule_Inputs!$D$17,0),0))))</f>
        <v>0</v>
      </c>
      <c r="S17" s="31">
        <f>IF(Schedule_Inputs!$C$17="Blueprint",$C17*IF(15-Schedule_Inputs!$B$17=0,Assumptions!$B$21,IF(15-Schedule_Inputs!$B$17=1,Assumptions!$C$21,IF(15-Schedule_Inputs!$B$17=2,Assumptions!$D$21,0))),IF(Schedule_Inputs!$C$17="Launch",$C17*IF(15-Schedule_Inputs!$B$17=0,Assumptions!$B$22,IF(15-Schedule_Inputs!$B$17=1,Assumptions!$C$22,IF(15-Schedule_Inputs!$B$17=2,Assumptions!$D$22,IF(15-Schedule_Inputs!$B$17=3,Assumptions!$B$23,0)))),IF(Schedule_Inputs!$C$17="Office Setup",$C17*IF(15-Schedule_Inputs!$B$17=0,Assumptions!$B$24,IF(15-Schedule_Inputs!$B$17=1,Assumptions!$C$24,IF(15-Schedule_Inputs!$B$17=2,Assumptions!$D$24,0))),IF(OR(Schedule_Inputs!$C$17="Monthly",Schedule_Inputs!$C$17="Periodic"),IF(AND(15&gt;=Schedule_Inputs!$B$17,MOD(15-Schedule_Inputs!$B$17,Schedule_Inputs!$E$17)=0,(15-Schedule_Inputs!$B$17)/Schedule_Inputs!$E$17&lt;Schedule_Inputs!$D$17),$C17/Schedule_Inputs!$D$17,0),0))))</f>
        <v>0</v>
      </c>
      <c r="T17" s="31">
        <f>IF(Schedule_Inputs!$C$17="Blueprint",$C17*IF(16-Schedule_Inputs!$B$17=0,Assumptions!$B$21,IF(16-Schedule_Inputs!$B$17=1,Assumptions!$C$21,IF(16-Schedule_Inputs!$B$17=2,Assumptions!$D$21,0))),IF(Schedule_Inputs!$C$17="Launch",$C17*IF(16-Schedule_Inputs!$B$17=0,Assumptions!$B$22,IF(16-Schedule_Inputs!$B$17=1,Assumptions!$C$22,IF(16-Schedule_Inputs!$B$17=2,Assumptions!$D$22,IF(16-Schedule_Inputs!$B$17=3,Assumptions!$B$23,0)))),IF(Schedule_Inputs!$C$17="Office Setup",$C17*IF(16-Schedule_Inputs!$B$17=0,Assumptions!$B$24,IF(16-Schedule_Inputs!$B$17=1,Assumptions!$C$24,IF(16-Schedule_Inputs!$B$17=2,Assumptions!$D$24,0))),IF(OR(Schedule_Inputs!$C$17="Monthly",Schedule_Inputs!$C$17="Periodic"),IF(AND(16&gt;=Schedule_Inputs!$B$17,MOD(16-Schedule_Inputs!$B$17,Schedule_Inputs!$E$17)=0,(16-Schedule_Inputs!$B$17)/Schedule_Inputs!$E$17&lt;Schedule_Inputs!$D$17),$C17/Schedule_Inputs!$D$17,0),0))))</f>
        <v>0</v>
      </c>
      <c r="U17" s="31">
        <f>IF(Schedule_Inputs!$C$17="Blueprint",$C17*IF(17-Schedule_Inputs!$B$17=0,Assumptions!$B$21,IF(17-Schedule_Inputs!$B$17=1,Assumptions!$C$21,IF(17-Schedule_Inputs!$B$17=2,Assumptions!$D$21,0))),IF(Schedule_Inputs!$C$17="Launch",$C17*IF(17-Schedule_Inputs!$B$17=0,Assumptions!$B$22,IF(17-Schedule_Inputs!$B$17=1,Assumptions!$C$22,IF(17-Schedule_Inputs!$B$17=2,Assumptions!$D$22,IF(17-Schedule_Inputs!$B$17=3,Assumptions!$B$23,0)))),IF(Schedule_Inputs!$C$17="Office Setup",$C17*IF(17-Schedule_Inputs!$B$17=0,Assumptions!$B$24,IF(17-Schedule_Inputs!$B$17=1,Assumptions!$C$24,IF(17-Schedule_Inputs!$B$17=2,Assumptions!$D$24,0))),IF(OR(Schedule_Inputs!$C$17="Monthly",Schedule_Inputs!$C$17="Periodic"),IF(AND(17&gt;=Schedule_Inputs!$B$17,MOD(17-Schedule_Inputs!$B$17,Schedule_Inputs!$E$17)=0,(17-Schedule_Inputs!$B$17)/Schedule_Inputs!$E$17&lt;Schedule_Inputs!$D$17),$C17/Schedule_Inputs!$D$17,0),0))))</f>
        <v>3000</v>
      </c>
      <c r="V17" s="31">
        <f>IF(Schedule_Inputs!$C$17="Blueprint",$C17*IF(18-Schedule_Inputs!$B$17=0,Assumptions!$B$21,IF(18-Schedule_Inputs!$B$17=1,Assumptions!$C$21,IF(18-Schedule_Inputs!$B$17=2,Assumptions!$D$21,0))),IF(Schedule_Inputs!$C$17="Launch",$C17*IF(18-Schedule_Inputs!$B$17=0,Assumptions!$B$22,IF(18-Schedule_Inputs!$B$17=1,Assumptions!$C$22,IF(18-Schedule_Inputs!$B$17=2,Assumptions!$D$22,IF(18-Schedule_Inputs!$B$17=3,Assumptions!$B$23,0)))),IF(Schedule_Inputs!$C$17="Office Setup",$C17*IF(18-Schedule_Inputs!$B$17=0,Assumptions!$B$24,IF(18-Schedule_Inputs!$B$17=1,Assumptions!$C$24,IF(18-Schedule_Inputs!$B$17=2,Assumptions!$D$24,0))),IF(OR(Schedule_Inputs!$C$17="Monthly",Schedule_Inputs!$C$17="Periodic"),IF(AND(18&gt;=Schedule_Inputs!$B$17,MOD(18-Schedule_Inputs!$B$17,Schedule_Inputs!$E$17)=0,(18-Schedule_Inputs!$B$17)/Schedule_Inputs!$E$17&lt;Schedule_Inputs!$D$17),$C17/Schedule_Inputs!$D$17,0),0))))</f>
        <v>0</v>
      </c>
      <c r="W17" s="31">
        <f>IF(Schedule_Inputs!$C$17="Blueprint",$C17*IF(19-Schedule_Inputs!$B$17=0,Assumptions!$B$21,IF(19-Schedule_Inputs!$B$17=1,Assumptions!$C$21,IF(19-Schedule_Inputs!$B$17=2,Assumptions!$D$21,0))),IF(Schedule_Inputs!$C$17="Launch",$C17*IF(19-Schedule_Inputs!$B$17=0,Assumptions!$B$22,IF(19-Schedule_Inputs!$B$17=1,Assumptions!$C$22,IF(19-Schedule_Inputs!$B$17=2,Assumptions!$D$22,IF(19-Schedule_Inputs!$B$17=3,Assumptions!$B$23,0)))),IF(Schedule_Inputs!$C$17="Office Setup",$C17*IF(19-Schedule_Inputs!$B$17=0,Assumptions!$B$24,IF(19-Schedule_Inputs!$B$17=1,Assumptions!$C$24,IF(19-Schedule_Inputs!$B$17=2,Assumptions!$D$24,0))),IF(OR(Schedule_Inputs!$C$17="Monthly",Schedule_Inputs!$C$17="Periodic"),IF(AND(19&gt;=Schedule_Inputs!$B$17,MOD(19-Schedule_Inputs!$B$17,Schedule_Inputs!$E$17)=0,(19-Schedule_Inputs!$B$17)/Schedule_Inputs!$E$17&lt;Schedule_Inputs!$D$17),$C17/Schedule_Inputs!$D$17,0),0))))</f>
        <v>0</v>
      </c>
      <c r="X17" s="31">
        <f>IF(Schedule_Inputs!$C$17="Blueprint",$C17*IF(20-Schedule_Inputs!$B$17=0,Assumptions!$B$21,IF(20-Schedule_Inputs!$B$17=1,Assumptions!$C$21,IF(20-Schedule_Inputs!$B$17=2,Assumptions!$D$21,0))),IF(Schedule_Inputs!$C$17="Launch",$C17*IF(20-Schedule_Inputs!$B$17=0,Assumptions!$B$22,IF(20-Schedule_Inputs!$B$17=1,Assumptions!$C$22,IF(20-Schedule_Inputs!$B$17=2,Assumptions!$D$22,IF(20-Schedule_Inputs!$B$17=3,Assumptions!$B$23,0)))),IF(Schedule_Inputs!$C$17="Office Setup",$C17*IF(20-Schedule_Inputs!$B$17=0,Assumptions!$B$24,IF(20-Schedule_Inputs!$B$17=1,Assumptions!$C$24,IF(20-Schedule_Inputs!$B$17=2,Assumptions!$D$24,0))),IF(OR(Schedule_Inputs!$C$17="Monthly",Schedule_Inputs!$C$17="Periodic"),IF(AND(20&gt;=Schedule_Inputs!$B$17,MOD(20-Schedule_Inputs!$B$17,Schedule_Inputs!$E$17)=0,(20-Schedule_Inputs!$B$17)/Schedule_Inputs!$E$17&lt;Schedule_Inputs!$D$17),$C17/Schedule_Inputs!$D$17,0),0))))</f>
        <v>3000</v>
      </c>
      <c r="Y17" s="31">
        <f>IF(Schedule_Inputs!$C$17="Blueprint",$C17*IF(21-Schedule_Inputs!$B$17=0,Assumptions!$B$21,IF(21-Schedule_Inputs!$B$17=1,Assumptions!$C$21,IF(21-Schedule_Inputs!$B$17=2,Assumptions!$D$21,0))),IF(Schedule_Inputs!$C$17="Launch",$C17*IF(21-Schedule_Inputs!$B$17=0,Assumptions!$B$22,IF(21-Schedule_Inputs!$B$17=1,Assumptions!$C$22,IF(21-Schedule_Inputs!$B$17=2,Assumptions!$D$22,IF(21-Schedule_Inputs!$B$17=3,Assumptions!$B$23,0)))),IF(Schedule_Inputs!$C$17="Office Setup",$C17*IF(21-Schedule_Inputs!$B$17=0,Assumptions!$B$24,IF(21-Schedule_Inputs!$B$17=1,Assumptions!$C$24,IF(21-Schedule_Inputs!$B$17=2,Assumptions!$D$24,0))),IF(OR(Schedule_Inputs!$C$17="Monthly",Schedule_Inputs!$C$17="Periodic"),IF(AND(21&gt;=Schedule_Inputs!$B$17,MOD(21-Schedule_Inputs!$B$17,Schedule_Inputs!$E$17)=0,(21-Schedule_Inputs!$B$17)/Schedule_Inputs!$E$17&lt;Schedule_Inputs!$D$17),$C17/Schedule_Inputs!$D$17,0),0))))</f>
        <v>0</v>
      </c>
      <c r="Z17" s="31">
        <f>IF(Schedule_Inputs!$C$17="Blueprint",$C17*IF(22-Schedule_Inputs!$B$17=0,Assumptions!$B$21,IF(22-Schedule_Inputs!$B$17=1,Assumptions!$C$21,IF(22-Schedule_Inputs!$B$17=2,Assumptions!$D$21,0))),IF(Schedule_Inputs!$C$17="Launch",$C17*IF(22-Schedule_Inputs!$B$17=0,Assumptions!$B$22,IF(22-Schedule_Inputs!$B$17=1,Assumptions!$C$22,IF(22-Schedule_Inputs!$B$17=2,Assumptions!$D$22,IF(22-Schedule_Inputs!$B$17=3,Assumptions!$B$23,0)))),IF(Schedule_Inputs!$C$17="Office Setup",$C17*IF(22-Schedule_Inputs!$B$17=0,Assumptions!$B$24,IF(22-Schedule_Inputs!$B$17=1,Assumptions!$C$24,IF(22-Schedule_Inputs!$B$17=2,Assumptions!$D$24,0))),IF(OR(Schedule_Inputs!$C$17="Monthly",Schedule_Inputs!$C$17="Periodic"),IF(AND(22&gt;=Schedule_Inputs!$B$17,MOD(22-Schedule_Inputs!$B$17,Schedule_Inputs!$E$17)=0,(22-Schedule_Inputs!$B$17)/Schedule_Inputs!$E$17&lt;Schedule_Inputs!$D$17),$C17/Schedule_Inputs!$D$17,0),0))))</f>
        <v>0</v>
      </c>
      <c r="AA17" s="31">
        <f>IF(Schedule_Inputs!$C$17="Blueprint",$C17*IF(23-Schedule_Inputs!$B$17=0,Assumptions!$B$21,IF(23-Schedule_Inputs!$B$17=1,Assumptions!$C$21,IF(23-Schedule_Inputs!$B$17=2,Assumptions!$D$21,0))),IF(Schedule_Inputs!$C$17="Launch",$C17*IF(23-Schedule_Inputs!$B$17=0,Assumptions!$B$22,IF(23-Schedule_Inputs!$B$17=1,Assumptions!$C$22,IF(23-Schedule_Inputs!$B$17=2,Assumptions!$D$22,IF(23-Schedule_Inputs!$B$17=3,Assumptions!$B$23,0)))),IF(Schedule_Inputs!$C$17="Office Setup",$C17*IF(23-Schedule_Inputs!$B$17=0,Assumptions!$B$24,IF(23-Schedule_Inputs!$B$17=1,Assumptions!$C$24,IF(23-Schedule_Inputs!$B$17=2,Assumptions!$D$24,0))),IF(OR(Schedule_Inputs!$C$17="Monthly",Schedule_Inputs!$C$17="Periodic"),IF(AND(23&gt;=Schedule_Inputs!$B$17,MOD(23-Schedule_Inputs!$B$17,Schedule_Inputs!$E$17)=0,(23-Schedule_Inputs!$B$17)/Schedule_Inputs!$E$17&lt;Schedule_Inputs!$D$17),$C17/Schedule_Inputs!$D$17,0),0))))</f>
        <v>3000</v>
      </c>
      <c r="AB17" s="31">
        <f>IF(Schedule_Inputs!$C$17="Blueprint",$C17*IF(24-Schedule_Inputs!$B$17=0,Assumptions!$B$21,IF(24-Schedule_Inputs!$B$17=1,Assumptions!$C$21,IF(24-Schedule_Inputs!$B$17=2,Assumptions!$D$21,0))),IF(Schedule_Inputs!$C$17="Launch",$C17*IF(24-Schedule_Inputs!$B$17=0,Assumptions!$B$22,IF(24-Schedule_Inputs!$B$17=1,Assumptions!$C$22,IF(24-Schedule_Inputs!$B$17=2,Assumptions!$D$22,IF(24-Schedule_Inputs!$B$17=3,Assumptions!$B$23,0)))),IF(Schedule_Inputs!$C$17="Office Setup",$C17*IF(24-Schedule_Inputs!$B$17=0,Assumptions!$B$24,IF(24-Schedule_Inputs!$B$17=1,Assumptions!$C$24,IF(24-Schedule_Inputs!$B$17=2,Assumptions!$D$24,0))),IF(OR(Schedule_Inputs!$C$17="Monthly",Schedule_Inputs!$C$17="Periodic"),IF(AND(24&gt;=Schedule_Inputs!$B$17,MOD(24-Schedule_Inputs!$B$17,Schedule_Inputs!$E$17)=0,(24-Schedule_Inputs!$B$17)/Schedule_Inputs!$E$17&lt;Schedule_Inputs!$D$17),$C17/Schedule_Inputs!$D$17,0),0))))</f>
        <v>0</v>
      </c>
      <c r="AC17" s="31">
        <f>IF(Schedule_Inputs!$C$17="Blueprint",$C17*IF(25-Schedule_Inputs!$B$17=0,Assumptions!$B$21,IF(25-Schedule_Inputs!$B$17=1,Assumptions!$C$21,IF(25-Schedule_Inputs!$B$17=2,Assumptions!$D$21,0))),IF(Schedule_Inputs!$C$17="Launch",$C17*IF(25-Schedule_Inputs!$B$17=0,Assumptions!$B$22,IF(25-Schedule_Inputs!$B$17=1,Assumptions!$C$22,IF(25-Schedule_Inputs!$B$17=2,Assumptions!$D$22,IF(25-Schedule_Inputs!$B$17=3,Assumptions!$B$23,0)))),IF(Schedule_Inputs!$C$17="Office Setup",$C17*IF(25-Schedule_Inputs!$B$17=0,Assumptions!$B$24,IF(25-Schedule_Inputs!$B$17=1,Assumptions!$C$24,IF(25-Schedule_Inputs!$B$17=2,Assumptions!$D$24,0))),IF(OR(Schedule_Inputs!$C$17="Monthly",Schedule_Inputs!$C$17="Periodic"),IF(AND(25&gt;=Schedule_Inputs!$B$17,MOD(25-Schedule_Inputs!$B$17,Schedule_Inputs!$E$17)=0,(25-Schedule_Inputs!$B$17)/Schedule_Inputs!$E$17&lt;Schedule_Inputs!$D$17),$C17/Schedule_Inputs!$D$17,0),0))))</f>
        <v>0</v>
      </c>
      <c r="AD17" s="31">
        <f>IF(Schedule_Inputs!$C$17="Blueprint",$C17*IF(26-Schedule_Inputs!$B$17=0,Assumptions!$B$21,IF(26-Schedule_Inputs!$B$17=1,Assumptions!$C$21,IF(26-Schedule_Inputs!$B$17=2,Assumptions!$D$21,0))),IF(Schedule_Inputs!$C$17="Launch",$C17*IF(26-Schedule_Inputs!$B$17=0,Assumptions!$B$22,IF(26-Schedule_Inputs!$B$17=1,Assumptions!$C$22,IF(26-Schedule_Inputs!$B$17=2,Assumptions!$D$22,IF(26-Schedule_Inputs!$B$17=3,Assumptions!$B$23,0)))),IF(Schedule_Inputs!$C$17="Office Setup",$C17*IF(26-Schedule_Inputs!$B$17=0,Assumptions!$B$24,IF(26-Schedule_Inputs!$B$17=1,Assumptions!$C$24,IF(26-Schedule_Inputs!$B$17=2,Assumptions!$D$24,0))),IF(OR(Schedule_Inputs!$C$17="Monthly",Schedule_Inputs!$C$17="Periodic"),IF(AND(26&gt;=Schedule_Inputs!$B$17,MOD(26-Schedule_Inputs!$B$17,Schedule_Inputs!$E$17)=0,(26-Schedule_Inputs!$B$17)/Schedule_Inputs!$E$17&lt;Schedule_Inputs!$D$17),$C17/Schedule_Inputs!$D$17,0),0))))</f>
        <v>0</v>
      </c>
      <c r="AE17" s="31">
        <f>IF(Schedule_Inputs!$C$17="Blueprint",$C17*IF(27-Schedule_Inputs!$B$17=0,Assumptions!$B$21,IF(27-Schedule_Inputs!$B$17=1,Assumptions!$C$21,IF(27-Schedule_Inputs!$B$17=2,Assumptions!$D$21,0))),IF(Schedule_Inputs!$C$17="Launch",$C17*IF(27-Schedule_Inputs!$B$17=0,Assumptions!$B$22,IF(27-Schedule_Inputs!$B$17=1,Assumptions!$C$22,IF(27-Schedule_Inputs!$B$17=2,Assumptions!$D$22,IF(27-Schedule_Inputs!$B$17=3,Assumptions!$B$23,0)))),IF(Schedule_Inputs!$C$17="Office Setup",$C17*IF(27-Schedule_Inputs!$B$17=0,Assumptions!$B$24,IF(27-Schedule_Inputs!$B$17=1,Assumptions!$C$24,IF(27-Schedule_Inputs!$B$17=2,Assumptions!$D$24,0))),IF(OR(Schedule_Inputs!$C$17="Monthly",Schedule_Inputs!$C$17="Periodic"),IF(AND(27&gt;=Schedule_Inputs!$B$17,MOD(27-Schedule_Inputs!$B$17,Schedule_Inputs!$E$17)=0,(27-Schedule_Inputs!$B$17)/Schedule_Inputs!$E$17&lt;Schedule_Inputs!$D$17),$C17/Schedule_Inputs!$D$17,0),0))))</f>
        <v>0</v>
      </c>
      <c r="AF17" s="31">
        <f>IF(Schedule_Inputs!$C$17="Blueprint",$C17*IF(28-Schedule_Inputs!$B$17=0,Assumptions!$B$21,IF(28-Schedule_Inputs!$B$17=1,Assumptions!$C$21,IF(28-Schedule_Inputs!$B$17=2,Assumptions!$D$21,0))),IF(Schedule_Inputs!$C$17="Launch",$C17*IF(28-Schedule_Inputs!$B$17=0,Assumptions!$B$22,IF(28-Schedule_Inputs!$B$17=1,Assumptions!$C$22,IF(28-Schedule_Inputs!$B$17=2,Assumptions!$D$22,IF(28-Schedule_Inputs!$B$17=3,Assumptions!$B$23,0)))),IF(Schedule_Inputs!$C$17="Office Setup",$C17*IF(28-Schedule_Inputs!$B$17=0,Assumptions!$B$24,IF(28-Schedule_Inputs!$B$17=1,Assumptions!$C$24,IF(28-Schedule_Inputs!$B$17=2,Assumptions!$D$24,0))),IF(OR(Schedule_Inputs!$C$17="Monthly",Schedule_Inputs!$C$17="Periodic"),IF(AND(28&gt;=Schedule_Inputs!$B$17,MOD(28-Schedule_Inputs!$B$17,Schedule_Inputs!$E$17)=0,(28-Schedule_Inputs!$B$17)/Schedule_Inputs!$E$17&lt;Schedule_Inputs!$D$17),$C17/Schedule_Inputs!$D$17,0),0))))</f>
        <v>0</v>
      </c>
      <c r="AG17" s="31">
        <f>IF(Schedule_Inputs!$C$17="Blueprint",$C17*IF(29-Schedule_Inputs!$B$17=0,Assumptions!$B$21,IF(29-Schedule_Inputs!$B$17=1,Assumptions!$C$21,IF(29-Schedule_Inputs!$B$17=2,Assumptions!$D$21,0))),IF(Schedule_Inputs!$C$17="Launch",$C17*IF(29-Schedule_Inputs!$B$17=0,Assumptions!$B$22,IF(29-Schedule_Inputs!$B$17=1,Assumptions!$C$22,IF(29-Schedule_Inputs!$B$17=2,Assumptions!$D$22,IF(29-Schedule_Inputs!$B$17=3,Assumptions!$B$23,0)))),IF(Schedule_Inputs!$C$17="Office Setup",$C17*IF(29-Schedule_Inputs!$B$17=0,Assumptions!$B$24,IF(29-Schedule_Inputs!$B$17=1,Assumptions!$C$24,IF(29-Schedule_Inputs!$B$17=2,Assumptions!$D$24,0))),IF(OR(Schedule_Inputs!$C$17="Monthly",Schedule_Inputs!$C$17="Periodic"),IF(AND(29&gt;=Schedule_Inputs!$B$17,MOD(29-Schedule_Inputs!$B$17,Schedule_Inputs!$E$17)=0,(29-Schedule_Inputs!$B$17)/Schedule_Inputs!$E$17&lt;Schedule_Inputs!$D$17),$C17/Schedule_Inputs!$D$17,0),0))))</f>
        <v>0</v>
      </c>
      <c r="AH17" s="31">
        <f>IF(Schedule_Inputs!$C$17="Blueprint",$C17*IF(30-Schedule_Inputs!$B$17=0,Assumptions!$B$21,IF(30-Schedule_Inputs!$B$17=1,Assumptions!$C$21,IF(30-Schedule_Inputs!$B$17=2,Assumptions!$D$21,0))),IF(Schedule_Inputs!$C$17="Launch",$C17*IF(30-Schedule_Inputs!$B$17=0,Assumptions!$B$22,IF(30-Schedule_Inputs!$B$17=1,Assumptions!$C$22,IF(30-Schedule_Inputs!$B$17=2,Assumptions!$D$22,IF(30-Schedule_Inputs!$B$17=3,Assumptions!$B$23,0)))),IF(Schedule_Inputs!$C$17="Office Setup",$C17*IF(30-Schedule_Inputs!$B$17=0,Assumptions!$B$24,IF(30-Schedule_Inputs!$B$17=1,Assumptions!$C$24,IF(30-Schedule_Inputs!$B$17=2,Assumptions!$D$24,0))),IF(OR(Schedule_Inputs!$C$17="Monthly",Schedule_Inputs!$C$17="Periodic"),IF(AND(30&gt;=Schedule_Inputs!$B$17,MOD(30-Schedule_Inputs!$B$17,Schedule_Inputs!$E$17)=0,(30-Schedule_Inputs!$B$17)/Schedule_Inputs!$E$17&lt;Schedule_Inputs!$D$17),$C17/Schedule_Inputs!$D$17,0),0))))</f>
        <v>0</v>
      </c>
      <c r="AI17" s="31">
        <f>IF(Schedule_Inputs!$C$17="Blueprint",$C17*IF(31-Schedule_Inputs!$B$17=0,Assumptions!$B$21,IF(31-Schedule_Inputs!$B$17=1,Assumptions!$C$21,IF(31-Schedule_Inputs!$B$17=2,Assumptions!$D$21,0))),IF(Schedule_Inputs!$C$17="Launch",$C17*IF(31-Schedule_Inputs!$B$17=0,Assumptions!$B$22,IF(31-Schedule_Inputs!$B$17=1,Assumptions!$C$22,IF(31-Schedule_Inputs!$B$17=2,Assumptions!$D$22,IF(31-Schedule_Inputs!$B$17=3,Assumptions!$B$23,0)))),IF(Schedule_Inputs!$C$17="Office Setup",$C17*IF(31-Schedule_Inputs!$B$17=0,Assumptions!$B$24,IF(31-Schedule_Inputs!$B$17=1,Assumptions!$C$24,IF(31-Schedule_Inputs!$B$17=2,Assumptions!$D$24,0))),IF(OR(Schedule_Inputs!$C$17="Monthly",Schedule_Inputs!$C$17="Periodic"),IF(AND(31&gt;=Schedule_Inputs!$B$17,MOD(31-Schedule_Inputs!$B$17,Schedule_Inputs!$E$17)=0,(31-Schedule_Inputs!$B$17)/Schedule_Inputs!$E$17&lt;Schedule_Inputs!$D$17),$C17/Schedule_Inputs!$D$17,0),0))))</f>
        <v>0</v>
      </c>
      <c r="AJ17" s="31">
        <f>IF(Schedule_Inputs!$C$17="Blueprint",$C17*IF(32-Schedule_Inputs!$B$17=0,Assumptions!$B$21,IF(32-Schedule_Inputs!$B$17=1,Assumptions!$C$21,IF(32-Schedule_Inputs!$B$17=2,Assumptions!$D$21,0))),IF(Schedule_Inputs!$C$17="Launch",$C17*IF(32-Schedule_Inputs!$B$17=0,Assumptions!$B$22,IF(32-Schedule_Inputs!$B$17=1,Assumptions!$C$22,IF(32-Schedule_Inputs!$B$17=2,Assumptions!$D$22,IF(32-Schedule_Inputs!$B$17=3,Assumptions!$B$23,0)))),IF(Schedule_Inputs!$C$17="Office Setup",$C17*IF(32-Schedule_Inputs!$B$17=0,Assumptions!$B$24,IF(32-Schedule_Inputs!$B$17=1,Assumptions!$C$24,IF(32-Schedule_Inputs!$B$17=2,Assumptions!$D$24,0))),IF(OR(Schedule_Inputs!$C$17="Monthly",Schedule_Inputs!$C$17="Periodic"),IF(AND(32&gt;=Schedule_Inputs!$B$17,MOD(32-Schedule_Inputs!$B$17,Schedule_Inputs!$E$17)=0,(32-Schedule_Inputs!$B$17)/Schedule_Inputs!$E$17&lt;Schedule_Inputs!$D$17),$C17/Schedule_Inputs!$D$17,0),0))))</f>
        <v>0</v>
      </c>
      <c r="AK17" s="31">
        <f>IF(Schedule_Inputs!$C$17="Blueprint",$C17*IF(33-Schedule_Inputs!$B$17=0,Assumptions!$B$21,IF(33-Schedule_Inputs!$B$17=1,Assumptions!$C$21,IF(33-Schedule_Inputs!$B$17=2,Assumptions!$D$21,0))),IF(Schedule_Inputs!$C$17="Launch",$C17*IF(33-Schedule_Inputs!$B$17=0,Assumptions!$B$22,IF(33-Schedule_Inputs!$B$17=1,Assumptions!$C$22,IF(33-Schedule_Inputs!$B$17=2,Assumptions!$D$22,IF(33-Schedule_Inputs!$B$17=3,Assumptions!$B$23,0)))),IF(Schedule_Inputs!$C$17="Office Setup",$C17*IF(33-Schedule_Inputs!$B$17=0,Assumptions!$B$24,IF(33-Schedule_Inputs!$B$17=1,Assumptions!$C$24,IF(33-Schedule_Inputs!$B$17=2,Assumptions!$D$24,0))),IF(OR(Schedule_Inputs!$C$17="Monthly",Schedule_Inputs!$C$17="Periodic"),IF(AND(33&gt;=Schedule_Inputs!$B$17,MOD(33-Schedule_Inputs!$B$17,Schedule_Inputs!$E$17)=0,(33-Schedule_Inputs!$B$17)/Schedule_Inputs!$E$17&lt;Schedule_Inputs!$D$17),$C17/Schedule_Inputs!$D$17,0),0))))</f>
        <v>0</v>
      </c>
      <c r="AL17" s="31">
        <f>IF(Schedule_Inputs!$C$17="Blueprint",$C17*IF(34-Schedule_Inputs!$B$17=0,Assumptions!$B$21,IF(34-Schedule_Inputs!$B$17=1,Assumptions!$C$21,IF(34-Schedule_Inputs!$B$17=2,Assumptions!$D$21,0))),IF(Schedule_Inputs!$C$17="Launch",$C17*IF(34-Schedule_Inputs!$B$17=0,Assumptions!$B$22,IF(34-Schedule_Inputs!$B$17=1,Assumptions!$C$22,IF(34-Schedule_Inputs!$B$17=2,Assumptions!$D$22,IF(34-Schedule_Inputs!$B$17=3,Assumptions!$B$23,0)))),IF(Schedule_Inputs!$C$17="Office Setup",$C17*IF(34-Schedule_Inputs!$B$17=0,Assumptions!$B$24,IF(34-Schedule_Inputs!$B$17=1,Assumptions!$C$24,IF(34-Schedule_Inputs!$B$17=2,Assumptions!$D$24,0))),IF(OR(Schedule_Inputs!$C$17="Monthly",Schedule_Inputs!$C$17="Periodic"),IF(AND(34&gt;=Schedule_Inputs!$B$17,MOD(34-Schedule_Inputs!$B$17,Schedule_Inputs!$E$17)=0,(34-Schedule_Inputs!$B$17)/Schedule_Inputs!$E$17&lt;Schedule_Inputs!$D$17),$C17/Schedule_Inputs!$D$17,0),0))))</f>
        <v>0</v>
      </c>
      <c r="AM17" s="31">
        <f>IF(Schedule_Inputs!$C$17="Blueprint",$C17*IF(35-Schedule_Inputs!$B$17=0,Assumptions!$B$21,IF(35-Schedule_Inputs!$B$17=1,Assumptions!$C$21,IF(35-Schedule_Inputs!$B$17=2,Assumptions!$D$21,0))),IF(Schedule_Inputs!$C$17="Launch",$C17*IF(35-Schedule_Inputs!$B$17=0,Assumptions!$B$22,IF(35-Schedule_Inputs!$B$17=1,Assumptions!$C$22,IF(35-Schedule_Inputs!$B$17=2,Assumptions!$D$22,IF(35-Schedule_Inputs!$B$17=3,Assumptions!$B$23,0)))),IF(Schedule_Inputs!$C$17="Office Setup",$C17*IF(35-Schedule_Inputs!$B$17=0,Assumptions!$B$24,IF(35-Schedule_Inputs!$B$17=1,Assumptions!$C$24,IF(35-Schedule_Inputs!$B$17=2,Assumptions!$D$24,0))),IF(OR(Schedule_Inputs!$C$17="Monthly",Schedule_Inputs!$C$17="Periodic"),IF(AND(35&gt;=Schedule_Inputs!$B$17,MOD(35-Schedule_Inputs!$B$17,Schedule_Inputs!$E$17)=0,(35-Schedule_Inputs!$B$17)/Schedule_Inputs!$E$17&lt;Schedule_Inputs!$D$17),$C17/Schedule_Inputs!$D$17,0),0))))</f>
        <v>0</v>
      </c>
      <c r="AN17" s="31">
        <f>IF(Schedule_Inputs!$C$17="Blueprint",$C17*IF(36-Schedule_Inputs!$B$17=0,Assumptions!$B$21,IF(36-Schedule_Inputs!$B$17=1,Assumptions!$C$21,IF(36-Schedule_Inputs!$B$17=2,Assumptions!$D$21,0))),IF(Schedule_Inputs!$C$17="Launch",$C17*IF(36-Schedule_Inputs!$B$17=0,Assumptions!$B$22,IF(36-Schedule_Inputs!$B$17=1,Assumptions!$C$22,IF(36-Schedule_Inputs!$B$17=2,Assumptions!$D$22,IF(36-Schedule_Inputs!$B$17=3,Assumptions!$B$23,0)))),IF(Schedule_Inputs!$C$17="Office Setup",$C17*IF(36-Schedule_Inputs!$B$17=0,Assumptions!$B$24,IF(36-Schedule_Inputs!$B$17=1,Assumptions!$C$24,IF(36-Schedule_Inputs!$B$17=2,Assumptions!$D$24,0))),IF(OR(Schedule_Inputs!$C$17="Monthly",Schedule_Inputs!$C$17="Periodic"),IF(AND(36&gt;=Schedule_Inputs!$B$17,MOD(36-Schedule_Inputs!$B$17,Schedule_Inputs!$E$17)=0,(36-Schedule_Inputs!$B$17)/Schedule_Inputs!$E$17&lt;Schedule_Inputs!$D$17),$C17/Schedule_Inputs!$D$17,0),0))))</f>
        <v>0</v>
      </c>
    </row>
    <row r="18" spans="1:40">
      <c r="A18" s="29" t="s">
        <v>248</v>
      </c>
      <c r="B18" s="29">
        <v>3</v>
      </c>
      <c r="C18" s="30">
        <v>21000</v>
      </c>
      <c r="D18" s="31" t="s">
        <v>230</v>
      </c>
      <c r="E18" s="31">
        <f>IF(Schedule_Inputs!$C$18="Blueprint",$C18*IF(1-Schedule_Inputs!$B$18=0,Assumptions!$B$21,IF(1-Schedule_Inputs!$B$18=1,Assumptions!$C$21,IF(1-Schedule_Inputs!$B$18=2,Assumptions!$D$21,0))),IF(Schedule_Inputs!$C$18="Launch",$C18*IF(1-Schedule_Inputs!$B$18=0,Assumptions!$B$22,IF(1-Schedule_Inputs!$B$18=1,Assumptions!$C$22,IF(1-Schedule_Inputs!$B$18=2,Assumptions!$D$22,IF(1-Schedule_Inputs!$B$18=3,Assumptions!$B$23,0)))),IF(Schedule_Inputs!$C$18="Office Setup",$C18*IF(1-Schedule_Inputs!$B$18=0,Assumptions!$B$24,IF(1-Schedule_Inputs!$B$18=1,Assumptions!$C$24,IF(1-Schedule_Inputs!$B$18=2,Assumptions!$D$24,0))),IF(OR(Schedule_Inputs!$C$18="Monthly",Schedule_Inputs!$C$18="Periodic"),IF(AND(1&gt;=Schedule_Inputs!$B$18,MOD(1-Schedule_Inputs!$B$18,Schedule_Inputs!$E$18)=0,(1-Schedule_Inputs!$B$18)/Schedule_Inputs!$E$18&lt;Schedule_Inputs!$D$18),$C18/Schedule_Inputs!$D$18,0),0))))</f>
        <v>0</v>
      </c>
      <c r="F18" s="31">
        <f>IF(Schedule_Inputs!$C$18="Blueprint",$C18*IF(2-Schedule_Inputs!$B$18=0,Assumptions!$B$21,IF(2-Schedule_Inputs!$B$18=1,Assumptions!$C$21,IF(2-Schedule_Inputs!$B$18=2,Assumptions!$D$21,0))),IF(Schedule_Inputs!$C$18="Launch",$C18*IF(2-Schedule_Inputs!$B$18=0,Assumptions!$B$22,IF(2-Schedule_Inputs!$B$18=1,Assumptions!$C$22,IF(2-Schedule_Inputs!$B$18=2,Assumptions!$D$22,IF(2-Schedule_Inputs!$B$18=3,Assumptions!$B$23,0)))),IF(Schedule_Inputs!$C$18="Office Setup",$C18*IF(2-Schedule_Inputs!$B$18=0,Assumptions!$B$24,IF(2-Schedule_Inputs!$B$18=1,Assumptions!$C$24,IF(2-Schedule_Inputs!$B$18=2,Assumptions!$D$24,0))),IF(OR(Schedule_Inputs!$C$18="Monthly",Schedule_Inputs!$C$18="Periodic"),IF(AND(2&gt;=Schedule_Inputs!$B$18,MOD(2-Schedule_Inputs!$B$18,Schedule_Inputs!$E$18)=0,(2-Schedule_Inputs!$B$18)/Schedule_Inputs!$E$18&lt;Schedule_Inputs!$D$18),$C18/Schedule_Inputs!$D$18,0),0))))</f>
        <v>0</v>
      </c>
      <c r="G18" s="31">
        <f>IF(Schedule_Inputs!$C$18="Blueprint",$C18*IF(3-Schedule_Inputs!$B$18=0,Assumptions!$B$21,IF(3-Schedule_Inputs!$B$18=1,Assumptions!$C$21,IF(3-Schedule_Inputs!$B$18=2,Assumptions!$D$21,0))),IF(Schedule_Inputs!$C$18="Launch",$C18*IF(3-Schedule_Inputs!$B$18=0,Assumptions!$B$22,IF(3-Schedule_Inputs!$B$18=1,Assumptions!$C$22,IF(3-Schedule_Inputs!$B$18=2,Assumptions!$D$22,IF(3-Schedule_Inputs!$B$18=3,Assumptions!$B$23,0)))),IF(Schedule_Inputs!$C$18="Office Setup",$C18*IF(3-Schedule_Inputs!$B$18=0,Assumptions!$B$24,IF(3-Schedule_Inputs!$B$18=1,Assumptions!$C$24,IF(3-Schedule_Inputs!$B$18=2,Assumptions!$D$24,0))),IF(OR(Schedule_Inputs!$C$18="Monthly",Schedule_Inputs!$C$18="Periodic"),IF(AND(3&gt;=Schedule_Inputs!$B$18,MOD(3-Schedule_Inputs!$B$18,Schedule_Inputs!$E$18)=0,(3-Schedule_Inputs!$B$18)/Schedule_Inputs!$E$18&lt;Schedule_Inputs!$D$18),$C18/Schedule_Inputs!$D$18,0),0))))</f>
        <v>0</v>
      </c>
      <c r="H18" s="31">
        <f>IF(Schedule_Inputs!$C$18="Blueprint",$C18*IF(4-Schedule_Inputs!$B$18=0,Assumptions!$B$21,IF(4-Schedule_Inputs!$B$18=1,Assumptions!$C$21,IF(4-Schedule_Inputs!$B$18=2,Assumptions!$D$21,0))),IF(Schedule_Inputs!$C$18="Launch",$C18*IF(4-Schedule_Inputs!$B$18=0,Assumptions!$B$22,IF(4-Schedule_Inputs!$B$18=1,Assumptions!$C$22,IF(4-Schedule_Inputs!$B$18=2,Assumptions!$D$22,IF(4-Schedule_Inputs!$B$18=3,Assumptions!$B$23,0)))),IF(Schedule_Inputs!$C$18="Office Setup",$C18*IF(4-Schedule_Inputs!$B$18=0,Assumptions!$B$24,IF(4-Schedule_Inputs!$B$18=1,Assumptions!$C$24,IF(4-Schedule_Inputs!$B$18=2,Assumptions!$D$24,0))),IF(OR(Schedule_Inputs!$C$18="Monthly",Schedule_Inputs!$C$18="Periodic"),IF(AND(4&gt;=Schedule_Inputs!$B$18,MOD(4-Schedule_Inputs!$B$18,Schedule_Inputs!$E$18)=0,(4-Schedule_Inputs!$B$18)/Schedule_Inputs!$E$18&lt;Schedule_Inputs!$D$18),$C18/Schedule_Inputs!$D$18,0),0))))</f>
        <v>0</v>
      </c>
      <c r="I18" s="31">
        <f>IF(Schedule_Inputs!$C$18="Blueprint",$C18*IF(5-Schedule_Inputs!$B$18=0,Assumptions!$B$21,IF(5-Schedule_Inputs!$B$18=1,Assumptions!$C$21,IF(5-Schedule_Inputs!$B$18=2,Assumptions!$D$21,0))),IF(Schedule_Inputs!$C$18="Launch",$C18*IF(5-Schedule_Inputs!$B$18=0,Assumptions!$B$22,IF(5-Schedule_Inputs!$B$18=1,Assumptions!$C$22,IF(5-Schedule_Inputs!$B$18=2,Assumptions!$D$22,IF(5-Schedule_Inputs!$B$18=3,Assumptions!$B$23,0)))),IF(Schedule_Inputs!$C$18="Office Setup",$C18*IF(5-Schedule_Inputs!$B$18=0,Assumptions!$B$24,IF(5-Schedule_Inputs!$B$18=1,Assumptions!$C$24,IF(5-Schedule_Inputs!$B$18=2,Assumptions!$D$24,0))),IF(OR(Schedule_Inputs!$C$18="Monthly",Schedule_Inputs!$C$18="Periodic"),IF(AND(5&gt;=Schedule_Inputs!$B$18,MOD(5-Schedule_Inputs!$B$18,Schedule_Inputs!$E$18)=0,(5-Schedule_Inputs!$B$18)/Schedule_Inputs!$E$18&lt;Schedule_Inputs!$D$18),$C18/Schedule_Inputs!$D$18,0),0))))</f>
        <v>0</v>
      </c>
      <c r="J18" s="31">
        <f>IF(Schedule_Inputs!$C$18="Blueprint",$C18*IF(6-Schedule_Inputs!$B$18=0,Assumptions!$B$21,IF(6-Schedule_Inputs!$B$18=1,Assumptions!$C$21,IF(6-Schedule_Inputs!$B$18=2,Assumptions!$D$21,0))),IF(Schedule_Inputs!$C$18="Launch",$C18*IF(6-Schedule_Inputs!$B$18=0,Assumptions!$B$22,IF(6-Schedule_Inputs!$B$18=1,Assumptions!$C$22,IF(6-Schedule_Inputs!$B$18=2,Assumptions!$D$22,IF(6-Schedule_Inputs!$B$18=3,Assumptions!$B$23,0)))),IF(Schedule_Inputs!$C$18="Office Setup",$C18*IF(6-Schedule_Inputs!$B$18=0,Assumptions!$B$24,IF(6-Schedule_Inputs!$B$18=1,Assumptions!$C$24,IF(6-Schedule_Inputs!$B$18=2,Assumptions!$D$24,0))),IF(OR(Schedule_Inputs!$C$18="Monthly",Schedule_Inputs!$C$18="Periodic"),IF(AND(6&gt;=Schedule_Inputs!$B$18,MOD(6-Schedule_Inputs!$B$18,Schedule_Inputs!$E$18)=0,(6-Schedule_Inputs!$B$18)/Schedule_Inputs!$E$18&lt;Schedule_Inputs!$D$18),$C18/Schedule_Inputs!$D$18,0),0))))</f>
        <v>0</v>
      </c>
      <c r="K18" s="31">
        <f>IF(Schedule_Inputs!$C$18="Blueprint",$C18*IF(7-Schedule_Inputs!$B$18=0,Assumptions!$B$21,IF(7-Schedule_Inputs!$B$18=1,Assumptions!$C$21,IF(7-Schedule_Inputs!$B$18=2,Assumptions!$D$21,0))),IF(Schedule_Inputs!$C$18="Launch",$C18*IF(7-Schedule_Inputs!$B$18=0,Assumptions!$B$22,IF(7-Schedule_Inputs!$B$18=1,Assumptions!$C$22,IF(7-Schedule_Inputs!$B$18=2,Assumptions!$D$22,IF(7-Schedule_Inputs!$B$18=3,Assumptions!$B$23,0)))),IF(Schedule_Inputs!$C$18="Office Setup",$C18*IF(7-Schedule_Inputs!$B$18=0,Assumptions!$B$24,IF(7-Schedule_Inputs!$B$18=1,Assumptions!$C$24,IF(7-Schedule_Inputs!$B$18=2,Assumptions!$D$24,0))),IF(OR(Schedule_Inputs!$C$18="Monthly",Schedule_Inputs!$C$18="Periodic"),IF(AND(7&gt;=Schedule_Inputs!$B$18,MOD(7-Schedule_Inputs!$B$18,Schedule_Inputs!$E$18)=0,(7-Schedule_Inputs!$B$18)/Schedule_Inputs!$E$18&lt;Schedule_Inputs!$D$18),$C18/Schedule_Inputs!$D$18,0),0))))</f>
        <v>0</v>
      </c>
      <c r="L18" s="31">
        <f>IF(Schedule_Inputs!$C$18="Blueprint",$C18*IF(8-Schedule_Inputs!$B$18=0,Assumptions!$B$21,IF(8-Schedule_Inputs!$B$18=1,Assumptions!$C$21,IF(8-Schedule_Inputs!$B$18=2,Assumptions!$D$21,0))),IF(Schedule_Inputs!$C$18="Launch",$C18*IF(8-Schedule_Inputs!$B$18=0,Assumptions!$B$22,IF(8-Schedule_Inputs!$B$18=1,Assumptions!$C$22,IF(8-Schedule_Inputs!$B$18=2,Assumptions!$D$22,IF(8-Schedule_Inputs!$B$18=3,Assumptions!$B$23,0)))),IF(Schedule_Inputs!$C$18="Office Setup",$C18*IF(8-Schedule_Inputs!$B$18=0,Assumptions!$B$24,IF(8-Schedule_Inputs!$B$18=1,Assumptions!$C$24,IF(8-Schedule_Inputs!$B$18=2,Assumptions!$D$24,0))),IF(OR(Schedule_Inputs!$C$18="Monthly",Schedule_Inputs!$C$18="Periodic"),IF(AND(8&gt;=Schedule_Inputs!$B$18,MOD(8-Schedule_Inputs!$B$18,Schedule_Inputs!$E$18)=0,(8-Schedule_Inputs!$B$18)/Schedule_Inputs!$E$18&lt;Schedule_Inputs!$D$18),$C18/Schedule_Inputs!$D$18,0),0))))</f>
        <v>0</v>
      </c>
      <c r="M18" s="31">
        <f>IF(Schedule_Inputs!$C$18="Blueprint",$C18*IF(9-Schedule_Inputs!$B$18=0,Assumptions!$B$21,IF(9-Schedule_Inputs!$B$18=1,Assumptions!$C$21,IF(9-Schedule_Inputs!$B$18=2,Assumptions!$D$21,0))),IF(Schedule_Inputs!$C$18="Launch",$C18*IF(9-Schedule_Inputs!$B$18=0,Assumptions!$B$22,IF(9-Schedule_Inputs!$B$18=1,Assumptions!$C$22,IF(9-Schedule_Inputs!$B$18=2,Assumptions!$D$22,IF(9-Schedule_Inputs!$B$18=3,Assumptions!$B$23,0)))),IF(Schedule_Inputs!$C$18="Office Setup",$C18*IF(9-Schedule_Inputs!$B$18=0,Assumptions!$B$24,IF(9-Schedule_Inputs!$B$18=1,Assumptions!$C$24,IF(9-Schedule_Inputs!$B$18=2,Assumptions!$D$24,0))),IF(OR(Schedule_Inputs!$C$18="Monthly",Schedule_Inputs!$C$18="Periodic"),IF(AND(9&gt;=Schedule_Inputs!$B$18,MOD(9-Schedule_Inputs!$B$18,Schedule_Inputs!$E$18)=0,(9-Schedule_Inputs!$B$18)/Schedule_Inputs!$E$18&lt;Schedule_Inputs!$D$18),$C18/Schedule_Inputs!$D$18,0),0))))</f>
        <v>0</v>
      </c>
      <c r="N18" s="31">
        <f>IF(Schedule_Inputs!$C$18="Blueprint",$C18*IF(10-Schedule_Inputs!$B$18=0,Assumptions!$B$21,IF(10-Schedule_Inputs!$B$18=1,Assumptions!$C$21,IF(10-Schedule_Inputs!$B$18=2,Assumptions!$D$21,0))),IF(Schedule_Inputs!$C$18="Launch",$C18*IF(10-Schedule_Inputs!$B$18=0,Assumptions!$B$22,IF(10-Schedule_Inputs!$B$18=1,Assumptions!$C$22,IF(10-Schedule_Inputs!$B$18=2,Assumptions!$D$22,IF(10-Schedule_Inputs!$B$18=3,Assumptions!$B$23,0)))),IF(Schedule_Inputs!$C$18="Office Setup",$C18*IF(10-Schedule_Inputs!$B$18=0,Assumptions!$B$24,IF(10-Schedule_Inputs!$B$18=1,Assumptions!$C$24,IF(10-Schedule_Inputs!$B$18=2,Assumptions!$D$24,0))),IF(OR(Schedule_Inputs!$C$18="Monthly",Schedule_Inputs!$C$18="Periodic"),IF(AND(10&gt;=Schedule_Inputs!$B$18,MOD(10-Schedule_Inputs!$B$18,Schedule_Inputs!$E$18)=0,(10-Schedule_Inputs!$B$18)/Schedule_Inputs!$E$18&lt;Schedule_Inputs!$D$18),$C18/Schedule_Inputs!$D$18,0),0))))</f>
        <v>0</v>
      </c>
      <c r="O18" s="31">
        <f>IF(Schedule_Inputs!$C$18="Blueprint",$C18*IF(11-Schedule_Inputs!$B$18=0,Assumptions!$B$21,IF(11-Schedule_Inputs!$B$18=1,Assumptions!$C$21,IF(11-Schedule_Inputs!$B$18=2,Assumptions!$D$21,0))),IF(Schedule_Inputs!$C$18="Launch",$C18*IF(11-Schedule_Inputs!$B$18=0,Assumptions!$B$22,IF(11-Schedule_Inputs!$B$18=1,Assumptions!$C$22,IF(11-Schedule_Inputs!$B$18=2,Assumptions!$D$22,IF(11-Schedule_Inputs!$B$18=3,Assumptions!$B$23,0)))),IF(Schedule_Inputs!$C$18="Office Setup",$C18*IF(11-Schedule_Inputs!$B$18=0,Assumptions!$B$24,IF(11-Schedule_Inputs!$B$18=1,Assumptions!$C$24,IF(11-Schedule_Inputs!$B$18=2,Assumptions!$D$24,0))),IF(OR(Schedule_Inputs!$C$18="Monthly",Schedule_Inputs!$C$18="Periodic"),IF(AND(11&gt;=Schedule_Inputs!$B$18,MOD(11-Schedule_Inputs!$B$18,Schedule_Inputs!$E$18)=0,(11-Schedule_Inputs!$B$18)/Schedule_Inputs!$E$18&lt;Schedule_Inputs!$D$18),$C18/Schedule_Inputs!$D$18,0),0))))</f>
        <v>0</v>
      </c>
      <c r="P18" s="31">
        <f>IF(Schedule_Inputs!$C$18="Blueprint",$C18*IF(12-Schedule_Inputs!$B$18=0,Assumptions!$B$21,IF(12-Schedule_Inputs!$B$18=1,Assumptions!$C$21,IF(12-Schedule_Inputs!$B$18=2,Assumptions!$D$21,0))),IF(Schedule_Inputs!$C$18="Launch",$C18*IF(12-Schedule_Inputs!$B$18=0,Assumptions!$B$22,IF(12-Schedule_Inputs!$B$18=1,Assumptions!$C$22,IF(12-Schedule_Inputs!$B$18=2,Assumptions!$D$22,IF(12-Schedule_Inputs!$B$18=3,Assumptions!$B$23,0)))),IF(Schedule_Inputs!$C$18="Office Setup",$C18*IF(12-Schedule_Inputs!$B$18=0,Assumptions!$B$24,IF(12-Schedule_Inputs!$B$18=1,Assumptions!$C$24,IF(12-Schedule_Inputs!$B$18=2,Assumptions!$D$24,0))),IF(OR(Schedule_Inputs!$C$18="Monthly",Schedule_Inputs!$C$18="Periodic"),IF(AND(12&gt;=Schedule_Inputs!$B$18,MOD(12-Schedule_Inputs!$B$18,Schedule_Inputs!$E$18)=0,(12-Schedule_Inputs!$B$18)/Schedule_Inputs!$E$18&lt;Schedule_Inputs!$D$18),$C18/Schedule_Inputs!$D$18,0),0))))</f>
        <v>0</v>
      </c>
      <c r="Q18" s="31">
        <f>IF(Schedule_Inputs!$C$18="Blueprint",$C18*IF(13-Schedule_Inputs!$B$18=0,Assumptions!$B$21,IF(13-Schedule_Inputs!$B$18=1,Assumptions!$C$21,IF(13-Schedule_Inputs!$B$18=2,Assumptions!$D$21,0))),IF(Schedule_Inputs!$C$18="Launch",$C18*IF(13-Schedule_Inputs!$B$18=0,Assumptions!$B$22,IF(13-Schedule_Inputs!$B$18=1,Assumptions!$C$22,IF(13-Schedule_Inputs!$B$18=2,Assumptions!$D$22,IF(13-Schedule_Inputs!$B$18=3,Assumptions!$B$23,0)))),IF(Schedule_Inputs!$C$18="Office Setup",$C18*IF(13-Schedule_Inputs!$B$18=0,Assumptions!$B$24,IF(13-Schedule_Inputs!$B$18=1,Assumptions!$C$24,IF(13-Schedule_Inputs!$B$18=2,Assumptions!$D$24,0))),IF(OR(Schedule_Inputs!$C$18="Monthly",Schedule_Inputs!$C$18="Periodic"),IF(AND(13&gt;=Schedule_Inputs!$B$18,MOD(13-Schedule_Inputs!$B$18,Schedule_Inputs!$E$18)=0,(13-Schedule_Inputs!$B$18)/Schedule_Inputs!$E$18&lt;Schedule_Inputs!$D$18),$C18/Schedule_Inputs!$D$18,0),0))))</f>
        <v>0</v>
      </c>
      <c r="R18" s="31">
        <f>IF(Schedule_Inputs!$C$18="Blueprint",$C18*IF(14-Schedule_Inputs!$B$18=0,Assumptions!$B$21,IF(14-Schedule_Inputs!$B$18=1,Assumptions!$C$21,IF(14-Schedule_Inputs!$B$18=2,Assumptions!$D$21,0))),IF(Schedule_Inputs!$C$18="Launch",$C18*IF(14-Schedule_Inputs!$B$18=0,Assumptions!$B$22,IF(14-Schedule_Inputs!$B$18=1,Assumptions!$C$22,IF(14-Schedule_Inputs!$B$18=2,Assumptions!$D$22,IF(14-Schedule_Inputs!$B$18=3,Assumptions!$B$23,0)))),IF(Schedule_Inputs!$C$18="Office Setup",$C18*IF(14-Schedule_Inputs!$B$18=0,Assumptions!$B$24,IF(14-Schedule_Inputs!$B$18=1,Assumptions!$C$24,IF(14-Schedule_Inputs!$B$18=2,Assumptions!$D$24,0))),IF(OR(Schedule_Inputs!$C$18="Monthly",Schedule_Inputs!$C$18="Periodic"),IF(AND(14&gt;=Schedule_Inputs!$B$18,MOD(14-Schedule_Inputs!$B$18,Schedule_Inputs!$E$18)=0,(14-Schedule_Inputs!$B$18)/Schedule_Inputs!$E$18&lt;Schedule_Inputs!$D$18),$C18/Schedule_Inputs!$D$18,0),0))))</f>
        <v>0</v>
      </c>
      <c r="S18" s="31">
        <f>IF(Schedule_Inputs!$C$18="Blueprint",$C18*IF(15-Schedule_Inputs!$B$18=0,Assumptions!$B$21,IF(15-Schedule_Inputs!$B$18=1,Assumptions!$C$21,IF(15-Schedule_Inputs!$B$18=2,Assumptions!$D$21,0))),IF(Schedule_Inputs!$C$18="Launch",$C18*IF(15-Schedule_Inputs!$B$18=0,Assumptions!$B$22,IF(15-Schedule_Inputs!$B$18=1,Assumptions!$C$22,IF(15-Schedule_Inputs!$B$18=2,Assumptions!$D$22,IF(15-Schedule_Inputs!$B$18=3,Assumptions!$B$23,0)))),IF(Schedule_Inputs!$C$18="Office Setup",$C18*IF(15-Schedule_Inputs!$B$18=0,Assumptions!$B$24,IF(15-Schedule_Inputs!$B$18=1,Assumptions!$C$24,IF(15-Schedule_Inputs!$B$18=2,Assumptions!$D$24,0))),IF(OR(Schedule_Inputs!$C$18="Monthly",Schedule_Inputs!$C$18="Periodic"),IF(AND(15&gt;=Schedule_Inputs!$B$18,MOD(15-Schedule_Inputs!$B$18,Schedule_Inputs!$E$18)=0,(15-Schedule_Inputs!$B$18)/Schedule_Inputs!$E$18&lt;Schedule_Inputs!$D$18),$C18/Schedule_Inputs!$D$18,0),0))))</f>
        <v>0</v>
      </c>
      <c r="T18" s="31">
        <f>IF(Schedule_Inputs!$C$18="Blueprint",$C18*IF(16-Schedule_Inputs!$B$18=0,Assumptions!$B$21,IF(16-Schedule_Inputs!$B$18=1,Assumptions!$C$21,IF(16-Schedule_Inputs!$B$18=2,Assumptions!$D$21,0))),IF(Schedule_Inputs!$C$18="Launch",$C18*IF(16-Schedule_Inputs!$B$18=0,Assumptions!$B$22,IF(16-Schedule_Inputs!$B$18=1,Assumptions!$C$22,IF(16-Schedule_Inputs!$B$18=2,Assumptions!$D$22,IF(16-Schedule_Inputs!$B$18=3,Assumptions!$B$23,0)))),IF(Schedule_Inputs!$C$18="Office Setup",$C18*IF(16-Schedule_Inputs!$B$18=0,Assumptions!$B$24,IF(16-Schedule_Inputs!$B$18=1,Assumptions!$C$24,IF(16-Schedule_Inputs!$B$18=2,Assumptions!$D$24,0))),IF(OR(Schedule_Inputs!$C$18="Monthly",Schedule_Inputs!$C$18="Periodic"),IF(AND(16&gt;=Schedule_Inputs!$B$18,MOD(16-Schedule_Inputs!$B$18,Schedule_Inputs!$E$18)=0,(16-Schedule_Inputs!$B$18)/Schedule_Inputs!$E$18&lt;Schedule_Inputs!$D$18),$C18/Schedule_Inputs!$D$18,0),0))))</f>
        <v>0</v>
      </c>
      <c r="U18" s="31">
        <f>IF(Schedule_Inputs!$C$18="Blueprint",$C18*IF(17-Schedule_Inputs!$B$18=0,Assumptions!$B$21,IF(17-Schedule_Inputs!$B$18=1,Assumptions!$C$21,IF(17-Schedule_Inputs!$B$18=2,Assumptions!$D$21,0))),IF(Schedule_Inputs!$C$18="Launch",$C18*IF(17-Schedule_Inputs!$B$18=0,Assumptions!$B$22,IF(17-Schedule_Inputs!$B$18=1,Assumptions!$C$22,IF(17-Schedule_Inputs!$B$18=2,Assumptions!$D$22,IF(17-Schedule_Inputs!$B$18=3,Assumptions!$B$23,0)))),IF(Schedule_Inputs!$C$18="Office Setup",$C18*IF(17-Schedule_Inputs!$B$18=0,Assumptions!$B$24,IF(17-Schedule_Inputs!$B$18=1,Assumptions!$C$24,IF(17-Schedule_Inputs!$B$18=2,Assumptions!$D$24,0))),IF(OR(Schedule_Inputs!$C$18="Monthly",Schedule_Inputs!$C$18="Periodic"),IF(AND(17&gt;=Schedule_Inputs!$B$18,MOD(17-Schedule_Inputs!$B$18,Schedule_Inputs!$E$18)=0,(17-Schedule_Inputs!$B$18)/Schedule_Inputs!$E$18&lt;Schedule_Inputs!$D$18),$C18/Schedule_Inputs!$D$18,0),0))))</f>
        <v>0</v>
      </c>
      <c r="V18" s="31">
        <f>IF(Schedule_Inputs!$C$18="Blueprint",$C18*IF(18-Schedule_Inputs!$B$18=0,Assumptions!$B$21,IF(18-Schedule_Inputs!$B$18=1,Assumptions!$C$21,IF(18-Schedule_Inputs!$B$18=2,Assumptions!$D$21,0))),IF(Schedule_Inputs!$C$18="Launch",$C18*IF(18-Schedule_Inputs!$B$18=0,Assumptions!$B$22,IF(18-Schedule_Inputs!$B$18=1,Assumptions!$C$22,IF(18-Schedule_Inputs!$B$18=2,Assumptions!$D$22,IF(18-Schedule_Inputs!$B$18=3,Assumptions!$B$23,0)))),IF(Schedule_Inputs!$C$18="Office Setup",$C18*IF(18-Schedule_Inputs!$B$18=0,Assumptions!$B$24,IF(18-Schedule_Inputs!$B$18=1,Assumptions!$C$24,IF(18-Schedule_Inputs!$B$18=2,Assumptions!$D$24,0))),IF(OR(Schedule_Inputs!$C$18="Monthly",Schedule_Inputs!$C$18="Periodic"),IF(AND(18&gt;=Schedule_Inputs!$B$18,MOD(18-Schedule_Inputs!$B$18,Schedule_Inputs!$E$18)=0,(18-Schedule_Inputs!$B$18)/Schedule_Inputs!$E$18&lt;Schedule_Inputs!$D$18),$C18/Schedule_Inputs!$D$18,0),0))))</f>
        <v>0</v>
      </c>
      <c r="W18" s="31">
        <f>IF(Schedule_Inputs!$C$18="Blueprint",$C18*IF(19-Schedule_Inputs!$B$18=0,Assumptions!$B$21,IF(19-Schedule_Inputs!$B$18=1,Assumptions!$C$21,IF(19-Schedule_Inputs!$B$18=2,Assumptions!$D$21,0))),IF(Schedule_Inputs!$C$18="Launch",$C18*IF(19-Schedule_Inputs!$B$18=0,Assumptions!$B$22,IF(19-Schedule_Inputs!$B$18=1,Assumptions!$C$22,IF(19-Schedule_Inputs!$B$18=2,Assumptions!$D$22,IF(19-Schedule_Inputs!$B$18=3,Assumptions!$B$23,0)))),IF(Schedule_Inputs!$C$18="Office Setup",$C18*IF(19-Schedule_Inputs!$B$18=0,Assumptions!$B$24,IF(19-Schedule_Inputs!$B$18=1,Assumptions!$C$24,IF(19-Schedule_Inputs!$B$18=2,Assumptions!$D$24,0))),IF(OR(Schedule_Inputs!$C$18="Monthly",Schedule_Inputs!$C$18="Periodic"),IF(AND(19&gt;=Schedule_Inputs!$B$18,MOD(19-Schedule_Inputs!$B$18,Schedule_Inputs!$E$18)=0,(19-Schedule_Inputs!$B$18)/Schedule_Inputs!$E$18&lt;Schedule_Inputs!$D$18),$C18/Schedule_Inputs!$D$18,0),0))))</f>
        <v>0</v>
      </c>
      <c r="X18" s="31">
        <f>IF(Schedule_Inputs!$C$18="Blueprint",$C18*IF(20-Schedule_Inputs!$B$18=0,Assumptions!$B$21,IF(20-Schedule_Inputs!$B$18=1,Assumptions!$C$21,IF(20-Schedule_Inputs!$B$18=2,Assumptions!$D$21,0))),IF(Schedule_Inputs!$C$18="Launch",$C18*IF(20-Schedule_Inputs!$B$18=0,Assumptions!$B$22,IF(20-Schedule_Inputs!$B$18=1,Assumptions!$C$22,IF(20-Schedule_Inputs!$B$18=2,Assumptions!$D$22,IF(20-Schedule_Inputs!$B$18=3,Assumptions!$B$23,0)))),IF(Schedule_Inputs!$C$18="Office Setup",$C18*IF(20-Schedule_Inputs!$B$18=0,Assumptions!$B$24,IF(20-Schedule_Inputs!$B$18=1,Assumptions!$C$24,IF(20-Schedule_Inputs!$B$18=2,Assumptions!$D$24,0))),IF(OR(Schedule_Inputs!$C$18="Monthly",Schedule_Inputs!$C$18="Periodic"),IF(AND(20&gt;=Schedule_Inputs!$B$18,MOD(20-Schedule_Inputs!$B$18,Schedule_Inputs!$E$18)=0,(20-Schedule_Inputs!$B$18)/Schedule_Inputs!$E$18&lt;Schedule_Inputs!$D$18),$C18/Schedule_Inputs!$D$18,0),0))))</f>
        <v>0</v>
      </c>
      <c r="Y18" s="31">
        <f>IF(Schedule_Inputs!$C$18="Blueprint",$C18*IF(21-Schedule_Inputs!$B$18=0,Assumptions!$B$21,IF(21-Schedule_Inputs!$B$18=1,Assumptions!$C$21,IF(21-Schedule_Inputs!$B$18=2,Assumptions!$D$21,0))),IF(Schedule_Inputs!$C$18="Launch",$C18*IF(21-Schedule_Inputs!$B$18=0,Assumptions!$B$22,IF(21-Schedule_Inputs!$B$18=1,Assumptions!$C$22,IF(21-Schedule_Inputs!$B$18=2,Assumptions!$D$22,IF(21-Schedule_Inputs!$B$18=3,Assumptions!$B$23,0)))),IF(Schedule_Inputs!$C$18="Office Setup",$C18*IF(21-Schedule_Inputs!$B$18=0,Assumptions!$B$24,IF(21-Schedule_Inputs!$B$18=1,Assumptions!$C$24,IF(21-Schedule_Inputs!$B$18=2,Assumptions!$D$24,0))),IF(OR(Schedule_Inputs!$C$18="Monthly",Schedule_Inputs!$C$18="Periodic"),IF(AND(21&gt;=Schedule_Inputs!$B$18,MOD(21-Schedule_Inputs!$B$18,Schedule_Inputs!$E$18)=0,(21-Schedule_Inputs!$B$18)/Schedule_Inputs!$E$18&lt;Schedule_Inputs!$D$18),$C18/Schedule_Inputs!$D$18,0),0))))</f>
        <v>0</v>
      </c>
      <c r="Z18" s="31">
        <f>IF(Schedule_Inputs!$C$18="Blueprint",$C18*IF(22-Schedule_Inputs!$B$18=0,Assumptions!$B$21,IF(22-Schedule_Inputs!$B$18=1,Assumptions!$C$21,IF(22-Schedule_Inputs!$B$18=2,Assumptions!$D$21,0))),IF(Schedule_Inputs!$C$18="Launch",$C18*IF(22-Schedule_Inputs!$B$18=0,Assumptions!$B$22,IF(22-Schedule_Inputs!$B$18=1,Assumptions!$C$22,IF(22-Schedule_Inputs!$B$18=2,Assumptions!$D$22,IF(22-Schedule_Inputs!$B$18=3,Assumptions!$B$23,0)))),IF(Schedule_Inputs!$C$18="Office Setup",$C18*IF(22-Schedule_Inputs!$B$18=0,Assumptions!$B$24,IF(22-Schedule_Inputs!$B$18=1,Assumptions!$C$24,IF(22-Schedule_Inputs!$B$18=2,Assumptions!$D$24,0))),IF(OR(Schedule_Inputs!$C$18="Monthly",Schedule_Inputs!$C$18="Periodic"),IF(AND(22&gt;=Schedule_Inputs!$B$18,MOD(22-Schedule_Inputs!$B$18,Schedule_Inputs!$E$18)=0,(22-Schedule_Inputs!$B$18)/Schedule_Inputs!$E$18&lt;Schedule_Inputs!$D$18),$C18/Schedule_Inputs!$D$18,0),0))))</f>
        <v>0</v>
      </c>
      <c r="AA18" s="31">
        <f>IF(Schedule_Inputs!$C$18="Blueprint",$C18*IF(23-Schedule_Inputs!$B$18=0,Assumptions!$B$21,IF(23-Schedule_Inputs!$B$18=1,Assumptions!$C$21,IF(23-Schedule_Inputs!$B$18=2,Assumptions!$D$21,0))),IF(Schedule_Inputs!$C$18="Launch",$C18*IF(23-Schedule_Inputs!$B$18=0,Assumptions!$B$22,IF(23-Schedule_Inputs!$B$18=1,Assumptions!$C$22,IF(23-Schedule_Inputs!$B$18=2,Assumptions!$D$22,IF(23-Schedule_Inputs!$B$18=3,Assumptions!$B$23,0)))),IF(Schedule_Inputs!$C$18="Office Setup",$C18*IF(23-Schedule_Inputs!$B$18=0,Assumptions!$B$24,IF(23-Schedule_Inputs!$B$18=1,Assumptions!$C$24,IF(23-Schedule_Inputs!$B$18=2,Assumptions!$D$24,0))),IF(OR(Schedule_Inputs!$C$18="Monthly",Schedule_Inputs!$C$18="Periodic"),IF(AND(23&gt;=Schedule_Inputs!$B$18,MOD(23-Schedule_Inputs!$B$18,Schedule_Inputs!$E$18)=0,(23-Schedule_Inputs!$B$18)/Schedule_Inputs!$E$18&lt;Schedule_Inputs!$D$18),$C18/Schedule_Inputs!$D$18,0),0))))</f>
        <v>0</v>
      </c>
      <c r="AB18" s="31">
        <f>IF(Schedule_Inputs!$C$18="Blueprint",$C18*IF(24-Schedule_Inputs!$B$18=0,Assumptions!$B$21,IF(24-Schedule_Inputs!$B$18=1,Assumptions!$C$21,IF(24-Schedule_Inputs!$B$18=2,Assumptions!$D$21,0))),IF(Schedule_Inputs!$C$18="Launch",$C18*IF(24-Schedule_Inputs!$B$18=0,Assumptions!$B$22,IF(24-Schedule_Inputs!$B$18=1,Assumptions!$C$22,IF(24-Schedule_Inputs!$B$18=2,Assumptions!$D$22,IF(24-Schedule_Inputs!$B$18=3,Assumptions!$B$23,0)))),IF(Schedule_Inputs!$C$18="Office Setup",$C18*IF(24-Schedule_Inputs!$B$18=0,Assumptions!$B$24,IF(24-Schedule_Inputs!$B$18=1,Assumptions!$C$24,IF(24-Schedule_Inputs!$B$18=2,Assumptions!$D$24,0))),IF(OR(Schedule_Inputs!$C$18="Monthly",Schedule_Inputs!$C$18="Periodic"),IF(AND(24&gt;=Schedule_Inputs!$B$18,MOD(24-Schedule_Inputs!$B$18,Schedule_Inputs!$E$18)=0,(24-Schedule_Inputs!$B$18)/Schedule_Inputs!$E$18&lt;Schedule_Inputs!$D$18),$C18/Schedule_Inputs!$D$18,0),0))))</f>
        <v>0</v>
      </c>
      <c r="AC18" s="31">
        <f>IF(Schedule_Inputs!$C$18="Blueprint",$C18*IF(25-Schedule_Inputs!$B$18=0,Assumptions!$B$21,IF(25-Schedule_Inputs!$B$18=1,Assumptions!$C$21,IF(25-Schedule_Inputs!$B$18=2,Assumptions!$D$21,0))),IF(Schedule_Inputs!$C$18="Launch",$C18*IF(25-Schedule_Inputs!$B$18=0,Assumptions!$B$22,IF(25-Schedule_Inputs!$B$18=1,Assumptions!$C$22,IF(25-Schedule_Inputs!$B$18=2,Assumptions!$D$22,IF(25-Schedule_Inputs!$B$18=3,Assumptions!$B$23,0)))),IF(Schedule_Inputs!$C$18="Office Setup",$C18*IF(25-Schedule_Inputs!$B$18=0,Assumptions!$B$24,IF(25-Schedule_Inputs!$B$18=1,Assumptions!$C$24,IF(25-Schedule_Inputs!$B$18=2,Assumptions!$D$24,0))),IF(OR(Schedule_Inputs!$C$18="Monthly",Schedule_Inputs!$C$18="Periodic"),IF(AND(25&gt;=Schedule_Inputs!$B$18,MOD(25-Schedule_Inputs!$B$18,Schedule_Inputs!$E$18)=0,(25-Schedule_Inputs!$B$18)/Schedule_Inputs!$E$18&lt;Schedule_Inputs!$D$18),$C18/Schedule_Inputs!$D$18,0),0))))</f>
        <v>8400</v>
      </c>
      <c r="AD18" s="31">
        <f>IF(Schedule_Inputs!$C$18="Blueprint",$C18*IF(26-Schedule_Inputs!$B$18=0,Assumptions!$B$21,IF(26-Schedule_Inputs!$B$18=1,Assumptions!$C$21,IF(26-Schedule_Inputs!$B$18=2,Assumptions!$D$21,0))),IF(Schedule_Inputs!$C$18="Launch",$C18*IF(26-Schedule_Inputs!$B$18=0,Assumptions!$B$22,IF(26-Schedule_Inputs!$B$18=1,Assumptions!$C$22,IF(26-Schedule_Inputs!$B$18=2,Assumptions!$D$22,IF(26-Schedule_Inputs!$B$18=3,Assumptions!$B$23,0)))),IF(Schedule_Inputs!$C$18="Office Setup",$C18*IF(26-Schedule_Inputs!$B$18=0,Assumptions!$B$24,IF(26-Schedule_Inputs!$B$18=1,Assumptions!$C$24,IF(26-Schedule_Inputs!$B$18=2,Assumptions!$D$24,0))),IF(OR(Schedule_Inputs!$C$18="Monthly",Schedule_Inputs!$C$18="Periodic"),IF(AND(26&gt;=Schedule_Inputs!$B$18,MOD(26-Schedule_Inputs!$B$18,Schedule_Inputs!$E$18)=0,(26-Schedule_Inputs!$B$18)/Schedule_Inputs!$E$18&lt;Schedule_Inputs!$D$18),$C18/Schedule_Inputs!$D$18,0),0))))</f>
        <v>8400</v>
      </c>
      <c r="AE18" s="31">
        <f>IF(Schedule_Inputs!$C$18="Blueprint",$C18*IF(27-Schedule_Inputs!$B$18=0,Assumptions!$B$21,IF(27-Schedule_Inputs!$B$18=1,Assumptions!$C$21,IF(27-Schedule_Inputs!$B$18=2,Assumptions!$D$21,0))),IF(Schedule_Inputs!$C$18="Launch",$C18*IF(27-Schedule_Inputs!$B$18=0,Assumptions!$B$22,IF(27-Schedule_Inputs!$B$18=1,Assumptions!$C$22,IF(27-Schedule_Inputs!$B$18=2,Assumptions!$D$22,IF(27-Schedule_Inputs!$B$18=3,Assumptions!$B$23,0)))),IF(Schedule_Inputs!$C$18="Office Setup",$C18*IF(27-Schedule_Inputs!$B$18=0,Assumptions!$B$24,IF(27-Schedule_Inputs!$B$18=1,Assumptions!$C$24,IF(27-Schedule_Inputs!$B$18=2,Assumptions!$D$24,0))),IF(OR(Schedule_Inputs!$C$18="Monthly",Schedule_Inputs!$C$18="Periodic"),IF(AND(27&gt;=Schedule_Inputs!$B$18,MOD(27-Schedule_Inputs!$B$18,Schedule_Inputs!$E$18)=0,(27-Schedule_Inputs!$B$18)/Schedule_Inputs!$E$18&lt;Schedule_Inputs!$D$18),$C18/Schedule_Inputs!$D$18,0),0))))</f>
        <v>4200</v>
      </c>
      <c r="AF18" s="31">
        <f>IF(Schedule_Inputs!$C$18="Blueprint",$C18*IF(28-Schedule_Inputs!$B$18=0,Assumptions!$B$21,IF(28-Schedule_Inputs!$B$18=1,Assumptions!$C$21,IF(28-Schedule_Inputs!$B$18=2,Assumptions!$D$21,0))),IF(Schedule_Inputs!$C$18="Launch",$C18*IF(28-Schedule_Inputs!$B$18=0,Assumptions!$B$22,IF(28-Schedule_Inputs!$B$18=1,Assumptions!$C$22,IF(28-Schedule_Inputs!$B$18=2,Assumptions!$D$22,IF(28-Schedule_Inputs!$B$18=3,Assumptions!$B$23,0)))),IF(Schedule_Inputs!$C$18="Office Setup",$C18*IF(28-Schedule_Inputs!$B$18=0,Assumptions!$B$24,IF(28-Schedule_Inputs!$B$18=1,Assumptions!$C$24,IF(28-Schedule_Inputs!$B$18=2,Assumptions!$D$24,0))),IF(OR(Schedule_Inputs!$C$18="Monthly",Schedule_Inputs!$C$18="Periodic"),IF(AND(28&gt;=Schedule_Inputs!$B$18,MOD(28-Schedule_Inputs!$B$18,Schedule_Inputs!$E$18)=0,(28-Schedule_Inputs!$B$18)/Schedule_Inputs!$E$18&lt;Schedule_Inputs!$D$18),$C18/Schedule_Inputs!$D$18,0),0))))</f>
        <v>0</v>
      </c>
      <c r="AG18" s="31">
        <f>IF(Schedule_Inputs!$C$18="Blueprint",$C18*IF(29-Schedule_Inputs!$B$18=0,Assumptions!$B$21,IF(29-Schedule_Inputs!$B$18=1,Assumptions!$C$21,IF(29-Schedule_Inputs!$B$18=2,Assumptions!$D$21,0))),IF(Schedule_Inputs!$C$18="Launch",$C18*IF(29-Schedule_Inputs!$B$18=0,Assumptions!$B$22,IF(29-Schedule_Inputs!$B$18=1,Assumptions!$C$22,IF(29-Schedule_Inputs!$B$18=2,Assumptions!$D$22,IF(29-Schedule_Inputs!$B$18=3,Assumptions!$B$23,0)))),IF(Schedule_Inputs!$C$18="Office Setup",$C18*IF(29-Schedule_Inputs!$B$18=0,Assumptions!$B$24,IF(29-Schedule_Inputs!$B$18=1,Assumptions!$C$24,IF(29-Schedule_Inputs!$B$18=2,Assumptions!$D$24,0))),IF(OR(Schedule_Inputs!$C$18="Monthly",Schedule_Inputs!$C$18="Periodic"),IF(AND(29&gt;=Schedule_Inputs!$B$18,MOD(29-Schedule_Inputs!$B$18,Schedule_Inputs!$E$18)=0,(29-Schedule_Inputs!$B$18)/Schedule_Inputs!$E$18&lt;Schedule_Inputs!$D$18),$C18/Schedule_Inputs!$D$18,0),0))))</f>
        <v>0</v>
      </c>
      <c r="AH18" s="31">
        <f>IF(Schedule_Inputs!$C$18="Blueprint",$C18*IF(30-Schedule_Inputs!$B$18=0,Assumptions!$B$21,IF(30-Schedule_Inputs!$B$18=1,Assumptions!$C$21,IF(30-Schedule_Inputs!$B$18=2,Assumptions!$D$21,0))),IF(Schedule_Inputs!$C$18="Launch",$C18*IF(30-Schedule_Inputs!$B$18=0,Assumptions!$B$22,IF(30-Schedule_Inputs!$B$18=1,Assumptions!$C$22,IF(30-Schedule_Inputs!$B$18=2,Assumptions!$D$22,IF(30-Schedule_Inputs!$B$18=3,Assumptions!$B$23,0)))),IF(Schedule_Inputs!$C$18="Office Setup",$C18*IF(30-Schedule_Inputs!$B$18=0,Assumptions!$B$24,IF(30-Schedule_Inputs!$B$18=1,Assumptions!$C$24,IF(30-Schedule_Inputs!$B$18=2,Assumptions!$D$24,0))),IF(OR(Schedule_Inputs!$C$18="Monthly",Schedule_Inputs!$C$18="Periodic"),IF(AND(30&gt;=Schedule_Inputs!$B$18,MOD(30-Schedule_Inputs!$B$18,Schedule_Inputs!$E$18)=0,(30-Schedule_Inputs!$B$18)/Schedule_Inputs!$E$18&lt;Schedule_Inputs!$D$18),$C18/Schedule_Inputs!$D$18,0),0))))</f>
        <v>0</v>
      </c>
      <c r="AI18" s="31">
        <f>IF(Schedule_Inputs!$C$18="Blueprint",$C18*IF(31-Schedule_Inputs!$B$18=0,Assumptions!$B$21,IF(31-Schedule_Inputs!$B$18=1,Assumptions!$C$21,IF(31-Schedule_Inputs!$B$18=2,Assumptions!$D$21,0))),IF(Schedule_Inputs!$C$18="Launch",$C18*IF(31-Schedule_Inputs!$B$18=0,Assumptions!$B$22,IF(31-Schedule_Inputs!$B$18=1,Assumptions!$C$22,IF(31-Schedule_Inputs!$B$18=2,Assumptions!$D$22,IF(31-Schedule_Inputs!$B$18=3,Assumptions!$B$23,0)))),IF(Schedule_Inputs!$C$18="Office Setup",$C18*IF(31-Schedule_Inputs!$B$18=0,Assumptions!$B$24,IF(31-Schedule_Inputs!$B$18=1,Assumptions!$C$24,IF(31-Schedule_Inputs!$B$18=2,Assumptions!$D$24,0))),IF(OR(Schedule_Inputs!$C$18="Monthly",Schedule_Inputs!$C$18="Periodic"),IF(AND(31&gt;=Schedule_Inputs!$B$18,MOD(31-Schedule_Inputs!$B$18,Schedule_Inputs!$E$18)=0,(31-Schedule_Inputs!$B$18)/Schedule_Inputs!$E$18&lt;Schedule_Inputs!$D$18),$C18/Schedule_Inputs!$D$18,0),0))))</f>
        <v>0</v>
      </c>
      <c r="AJ18" s="31">
        <f>IF(Schedule_Inputs!$C$18="Blueprint",$C18*IF(32-Schedule_Inputs!$B$18=0,Assumptions!$B$21,IF(32-Schedule_Inputs!$B$18=1,Assumptions!$C$21,IF(32-Schedule_Inputs!$B$18=2,Assumptions!$D$21,0))),IF(Schedule_Inputs!$C$18="Launch",$C18*IF(32-Schedule_Inputs!$B$18=0,Assumptions!$B$22,IF(32-Schedule_Inputs!$B$18=1,Assumptions!$C$22,IF(32-Schedule_Inputs!$B$18=2,Assumptions!$D$22,IF(32-Schedule_Inputs!$B$18=3,Assumptions!$B$23,0)))),IF(Schedule_Inputs!$C$18="Office Setup",$C18*IF(32-Schedule_Inputs!$B$18=0,Assumptions!$B$24,IF(32-Schedule_Inputs!$B$18=1,Assumptions!$C$24,IF(32-Schedule_Inputs!$B$18=2,Assumptions!$D$24,0))),IF(OR(Schedule_Inputs!$C$18="Monthly",Schedule_Inputs!$C$18="Periodic"),IF(AND(32&gt;=Schedule_Inputs!$B$18,MOD(32-Schedule_Inputs!$B$18,Schedule_Inputs!$E$18)=0,(32-Schedule_Inputs!$B$18)/Schedule_Inputs!$E$18&lt;Schedule_Inputs!$D$18),$C18/Schedule_Inputs!$D$18,0),0))))</f>
        <v>0</v>
      </c>
      <c r="AK18" s="31">
        <f>IF(Schedule_Inputs!$C$18="Blueprint",$C18*IF(33-Schedule_Inputs!$B$18=0,Assumptions!$B$21,IF(33-Schedule_Inputs!$B$18=1,Assumptions!$C$21,IF(33-Schedule_Inputs!$B$18=2,Assumptions!$D$21,0))),IF(Schedule_Inputs!$C$18="Launch",$C18*IF(33-Schedule_Inputs!$B$18=0,Assumptions!$B$22,IF(33-Schedule_Inputs!$B$18=1,Assumptions!$C$22,IF(33-Schedule_Inputs!$B$18=2,Assumptions!$D$22,IF(33-Schedule_Inputs!$B$18=3,Assumptions!$B$23,0)))),IF(Schedule_Inputs!$C$18="Office Setup",$C18*IF(33-Schedule_Inputs!$B$18=0,Assumptions!$B$24,IF(33-Schedule_Inputs!$B$18=1,Assumptions!$C$24,IF(33-Schedule_Inputs!$B$18=2,Assumptions!$D$24,0))),IF(OR(Schedule_Inputs!$C$18="Monthly",Schedule_Inputs!$C$18="Periodic"),IF(AND(33&gt;=Schedule_Inputs!$B$18,MOD(33-Schedule_Inputs!$B$18,Schedule_Inputs!$E$18)=0,(33-Schedule_Inputs!$B$18)/Schedule_Inputs!$E$18&lt;Schedule_Inputs!$D$18),$C18/Schedule_Inputs!$D$18,0),0))))</f>
        <v>0</v>
      </c>
      <c r="AL18" s="31">
        <f>IF(Schedule_Inputs!$C$18="Blueprint",$C18*IF(34-Schedule_Inputs!$B$18=0,Assumptions!$B$21,IF(34-Schedule_Inputs!$B$18=1,Assumptions!$C$21,IF(34-Schedule_Inputs!$B$18=2,Assumptions!$D$21,0))),IF(Schedule_Inputs!$C$18="Launch",$C18*IF(34-Schedule_Inputs!$B$18=0,Assumptions!$B$22,IF(34-Schedule_Inputs!$B$18=1,Assumptions!$C$22,IF(34-Schedule_Inputs!$B$18=2,Assumptions!$D$22,IF(34-Schedule_Inputs!$B$18=3,Assumptions!$B$23,0)))),IF(Schedule_Inputs!$C$18="Office Setup",$C18*IF(34-Schedule_Inputs!$B$18=0,Assumptions!$B$24,IF(34-Schedule_Inputs!$B$18=1,Assumptions!$C$24,IF(34-Schedule_Inputs!$B$18=2,Assumptions!$D$24,0))),IF(OR(Schedule_Inputs!$C$18="Monthly",Schedule_Inputs!$C$18="Periodic"),IF(AND(34&gt;=Schedule_Inputs!$B$18,MOD(34-Schedule_Inputs!$B$18,Schedule_Inputs!$E$18)=0,(34-Schedule_Inputs!$B$18)/Schedule_Inputs!$E$18&lt;Schedule_Inputs!$D$18),$C18/Schedule_Inputs!$D$18,0),0))))</f>
        <v>0</v>
      </c>
      <c r="AM18" s="31">
        <f>IF(Schedule_Inputs!$C$18="Blueprint",$C18*IF(35-Schedule_Inputs!$B$18=0,Assumptions!$B$21,IF(35-Schedule_Inputs!$B$18=1,Assumptions!$C$21,IF(35-Schedule_Inputs!$B$18=2,Assumptions!$D$21,0))),IF(Schedule_Inputs!$C$18="Launch",$C18*IF(35-Schedule_Inputs!$B$18=0,Assumptions!$B$22,IF(35-Schedule_Inputs!$B$18=1,Assumptions!$C$22,IF(35-Schedule_Inputs!$B$18=2,Assumptions!$D$22,IF(35-Schedule_Inputs!$B$18=3,Assumptions!$B$23,0)))),IF(Schedule_Inputs!$C$18="Office Setup",$C18*IF(35-Schedule_Inputs!$B$18=0,Assumptions!$B$24,IF(35-Schedule_Inputs!$B$18=1,Assumptions!$C$24,IF(35-Schedule_Inputs!$B$18=2,Assumptions!$D$24,0))),IF(OR(Schedule_Inputs!$C$18="Monthly",Schedule_Inputs!$C$18="Periodic"),IF(AND(35&gt;=Schedule_Inputs!$B$18,MOD(35-Schedule_Inputs!$B$18,Schedule_Inputs!$E$18)=0,(35-Schedule_Inputs!$B$18)/Schedule_Inputs!$E$18&lt;Schedule_Inputs!$D$18),$C18/Schedule_Inputs!$D$18,0),0))))</f>
        <v>0</v>
      </c>
      <c r="AN18" s="31">
        <f>IF(Schedule_Inputs!$C$18="Blueprint",$C18*IF(36-Schedule_Inputs!$B$18=0,Assumptions!$B$21,IF(36-Schedule_Inputs!$B$18=1,Assumptions!$C$21,IF(36-Schedule_Inputs!$B$18=2,Assumptions!$D$21,0))),IF(Schedule_Inputs!$C$18="Launch",$C18*IF(36-Schedule_Inputs!$B$18=0,Assumptions!$B$22,IF(36-Schedule_Inputs!$B$18=1,Assumptions!$C$22,IF(36-Schedule_Inputs!$B$18=2,Assumptions!$D$22,IF(36-Schedule_Inputs!$B$18=3,Assumptions!$B$23,0)))),IF(Schedule_Inputs!$C$18="Office Setup",$C18*IF(36-Schedule_Inputs!$B$18=0,Assumptions!$B$24,IF(36-Schedule_Inputs!$B$18=1,Assumptions!$C$24,IF(36-Schedule_Inputs!$B$18=2,Assumptions!$D$24,0))),IF(OR(Schedule_Inputs!$C$18="Monthly",Schedule_Inputs!$C$18="Periodic"),IF(AND(36&gt;=Schedule_Inputs!$B$18,MOD(36-Schedule_Inputs!$B$18,Schedule_Inputs!$E$18)=0,(36-Schedule_Inputs!$B$18)/Schedule_Inputs!$E$18&lt;Schedule_Inputs!$D$18),$C18/Schedule_Inputs!$D$18,0),0))))</f>
        <v>0</v>
      </c>
    </row>
    <row r="19" spans="1:40">
      <c r="A19" s="29" t="s">
        <v>249</v>
      </c>
      <c r="B19" s="29">
        <v>3</v>
      </c>
      <c r="C19" s="30">
        <v>21000</v>
      </c>
      <c r="D19" s="31" t="s">
        <v>230</v>
      </c>
      <c r="E19" s="31">
        <f>IF(Schedule_Inputs!$C$19="Blueprint",$C19*IF(1-Schedule_Inputs!$B$19=0,Assumptions!$B$21,IF(1-Schedule_Inputs!$B$19=1,Assumptions!$C$21,IF(1-Schedule_Inputs!$B$19=2,Assumptions!$D$21,0))),IF(Schedule_Inputs!$C$19="Launch",$C19*IF(1-Schedule_Inputs!$B$19=0,Assumptions!$B$22,IF(1-Schedule_Inputs!$B$19=1,Assumptions!$C$22,IF(1-Schedule_Inputs!$B$19=2,Assumptions!$D$22,IF(1-Schedule_Inputs!$B$19=3,Assumptions!$B$23,0)))),IF(Schedule_Inputs!$C$19="Office Setup",$C19*IF(1-Schedule_Inputs!$B$19=0,Assumptions!$B$24,IF(1-Schedule_Inputs!$B$19=1,Assumptions!$C$24,IF(1-Schedule_Inputs!$B$19=2,Assumptions!$D$24,0))),IF(OR(Schedule_Inputs!$C$19="Monthly",Schedule_Inputs!$C$19="Periodic"),IF(AND(1&gt;=Schedule_Inputs!$B$19,MOD(1-Schedule_Inputs!$B$19,Schedule_Inputs!$E$19)=0,(1-Schedule_Inputs!$B$19)/Schedule_Inputs!$E$19&lt;Schedule_Inputs!$D$19),$C19/Schedule_Inputs!$D$19,0),0))))</f>
        <v>0</v>
      </c>
      <c r="F19" s="31">
        <f>IF(Schedule_Inputs!$C$19="Blueprint",$C19*IF(2-Schedule_Inputs!$B$19=0,Assumptions!$B$21,IF(2-Schedule_Inputs!$B$19=1,Assumptions!$C$21,IF(2-Schedule_Inputs!$B$19=2,Assumptions!$D$21,0))),IF(Schedule_Inputs!$C$19="Launch",$C19*IF(2-Schedule_Inputs!$B$19=0,Assumptions!$B$22,IF(2-Schedule_Inputs!$B$19=1,Assumptions!$C$22,IF(2-Schedule_Inputs!$B$19=2,Assumptions!$D$22,IF(2-Schedule_Inputs!$B$19=3,Assumptions!$B$23,0)))),IF(Schedule_Inputs!$C$19="Office Setup",$C19*IF(2-Schedule_Inputs!$B$19=0,Assumptions!$B$24,IF(2-Schedule_Inputs!$B$19=1,Assumptions!$C$24,IF(2-Schedule_Inputs!$B$19=2,Assumptions!$D$24,0))),IF(OR(Schedule_Inputs!$C$19="Monthly",Schedule_Inputs!$C$19="Periodic"),IF(AND(2&gt;=Schedule_Inputs!$B$19,MOD(2-Schedule_Inputs!$B$19,Schedule_Inputs!$E$19)=0,(2-Schedule_Inputs!$B$19)/Schedule_Inputs!$E$19&lt;Schedule_Inputs!$D$19),$C19/Schedule_Inputs!$D$19,0),0))))</f>
        <v>0</v>
      </c>
      <c r="G19" s="31">
        <f>IF(Schedule_Inputs!$C$19="Blueprint",$C19*IF(3-Schedule_Inputs!$B$19=0,Assumptions!$B$21,IF(3-Schedule_Inputs!$B$19=1,Assumptions!$C$21,IF(3-Schedule_Inputs!$B$19=2,Assumptions!$D$21,0))),IF(Schedule_Inputs!$C$19="Launch",$C19*IF(3-Schedule_Inputs!$B$19=0,Assumptions!$B$22,IF(3-Schedule_Inputs!$B$19=1,Assumptions!$C$22,IF(3-Schedule_Inputs!$B$19=2,Assumptions!$D$22,IF(3-Schedule_Inputs!$B$19=3,Assumptions!$B$23,0)))),IF(Schedule_Inputs!$C$19="Office Setup",$C19*IF(3-Schedule_Inputs!$B$19=0,Assumptions!$B$24,IF(3-Schedule_Inputs!$B$19=1,Assumptions!$C$24,IF(3-Schedule_Inputs!$B$19=2,Assumptions!$D$24,0))),IF(OR(Schedule_Inputs!$C$19="Monthly",Schedule_Inputs!$C$19="Periodic"),IF(AND(3&gt;=Schedule_Inputs!$B$19,MOD(3-Schedule_Inputs!$B$19,Schedule_Inputs!$E$19)=0,(3-Schedule_Inputs!$B$19)/Schedule_Inputs!$E$19&lt;Schedule_Inputs!$D$19),$C19/Schedule_Inputs!$D$19,0),0))))</f>
        <v>0</v>
      </c>
      <c r="H19" s="31">
        <f>IF(Schedule_Inputs!$C$19="Blueprint",$C19*IF(4-Schedule_Inputs!$B$19=0,Assumptions!$B$21,IF(4-Schedule_Inputs!$B$19=1,Assumptions!$C$21,IF(4-Schedule_Inputs!$B$19=2,Assumptions!$D$21,0))),IF(Schedule_Inputs!$C$19="Launch",$C19*IF(4-Schedule_Inputs!$B$19=0,Assumptions!$B$22,IF(4-Schedule_Inputs!$B$19=1,Assumptions!$C$22,IF(4-Schedule_Inputs!$B$19=2,Assumptions!$D$22,IF(4-Schedule_Inputs!$B$19=3,Assumptions!$B$23,0)))),IF(Schedule_Inputs!$C$19="Office Setup",$C19*IF(4-Schedule_Inputs!$B$19=0,Assumptions!$B$24,IF(4-Schedule_Inputs!$B$19=1,Assumptions!$C$24,IF(4-Schedule_Inputs!$B$19=2,Assumptions!$D$24,0))),IF(OR(Schedule_Inputs!$C$19="Monthly",Schedule_Inputs!$C$19="Periodic"),IF(AND(4&gt;=Schedule_Inputs!$B$19,MOD(4-Schedule_Inputs!$B$19,Schedule_Inputs!$E$19)=0,(4-Schedule_Inputs!$B$19)/Schedule_Inputs!$E$19&lt;Schedule_Inputs!$D$19),$C19/Schedule_Inputs!$D$19,0),0))))</f>
        <v>0</v>
      </c>
      <c r="I19" s="31">
        <f>IF(Schedule_Inputs!$C$19="Blueprint",$C19*IF(5-Schedule_Inputs!$B$19=0,Assumptions!$B$21,IF(5-Schedule_Inputs!$B$19=1,Assumptions!$C$21,IF(5-Schedule_Inputs!$B$19=2,Assumptions!$D$21,0))),IF(Schedule_Inputs!$C$19="Launch",$C19*IF(5-Schedule_Inputs!$B$19=0,Assumptions!$B$22,IF(5-Schedule_Inputs!$B$19=1,Assumptions!$C$22,IF(5-Schedule_Inputs!$B$19=2,Assumptions!$D$22,IF(5-Schedule_Inputs!$B$19=3,Assumptions!$B$23,0)))),IF(Schedule_Inputs!$C$19="Office Setup",$C19*IF(5-Schedule_Inputs!$B$19=0,Assumptions!$B$24,IF(5-Schedule_Inputs!$B$19=1,Assumptions!$C$24,IF(5-Schedule_Inputs!$B$19=2,Assumptions!$D$24,0))),IF(OR(Schedule_Inputs!$C$19="Monthly",Schedule_Inputs!$C$19="Periodic"),IF(AND(5&gt;=Schedule_Inputs!$B$19,MOD(5-Schedule_Inputs!$B$19,Schedule_Inputs!$E$19)=0,(5-Schedule_Inputs!$B$19)/Schedule_Inputs!$E$19&lt;Schedule_Inputs!$D$19),$C19/Schedule_Inputs!$D$19,0),0))))</f>
        <v>0</v>
      </c>
      <c r="J19" s="31">
        <f>IF(Schedule_Inputs!$C$19="Blueprint",$C19*IF(6-Schedule_Inputs!$B$19=0,Assumptions!$B$21,IF(6-Schedule_Inputs!$B$19=1,Assumptions!$C$21,IF(6-Schedule_Inputs!$B$19=2,Assumptions!$D$21,0))),IF(Schedule_Inputs!$C$19="Launch",$C19*IF(6-Schedule_Inputs!$B$19=0,Assumptions!$B$22,IF(6-Schedule_Inputs!$B$19=1,Assumptions!$C$22,IF(6-Schedule_Inputs!$B$19=2,Assumptions!$D$22,IF(6-Schedule_Inputs!$B$19=3,Assumptions!$B$23,0)))),IF(Schedule_Inputs!$C$19="Office Setup",$C19*IF(6-Schedule_Inputs!$B$19=0,Assumptions!$B$24,IF(6-Schedule_Inputs!$B$19=1,Assumptions!$C$24,IF(6-Schedule_Inputs!$B$19=2,Assumptions!$D$24,0))),IF(OR(Schedule_Inputs!$C$19="Monthly",Schedule_Inputs!$C$19="Periodic"),IF(AND(6&gt;=Schedule_Inputs!$B$19,MOD(6-Schedule_Inputs!$B$19,Schedule_Inputs!$E$19)=0,(6-Schedule_Inputs!$B$19)/Schedule_Inputs!$E$19&lt;Schedule_Inputs!$D$19),$C19/Schedule_Inputs!$D$19,0),0))))</f>
        <v>0</v>
      </c>
      <c r="K19" s="31">
        <f>IF(Schedule_Inputs!$C$19="Blueprint",$C19*IF(7-Schedule_Inputs!$B$19=0,Assumptions!$B$21,IF(7-Schedule_Inputs!$B$19=1,Assumptions!$C$21,IF(7-Schedule_Inputs!$B$19=2,Assumptions!$D$21,0))),IF(Schedule_Inputs!$C$19="Launch",$C19*IF(7-Schedule_Inputs!$B$19=0,Assumptions!$B$22,IF(7-Schedule_Inputs!$B$19=1,Assumptions!$C$22,IF(7-Schedule_Inputs!$B$19=2,Assumptions!$D$22,IF(7-Schedule_Inputs!$B$19=3,Assumptions!$B$23,0)))),IF(Schedule_Inputs!$C$19="Office Setup",$C19*IF(7-Schedule_Inputs!$B$19=0,Assumptions!$B$24,IF(7-Schedule_Inputs!$B$19=1,Assumptions!$C$24,IF(7-Schedule_Inputs!$B$19=2,Assumptions!$D$24,0))),IF(OR(Schedule_Inputs!$C$19="Monthly",Schedule_Inputs!$C$19="Periodic"),IF(AND(7&gt;=Schedule_Inputs!$B$19,MOD(7-Schedule_Inputs!$B$19,Schedule_Inputs!$E$19)=0,(7-Schedule_Inputs!$B$19)/Schedule_Inputs!$E$19&lt;Schedule_Inputs!$D$19),$C19/Schedule_Inputs!$D$19,0),0))))</f>
        <v>0</v>
      </c>
      <c r="L19" s="31">
        <f>IF(Schedule_Inputs!$C$19="Blueprint",$C19*IF(8-Schedule_Inputs!$B$19=0,Assumptions!$B$21,IF(8-Schedule_Inputs!$B$19=1,Assumptions!$C$21,IF(8-Schedule_Inputs!$B$19=2,Assumptions!$D$21,0))),IF(Schedule_Inputs!$C$19="Launch",$C19*IF(8-Schedule_Inputs!$B$19=0,Assumptions!$B$22,IF(8-Schedule_Inputs!$B$19=1,Assumptions!$C$22,IF(8-Schedule_Inputs!$B$19=2,Assumptions!$D$22,IF(8-Schedule_Inputs!$B$19=3,Assumptions!$B$23,0)))),IF(Schedule_Inputs!$C$19="Office Setup",$C19*IF(8-Schedule_Inputs!$B$19=0,Assumptions!$B$24,IF(8-Schedule_Inputs!$B$19=1,Assumptions!$C$24,IF(8-Schedule_Inputs!$B$19=2,Assumptions!$D$24,0))),IF(OR(Schedule_Inputs!$C$19="Monthly",Schedule_Inputs!$C$19="Periodic"),IF(AND(8&gt;=Schedule_Inputs!$B$19,MOD(8-Schedule_Inputs!$B$19,Schedule_Inputs!$E$19)=0,(8-Schedule_Inputs!$B$19)/Schedule_Inputs!$E$19&lt;Schedule_Inputs!$D$19),$C19/Schedule_Inputs!$D$19,0),0))))</f>
        <v>0</v>
      </c>
      <c r="M19" s="31">
        <f>IF(Schedule_Inputs!$C$19="Blueprint",$C19*IF(9-Schedule_Inputs!$B$19=0,Assumptions!$B$21,IF(9-Schedule_Inputs!$B$19=1,Assumptions!$C$21,IF(9-Schedule_Inputs!$B$19=2,Assumptions!$D$21,0))),IF(Schedule_Inputs!$C$19="Launch",$C19*IF(9-Schedule_Inputs!$B$19=0,Assumptions!$B$22,IF(9-Schedule_Inputs!$B$19=1,Assumptions!$C$22,IF(9-Schedule_Inputs!$B$19=2,Assumptions!$D$22,IF(9-Schedule_Inputs!$B$19=3,Assumptions!$B$23,0)))),IF(Schedule_Inputs!$C$19="Office Setup",$C19*IF(9-Schedule_Inputs!$B$19=0,Assumptions!$B$24,IF(9-Schedule_Inputs!$B$19=1,Assumptions!$C$24,IF(9-Schedule_Inputs!$B$19=2,Assumptions!$D$24,0))),IF(OR(Schedule_Inputs!$C$19="Monthly",Schedule_Inputs!$C$19="Periodic"),IF(AND(9&gt;=Schedule_Inputs!$B$19,MOD(9-Schedule_Inputs!$B$19,Schedule_Inputs!$E$19)=0,(9-Schedule_Inputs!$B$19)/Schedule_Inputs!$E$19&lt;Schedule_Inputs!$D$19),$C19/Schedule_Inputs!$D$19,0),0))))</f>
        <v>0</v>
      </c>
      <c r="N19" s="31">
        <f>IF(Schedule_Inputs!$C$19="Blueprint",$C19*IF(10-Schedule_Inputs!$B$19=0,Assumptions!$B$21,IF(10-Schedule_Inputs!$B$19=1,Assumptions!$C$21,IF(10-Schedule_Inputs!$B$19=2,Assumptions!$D$21,0))),IF(Schedule_Inputs!$C$19="Launch",$C19*IF(10-Schedule_Inputs!$B$19=0,Assumptions!$B$22,IF(10-Schedule_Inputs!$B$19=1,Assumptions!$C$22,IF(10-Schedule_Inputs!$B$19=2,Assumptions!$D$22,IF(10-Schedule_Inputs!$B$19=3,Assumptions!$B$23,0)))),IF(Schedule_Inputs!$C$19="Office Setup",$C19*IF(10-Schedule_Inputs!$B$19=0,Assumptions!$B$24,IF(10-Schedule_Inputs!$B$19=1,Assumptions!$C$24,IF(10-Schedule_Inputs!$B$19=2,Assumptions!$D$24,0))),IF(OR(Schedule_Inputs!$C$19="Monthly",Schedule_Inputs!$C$19="Periodic"),IF(AND(10&gt;=Schedule_Inputs!$B$19,MOD(10-Schedule_Inputs!$B$19,Schedule_Inputs!$E$19)=0,(10-Schedule_Inputs!$B$19)/Schedule_Inputs!$E$19&lt;Schedule_Inputs!$D$19),$C19/Schedule_Inputs!$D$19,0),0))))</f>
        <v>0</v>
      </c>
      <c r="O19" s="31">
        <f>IF(Schedule_Inputs!$C$19="Blueprint",$C19*IF(11-Schedule_Inputs!$B$19=0,Assumptions!$B$21,IF(11-Schedule_Inputs!$B$19=1,Assumptions!$C$21,IF(11-Schedule_Inputs!$B$19=2,Assumptions!$D$21,0))),IF(Schedule_Inputs!$C$19="Launch",$C19*IF(11-Schedule_Inputs!$B$19=0,Assumptions!$B$22,IF(11-Schedule_Inputs!$B$19=1,Assumptions!$C$22,IF(11-Schedule_Inputs!$B$19=2,Assumptions!$D$22,IF(11-Schedule_Inputs!$B$19=3,Assumptions!$B$23,0)))),IF(Schedule_Inputs!$C$19="Office Setup",$C19*IF(11-Schedule_Inputs!$B$19=0,Assumptions!$B$24,IF(11-Schedule_Inputs!$B$19=1,Assumptions!$C$24,IF(11-Schedule_Inputs!$B$19=2,Assumptions!$D$24,0))),IF(OR(Schedule_Inputs!$C$19="Monthly",Schedule_Inputs!$C$19="Periodic"),IF(AND(11&gt;=Schedule_Inputs!$B$19,MOD(11-Schedule_Inputs!$B$19,Schedule_Inputs!$E$19)=0,(11-Schedule_Inputs!$B$19)/Schedule_Inputs!$E$19&lt;Schedule_Inputs!$D$19),$C19/Schedule_Inputs!$D$19,0),0))))</f>
        <v>0</v>
      </c>
      <c r="P19" s="31">
        <f>IF(Schedule_Inputs!$C$19="Blueprint",$C19*IF(12-Schedule_Inputs!$B$19=0,Assumptions!$B$21,IF(12-Schedule_Inputs!$B$19=1,Assumptions!$C$21,IF(12-Schedule_Inputs!$B$19=2,Assumptions!$D$21,0))),IF(Schedule_Inputs!$C$19="Launch",$C19*IF(12-Schedule_Inputs!$B$19=0,Assumptions!$B$22,IF(12-Schedule_Inputs!$B$19=1,Assumptions!$C$22,IF(12-Schedule_Inputs!$B$19=2,Assumptions!$D$22,IF(12-Schedule_Inputs!$B$19=3,Assumptions!$B$23,0)))),IF(Schedule_Inputs!$C$19="Office Setup",$C19*IF(12-Schedule_Inputs!$B$19=0,Assumptions!$B$24,IF(12-Schedule_Inputs!$B$19=1,Assumptions!$C$24,IF(12-Schedule_Inputs!$B$19=2,Assumptions!$D$24,0))),IF(OR(Schedule_Inputs!$C$19="Monthly",Schedule_Inputs!$C$19="Periodic"),IF(AND(12&gt;=Schedule_Inputs!$B$19,MOD(12-Schedule_Inputs!$B$19,Schedule_Inputs!$E$19)=0,(12-Schedule_Inputs!$B$19)/Schedule_Inputs!$E$19&lt;Schedule_Inputs!$D$19),$C19/Schedule_Inputs!$D$19,0),0))))</f>
        <v>0</v>
      </c>
      <c r="Q19" s="31">
        <f>IF(Schedule_Inputs!$C$19="Blueprint",$C19*IF(13-Schedule_Inputs!$B$19=0,Assumptions!$B$21,IF(13-Schedule_Inputs!$B$19=1,Assumptions!$C$21,IF(13-Schedule_Inputs!$B$19=2,Assumptions!$D$21,0))),IF(Schedule_Inputs!$C$19="Launch",$C19*IF(13-Schedule_Inputs!$B$19=0,Assumptions!$B$22,IF(13-Schedule_Inputs!$B$19=1,Assumptions!$C$22,IF(13-Schedule_Inputs!$B$19=2,Assumptions!$D$22,IF(13-Schedule_Inputs!$B$19=3,Assumptions!$B$23,0)))),IF(Schedule_Inputs!$C$19="Office Setup",$C19*IF(13-Schedule_Inputs!$B$19=0,Assumptions!$B$24,IF(13-Schedule_Inputs!$B$19=1,Assumptions!$C$24,IF(13-Schedule_Inputs!$B$19=2,Assumptions!$D$24,0))),IF(OR(Schedule_Inputs!$C$19="Monthly",Schedule_Inputs!$C$19="Periodic"),IF(AND(13&gt;=Schedule_Inputs!$B$19,MOD(13-Schedule_Inputs!$B$19,Schedule_Inputs!$E$19)=0,(13-Schedule_Inputs!$B$19)/Schedule_Inputs!$E$19&lt;Schedule_Inputs!$D$19),$C19/Schedule_Inputs!$D$19,0),0))))</f>
        <v>0</v>
      </c>
      <c r="R19" s="31">
        <f>IF(Schedule_Inputs!$C$19="Blueprint",$C19*IF(14-Schedule_Inputs!$B$19=0,Assumptions!$B$21,IF(14-Schedule_Inputs!$B$19=1,Assumptions!$C$21,IF(14-Schedule_Inputs!$B$19=2,Assumptions!$D$21,0))),IF(Schedule_Inputs!$C$19="Launch",$C19*IF(14-Schedule_Inputs!$B$19=0,Assumptions!$B$22,IF(14-Schedule_Inputs!$B$19=1,Assumptions!$C$22,IF(14-Schedule_Inputs!$B$19=2,Assumptions!$D$22,IF(14-Schedule_Inputs!$B$19=3,Assumptions!$B$23,0)))),IF(Schedule_Inputs!$C$19="Office Setup",$C19*IF(14-Schedule_Inputs!$B$19=0,Assumptions!$B$24,IF(14-Schedule_Inputs!$B$19=1,Assumptions!$C$24,IF(14-Schedule_Inputs!$B$19=2,Assumptions!$D$24,0))),IF(OR(Schedule_Inputs!$C$19="Monthly",Schedule_Inputs!$C$19="Periodic"),IF(AND(14&gt;=Schedule_Inputs!$B$19,MOD(14-Schedule_Inputs!$B$19,Schedule_Inputs!$E$19)=0,(14-Schedule_Inputs!$B$19)/Schedule_Inputs!$E$19&lt;Schedule_Inputs!$D$19),$C19/Schedule_Inputs!$D$19,0),0))))</f>
        <v>0</v>
      </c>
      <c r="S19" s="31">
        <f>IF(Schedule_Inputs!$C$19="Blueprint",$C19*IF(15-Schedule_Inputs!$B$19=0,Assumptions!$B$21,IF(15-Schedule_Inputs!$B$19=1,Assumptions!$C$21,IF(15-Schedule_Inputs!$B$19=2,Assumptions!$D$21,0))),IF(Schedule_Inputs!$C$19="Launch",$C19*IF(15-Schedule_Inputs!$B$19=0,Assumptions!$B$22,IF(15-Schedule_Inputs!$B$19=1,Assumptions!$C$22,IF(15-Schedule_Inputs!$B$19=2,Assumptions!$D$22,IF(15-Schedule_Inputs!$B$19=3,Assumptions!$B$23,0)))),IF(Schedule_Inputs!$C$19="Office Setup",$C19*IF(15-Schedule_Inputs!$B$19=0,Assumptions!$B$24,IF(15-Schedule_Inputs!$B$19=1,Assumptions!$C$24,IF(15-Schedule_Inputs!$B$19=2,Assumptions!$D$24,0))),IF(OR(Schedule_Inputs!$C$19="Monthly",Schedule_Inputs!$C$19="Periodic"),IF(AND(15&gt;=Schedule_Inputs!$B$19,MOD(15-Schedule_Inputs!$B$19,Schedule_Inputs!$E$19)=0,(15-Schedule_Inputs!$B$19)/Schedule_Inputs!$E$19&lt;Schedule_Inputs!$D$19),$C19/Schedule_Inputs!$D$19,0),0))))</f>
        <v>0</v>
      </c>
      <c r="T19" s="31">
        <f>IF(Schedule_Inputs!$C$19="Blueprint",$C19*IF(16-Schedule_Inputs!$B$19=0,Assumptions!$B$21,IF(16-Schedule_Inputs!$B$19=1,Assumptions!$C$21,IF(16-Schedule_Inputs!$B$19=2,Assumptions!$D$21,0))),IF(Schedule_Inputs!$C$19="Launch",$C19*IF(16-Schedule_Inputs!$B$19=0,Assumptions!$B$22,IF(16-Schedule_Inputs!$B$19=1,Assumptions!$C$22,IF(16-Schedule_Inputs!$B$19=2,Assumptions!$D$22,IF(16-Schedule_Inputs!$B$19=3,Assumptions!$B$23,0)))),IF(Schedule_Inputs!$C$19="Office Setup",$C19*IF(16-Schedule_Inputs!$B$19=0,Assumptions!$B$24,IF(16-Schedule_Inputs!$B$19=1,Assumptions!$C$24,IF(16-Schedule_Inputs!$B$19=2,Assumptions!$D$24,0))),IF(OR(Schedule_Inputs!$C$19="Monthly",Schedule_Inputs!$C$19="Periodic"),IF(AND(16&gt;=Schedule_Inputs!$B$19,MOD(16-Schedule_Inputs!$B$19,Schedule_Inputs!$E$19)=0,(16-Schedule_Inputs!$B$19)/Schedule_Inputs!$E$19&lt;Schedule_Inputs!$D$19),$C19/Schedule_Inputs!$D$19,0),0))))</f>
        <v>0</v>
      </c>
      <c r="U19" s="31">
        <f>IF(Schedule_Inputs!$C$19="Blueprint",$C19*IF(17-Schedule_Inputs!$B$19=0,Assumptions!$B$21,IF(17-Schedule_Inputs!$B$19=1,Assumptions!$C$21,IF(17-Schedule_Inputs!$B$19=2,Assumptions!$D$21,0))),IF(Schedule_Inputs!$C$19="Launch",$C19*IF(17-Schedule_Inputs!$B$19=0,Assumptions!$B$22,IF(17-Schedule_Inputs!$B$19=1,Assumptions!$C$22,IF(17-Schedule_Inputs!$B$19=2,Assumptions!$D$22,IF(17-Schedule_Inputs!$B$19=3,Assumptions!$B$23,0)))),IF(Schedule_Inputs!$C$19="Office Setup",$C19*IF(17-Schedule_Inputs!$B$19=0,Assumptions!$B$24,IF(17-Schedule_Inputs!$B$19=1,Assumptions!$C$24,IF(17-Schedule_Inputs!$B$19=2,Assumptions!$D$24,0))),IF(OR(Schedule_Inputs!$C$19="Monthly",Schedule_Inputs!$C$19="Periodic"),IF(AND(17&gt;=Schedule_Inputs!$B$19,MOD(17-Schedule_Inputs!$B$19,Schedule_Inputs!$E$19)=0,(17-Schedule_Inputs!$B$19)/Schedule_Inputs!$E$19&lt;Schedule_Inputs!$D$19),$C19/Schedule_Inputs!$D$19,0),0))))</f>
        <v>0</v>
      </c>
      <c r="V19" s="31">
        <f>IF(Schedule_Inputs!$C$19="Blueprint",$C19*IF(18-Schedule_Inputs!$B$19=0,Assumptions!$B$21,IF(18-Schedule_Inputs!$B$19=1,Assumptions!$C$21,IF(18-Schedule_Inputs!$B$19=2,Assumptions!$D$21,0))),IF(Schedule_Inputs!$C$19="Launch",$C19*IF(18-Schedule_Inputs!$B$19=0,Assumptions!$B$22,IF(18-Schedule_Inputs!$B$19=1,Assumptions!$C$22,IF(18-Schedule_Inputs!$B$19=2,Assumptions!$D$22,IF(18-Schedule_Inputs!$B$19=3,Assumptions!$B$23,0)))),IF(Schedule_Inputs!$C$19="Office Setup",$C19*IF(18-Schedule_Inputs!$B$19=0,Assumptions!$B$24,IF(18-Schedule_Inputs!$B$19=1,Assumptions!$C$24,IF(18-Schedule_Inputs!$B$19=2,Assumptions!$D$24,0))),IF(OR(Schedule_Inputs!$C$19="Monthly",Schedule_Inputs!$C$19="Periodic"),IF(AND(18&gt;=Schedule_Inputs!$B$19,MOD(18-Schedule_Inputs!$B$19,Schedule_Inputs!$E$19)=0,(18-Schedule_Inputs!$B$19)/Schedule_Inputs!$E$19&lt;Schedule_Inputs!$D$19),$C19/Schedule_Inputs!$D$19,0),0))))</f>
        <v>0</v>
      </c>
      <c r="W19" s="31">
        <f>IF(Schedule_Inputs!$C$19="Blueprint",$C19*IF(19-Schedule_Inputs!$B$19=0,Assumptions!$B$21,IF(19-Schedule_Inputs!$B$19=1,Assumptions!$C$21,IF(19-Schedule_Inputs!$B$19=2,Assumptions!$D$21,0))),IF(Schedule_Inputs!$C$19="Launch",$C19*IF(19-Schedule_Inputs!$B$19=0,Assumptions!$B$22,IF(19-Schedule_Inputs!$B$19=1,Assumptions!$C$22,IF(19-Schedule_Inputs!$B$19=2,Assumptions!$D$22,IF(19-Schedule_Inputs!$B$19=3,Assumptions!$B$23,0)))),IF(Schedule_Inputs!$C$19="Office Setup",$C19*IF(19-Schedule_Inputs!$B$19=0,Assumptions!$B$24,IF(19-Schedule_Inputs!$B$19=1,Assumptions!$C$24,IF(19-Schedule_Inputs!$B$19=2,Assumptions!$D$24,0))),IF(OR(Schedule_Inputs!$C$19="Monthly",Schedule_Inputs!$C$19="Periodic"),IF(AND(19&gt;=Schedule_Inputs!$B$19,MOD(19-Schedule_Inputs!$B$19,Schedule_Inputs!$E$19)=0,(19-Schedule_Inputs!$B$19)/Schedule_Inputs!$E$19&lt;Schedule_Inputs!$D$19),$C19/Schedule_Inputs!$D$19,0),0))))</f>
        <v>0</v>
      </c>
      <c r="X19" s="31">
        <f>IF(Schedule_Inputs!$C$19="Blueprint",$C19*IF(20-Schedule_Inputs!$B$19=0,Assumptions!$B$21,IF(20-Schedule_Inputs!$B$19=1,Assumptions!$C$21,IF(20-Schedule_Inputs!$B$19=2,Assumptions!$D$21,0))),IF(Schedule_Inputs!$C$19="Launch",$C19*IF(20-Schedule_Inputs!$B$19=0,Assumptions!$B$22,IF(20-Schedule_Inputs!$B$19=1,Assumptions!$C$22,IF(20-Schedule_Inputs!$B$19=2,Assumptions!$D$22,IF(20-Schedule_Inputs!$B$19=3,Assumptions!$B$23,0)))),IF(Schedule_Inputs!$C$19="Office Setup",$C19*IF(20-Schedule_Inputs!$B$19=0,Assumptions!$B$24,IF(20-Schedule_Inputs!$B$19=1,Assumptions!$C$24,IF(20-Schedule_Inputs!$B$19=2,Assumptions!$D$24,0))),IF(OR(Schedule_Inputs!$C$19="Monthly",Schedule_Inputs!$C$19="Periodic"),IF(AND(20&gt;=Schedule_Inputs!$B$19,MOD(20-Schedule_Inputs!$B$19,Schedule_Inputs!$E$19)=0,(20-Schedule_Inputs!$B$19)/Schedule_Inputs!$E$19&lt;Schedule_Inputs!$D$19),$C19/Schedule_Inputs!$D$19,0),0))))</f>
        <v>0</v>
      </c>
      <c r="Y19" s="31">
        <f>IF(Schedule_Inputs!$C$19="Blueprint",$C19*IF(21-Schedule_Inputs!$B$19=0,Assumptions!$B$21,IF(21-Schedule_Inputs!$B$19=1,Assumptions!$C$21,IF(21-Schedule_Inputs!$B$19=2,Assumptions!$D$21,0))),IF(Schedule_Inputs!$C$19="Launch",$C19*IF(21-Schedule_Inputs!$B$19=0,Assumptions!$B$22,IF(21-Schedule_Inputs!$B$19=1,Assumptions!$C$22,IF(21-Schedule_Inputs!$B$19=2,Assumptions!$D$22,IF(21-Schedule_Inputs!$B$19=3,Assumptions!$B$23,0)))),IF(Schedule_Inputs!$C$19="Office Setup",$C19*IF(21-Schedule_Inputs!$B$19=0,Assumptions!$B$24,IF(21-Schedule_Inputs!$B$19=1,Assumptions!$C$24,IF(21-Schedule_Inputs!$B$19=2,Assumptions!$D$24,0))),IF(OR(Schedule_Inputs!$C$19="Monthly",Schedule_Inputs!$C$19="Periodic"),IF(AND(21&gt;=Schedule_Inputs!$B$19,MOD(21-Schedule_Inputs!$B$19,Schedule_Inputs!$E$19)=0,(21-Schedule_Inputs!$B$19)/Schedule_Inputs!$E$19&lt;Schedule_Inputs!$D$19),$C19/Schedule_Inputs!$D$19,0),0))))</f>
        <v>0</v>
      </c>
      <c r="Z19" s="31">
        <f>IF(Schedule_Inputs!$C$19="Blueprint",$C19*IF(22-Schedule_Inputs!$B$19=0,Assumptions!$B$21,IF(22-Schedule_Inputs!$B$19=1,Assumptions!$C$21,IF(22-Schedule_Inputs!$B$19=2,Assumptions!$D$21,0))),IF(Schedule_Inputs!$C$19="Launch",$C19*IF(22-Schedule_Inputs!$B$19=0,Assumptions!$B$22,IF(22-Schedule_Inputs!$B$19=1,Assumptions!$C$22,IF(22-Schedule_Inputs!$B$19=2,Assumptions!$D$22,IF(22-Schedule_Inputs!$B$19=3,Assumptions!$B$23,0)))),IF(Schedule_Inputs!$C$19="Office Setup",$C19*IF(22-Schedule_Inputs!$B$19=0,Assumptions!$B$24,IF(22-Schedule_Inputs!$B$19=1,Assumptions!$C$24,IF(22-Schedule_Inputs!$B$19=2,Assumptions!$D$24,0))),IF(OR(Schedule_Inputs!$C$19="Monthly",Schedule_Inputs!$C$19="Periodic"),IF(AND(22&gt;=Schedule_Inputs!$B$19,MOD(22-Schedule_Inputs!$B$19,Schedule_Inputs!$E$19)=0,(22-Schedule_Inputs!$B$19)/Schedule_Inputs!$E$19&lt;Schedule_Inputs!$D$19),$C19/Schedule_Inputs!$D$19,0),0))))</f>
        <v>0</v>
      </c>
      <c r="AA19" s="31">
        <f>IF(Schedule_Inputs!$C$19="Blueprint",$C19*IF(23-Schedule_Inputs!$B$19=0,Assumptions!$B$21,IF(23-Schedule_Inputs!$B$19=1,Assumptions!$C$21,IF(23-Schedule_Inputs!$B$19=2,Assumptions!$D$21,0))),IF(Schedule_Inputs!$C$19="Launch",$C19*IF(23-Schedule_Inputs!$B$19=0,Assumptions!$B$22,IF(23-Schedule_Inputs!$B$19=1,Assumptions!$C$22,IF(23-Schedule_Inputs!$B$19=2,Assumptions!$D$22,IF(23-Schedule_Inputs!$B$19=3,Assumptions!$B$23,0)))),IF(Schedule_Inputs!$C$19="Office Setup",$C19*IF(23-Schedule_Inputs!$B$19=0,Assumptions!$B$24,IF(23-Schedule_Inputs!$B$19=1,Assumptions!$C$24,IF(23-Schedule_Inputs!$B$19=2,Assumptions!$D$24,0))),IF(OR(Schedule_Inputs!$C$19="Monthly",Schedule_Inputs!$C$19="Periodic"),IF(AND(23&gt;=Schedule_Inputs!$B$19,MOD(23-Schedule_Inputs!$B$19,Schedule_Inputs!$E$19)=0,(23-Schedule_Inputs!$B$19)/Schedule_Inputs!$E$19&lt;Schedule_Inputs!$D$19),$C19/Schedule_Inputs!$D$19,0),0))))</f>
        <v>0</v>
      </c>
      <c r="AB19" s="31">
        <f>IF(Schedule_Inputs!$C$19="Blueprint",$C19*IF(24-Schedule_Inputs!$B$19=0,Assumptions!$B$21,IF(24-Schedule_Inputs!$B$19=1,Assumptions!$C$21,IF(24-Schedule_Inputs!$B$19=2,Assumptions!$D$21,0))),IF(Schedule_Inputs!$C$19="Launch",$C19*IF(24-Schedule_Inputs!$B$19=0,Assumptions!$B$22,IF(24-Schedule_Inputs!$B$19=1,Assumptions!$C$22,IF(24-Schedule_Inputs!$B$19=2,Assumptions!$D$22,IF(24-Schedule_Inputs!$B$19=3,Assumptions!$B$23,0)))),IF(Schedule_Inputs!$C$19="Office Setup",$C19*IF(24-Schedule_Inputs!$B$19=0,Assumptions!$B$24,IF(24-Schedule_Inputs!$B$19=1,Assumptions!$C$24,IF(24-Schedule_Inputs!$B$19=2,Assumptions!$D$24,0))),IF(OR(Schedule_Inputs!$C$19="Monthly",Schedule_Inputs!$C$19="Periodic"),IF(AND(24&gt;=Schedule_Inputs!$B$19,MOD(24-Schedule_Inputs!$B$19,Schedule_Inputs!$E$19)=0,(24-Schedule_Inputs!$B$19)/Schedule_Inputs!$E$19&lt;Schedule_Inputs!$D$19),$C19/Schedule_Inputs!$D$19,0),0))))</f>
        <v>0</v>
      </c>
      <c r="AC19" s="31">
        <f>IF(Schedule_Inputs!$C$19="Blueprint",$C19*IF(25-Schedule_Inputs!$B$19=0,Assumptions!$B$21,IF(25-Schedule_Inputs!$B$19=1,Assumptions!$C$21,IF(25-Schedule_Inputs!$B$19=2,Assumptions!$D$21,0))),IF(Schedule_Inputs!$C$19="Launch",$C19*IF(25-Schedule_Inputs!$B$19=0,Assumptions!$B$22,IF(25-Schedule_Inputs!$B$19=1,Assumptions!$C$22,IF(25-Schedule_Inputs!$B$19=2,Assumptions!$D$22,IF(25-Schedule_Inputs!$B$19=3,Assumptions!$B$23,0)))),IF(Schedule_Inputs!$C$19="Office Setup",$C19*IF(25-Schedule_Inputs!$B$19=0,Assumptions!$B$24,IF(25-Schedule_Inputs!$B$19=1,Assumptions!$C$24,IF(25-Schedule_Inputs!$B$19=2,Assumptions!$D$24,0))),IF(OR(Schedule_Inputs!$C$19="Monthly",Schedule_Inputs!$C$19="Periodic"),IF(AND(25&gt;=Schedule_Inputs!$B$19,MOD(25-Schedule_Inputs!$B$19,Schedule_Inputs!$E$19)=0,(25-Schedule_Inputs!$B$19)/Schedule_Inputs!$E$19&lt;Schedule_Inputs!$D$19),$C19/Schedule_Inputs!$D$19,0),0))))</f>
        <v>0</v>
      </c>
      <c r="AD19" s="31">
        <f>IF(Schedule_Inputs!$C$19="Blueprint",$C19*IF(26-Schedule_Inputs!$B$19=0,Assumptions!$B$21,IF(26-Schedule_Inputs!$B$19=1,Assumptions!$C$21,IF(26-Schedule_Inputs!$B$19=2,Assumptions!$D$21,0))),IF(Schedule_Inputs!$C$19="Launch",$C19*IF(26-Schedule_Inputs!$B$19=0,Assumptions!$B$22,IF(26-Schedule_Inputs!$B$19=1,Assumptions!$C$22,IF(26-Schedule_Inputs!$B$19=2,Assumptions!$D$22,IF(26-Schedule_Inputs!$B$19=3,Assumptions!$B$23,0)))),IF(Schedule_Inputs!$C$19="Office Setup",$C19*IF(26-Schedule_Inputs!$B$19=0,Assumptions!$B$24,IF(26-Schedule_Inputs!$B$19=1,Assumptions!$C$24,IF(26-Schedule_Inputs!$B$19=2,Assumptions!$D$24,0))),IF(OR(Schedule_Inputs!$C$19="Monthly",Schedule_Inputs!$C$19="Periodic"),IF(AND(26&gt;=Schedule_Inputs!$B$19,MOD(26-Schedule_Inputs!$B$19,Schedule_Inputs!$E$19)=0,(26-Schedule_Inputs!$B$19)/Schedule_Inputs!$E$19&lt;Schedule_Inputs!$D$19),$C19/Schedule_Inputs!$D$19,0),0))))</f>
        <v>0</v>
      </c>
      <c r="AE19" s="31">
        <f>IF(Schedule_Inputs!$C$19="Blueprint",$C19*IF(27-Schedule_Inputs!$B$19=0,Assumptions!$B$21,IF(27-Schedule_Inputs!$B$19=1,Assumptions!$C$21,IF(27-Schedule_Inputs!$B$19=2,Assumptions!$D$21,0))),IF(Schedule_Inputs!$C$19="Launch",$C19*IF(27-Schedule_Inputs!$B$19=0,Assumptions!$B$22,IF(27-Schedule_Inputs!$B$19=1,Assumptions!$C$22,IF(27-Schedule_Inputs!$B$19=2,Assumptions!$D$22,IF(27-Schedule_Inputs!$B$19=3,Assumptions!$B$23,0)))),IF(Schedule_Inputs!$C$19="Office Setup",$C19*IF(27-Schedule_Inputs!$B$19=0,Assumptions!$B$24,IF(27-Schedule_Inputs!$B$19=1,Assumptions!$C$24,IF(27-Schedule_Inputs!$B$19=2,Assumptions!$D$24,0))),IF(OR(Schedule_Inputs!$C$19="Monthly",Schedule_Inputs!$C$19="Periodic"),IF(AND(27&gt;=Schedule_Inputs!$B$19,MOD(27-Schedule_Inputs!$B$19,Schedule_Inputs!$E$19)=0,(27-Schedule_Inputs!$B$19)/Schedule_Inputs!$E$19&lt;Schedule_Inputs!$D$19),$C19/Schedule_Inputs!$D$19,0),0))))</f>
        <v>8400</v>
      </c>
      <c r="AF19" s="31">
        <f>IF(Schedule_Inputs!$C$19="Blueprint",$C19*IF(28-Schedule_Inputs!$B$19=0,Assumptions!$B$21,IF(28-Schedule_Inputs!$B$19=1,Assumptions!$C$21,IF(28-Schedule_Inputs!$B$19=2,Assumptions!$D$21,0))),IF(Schedule_Inputs!$C$19="Launch",$C19*IF(28-Schedule_Inputs!$B$19=0,Assumptions!$B$22,IF(28-Schedule_Inputs!$B$19=1,Assumptions!$C$22,IF(28-Schedule_Inputs!$B$19=2,Assumptions!$D$22,IF(28-Schedule_Inputs!$B$19=3,Assumptions!$B$23,0)))),IF(Schedule_Inputs!$C$19="Office Setup",$C19*IF(28-Schedule_Inputs!$B$19=0,Assumptions!$B$24,IF(28-Schedule_Inputs!$B$19=1,Assumptions!$C$24,IF(28-Schedule_Inputs!$B$19=2,Assumptions!$D$24,0))),IF(OR(Schedule_Inputs!$C$19="Monthly",Schedule_Inputs!$C$19="Periodic"),IF(AND(28&gt;=Schedule_Inputs!$B$19,MOD(28-Schedule_Inputs!$B$19,Schedule_Inputs!$E$19)=0,(28-Schedule_Inputs!$B$19)/Schedule_Inputs!$E$19&lt;Schedule_Inputs!$D$19),$C19/Schedule_Inputs!$D$19,0),0))))</f>
        <v>8400</v>
      </c>
      <c r="AG19" s="31">
        <f>IF(Schedule_Inputs!$C$19="Blueprint",$C19*IF(29-Schedule_Inputs!$B$19=0,Assumptions!$B$21,IF(29-Schedule_Inputs!$B$19=1,Assumptions!$C$21,IF(29-Schedule_Inputs!$B$19=2,Assumptions!$D$21,0))),IF(Schedule_Inputs!$C$19="Launch",$C19*IF(29-Schedule_Inputs!$B$19=0,Assumptions!$B$22,IF(29-Schedule_Inputs!$B$19=1,Assumptions!$C$22,IF(29-Schedule_Inputs!$B$19=2,Assumptions!$D$22,IF(29-Schedule_Inputs!$B$19=3,Assumptions!$B$23,0)))),IF(Schedule_Inputs!$C$19="Office Setup",$C19*IF(29-Schedule_Inputs!$B$19=0,Assumptions!$B$24,IF(29-Schedule_Inputs!$B$19=1,Assumptions!$C$24,IF(29-Schedule_Inputs!$B$19=2,Assumptions!$D$24,0))),IF(OR(Schedule_Inputs!$C$19="Monthly",Schedule_Inputs!$C$19="Periodic"),IF(AND(29&gt;=Schedule_Inputs!$B$19,MOD(29-Schedule_Inputs!$B$19,Schedule_Inputs!$E$19)=0,(29-Schedule_Inputs!$B$19)/Schedule_Inputs!$E$19&lt;Schedule_Inputs!$D$19),$C19/Schedule_Inputs!$D$19,0),0))))</f>
        <v>4200</v>
      </c>
      <c r="AH19" s="31">
        <f>IF(Schedule_Inputs!$C$19="Blueprint",$C19*IF(30-Schedule_Inputs!$B$19=0,Assumptions!$B$21,IF(30-Schedule_Inputs!$B$19=1,Assumptions!$C$21,IF(30-Schedule_Inputs!$B$19=2,Assumptions!$D$21,0))),IF(Schedule_Inputs!$C$19="Launch",$C19*IF(30-Schedule_Inputs!$B$19=0,Assumptions!$B$22,IF(30-Schedule_Inputs!$B$19=1,Assumptions!$C$22,IF(30-Schedule_Inputs!$B$19=2,Assumptions!$D$22,IF(30-Schedule_Inputs!$B$19=3,Assumptions!$B$23,0)))),IF(Schedule_Inputs!$C$19="Office Setup",$C19*IF(30-Schedule_Inputs!$B$19=0,Assumptions!$B$24,IF(30-Schedule_Inputs!$B$19=1,Assumptions!$C$24,IF(30-Schedule_Inputs!$B$19=2,Assumptions!$D$24,0))),IF(OR(Schedule_Inputs!$C$19="Monthly",Schedule_Inputs!$C$19="Periodic"),IF(AND(30&gt;=Schedule_Inputs!$B$19,MOD(30-Schedule_Inputs!$B$19,Schedule_Inputs!$E$19)=0,(30-Schedule_Inputs!$B$19)/Schedule_Inputs!$E$19&lt;Schedule_Inputs!$D$19),$C19/Schedule_Inputs!$D$19,0),0))))</f>
        <v>0</v>
      </c>
      <c r="AI19" s="31">
        <f>IF(Schedule_Inputs!$C$19="Blueprint",$C19*IF(31-Schedule_Inputs!$B$19=0,Assumptions!$B$21,IF(31-Schedule_Inputs!$B$19=1,Assumptions!$C$21,IF(31-Schedule_Inputs!$B$19=2,Assumptions!$D$21,0))),IF(Schedule_Inputs!$C$19="Launch",$C19*IF(31-Schedule_Inputs!$B$19=0,Assumptions!$B$22,IF(31-Schedule_Inputs!$B$19=1,Assumptions!$C$22,IF(31-Schedule_Inputs!$B$19=2,Assumptions!$D$22,IF(31-Schedule_Inputs!$B$19=3,Assumptions!$B$23,0)))),IF(Schedule_Inputs!$C$19="Office Setup",$C19*IF(31-Schedule_Inputs!$B$19=0,Assumptions!$B$24,IF(31-Schedule_Inputs!$B$19=1,Assumptions!$C$24,IF(31-Schedule_Inputs!$B$19=2,Assumptions!$D$24,0))),IF(OR(Schedule_Inputs!$C$19="Monthly",Schedule_Inputs!$C$19="Periodic"),IF(AND(31&gt;=Schedule_Inputs!$B$19,MOD(31-Schedule_Inputs!$B$19,Schedule_Inputs!$E$19)=0,(31-Schedule_Inputs!$B$19)/Schedule_Inputs!$E$19&lt;Schedule_Inputs!$D$19),$C19/Schedule_Inputs!$D$19,0),0))))</f>
        <v>0</v>
      </c>
      <c r="AJ19" s="31">
        <f>IF(Schedule_Inputs!$C$19="Blueprint",$C19*IF(32-Schedule_Inputs!$B$19=0,Assumptions!$B$21,IF(32-Schedule_Inputs!$B$19=1,Assumptions!$C$21,IF(32-Schedule_Inputs!$B$19=2,Assumptions!$D$21,0))),IF(Schedule_Inputs!$C$19="Launch",$C19*IF(32-Schedule_Inputs!$B$19=0,Assumptions!$B$22,IF(32-Schedule_Inputs!$B$19=1,Assumptions!$C$22,IF(32-Schedule_Inputs!$B$19=2,Assumptions!$D$22,IF(32-Schedule_Inputs!$B$19=3,Assumptions!$B$23,0)))),IF(Schedule_Inputs!$C$19="Office Setup",$C19*IF(32-Schedule_Inputs!$B$19=0,Assumptions!$B$24,IF(32-Schedule_Inputs!$B$19=1,Assumptions!$C$24,IF(32-Schedule_Inputs!$B$19=2,Assumptions!$D$24,0))),IF(OR(Schedule_Inputs!$C$19="Monthly",Schedule_Inputs!$C$19="Periodic"),IF(AND(32&gt;=Schedule_Inputs!$B$19,MOD(32-Schedule_Inputs!$B$19,Schedule_Inputs!$E$19)=0,(32-Schedule_Inputs!$B$19)/Schedule_Inputs!$E$19&lt;Schedule_Inputs!$D$19),$C19/Schedule_Inputs!$D$19,0),0))))</f>
        <v>0</v>
      </c>
      <c r="AK19" s="31">
        <f>IF(Schedule_Inputs!$C$19="Blueprint",$C19*IF(33-Schedule_Inputs!$B$19=0,Assumptions!$B$21,IF(33-Schedule_Inputs!$B$19=1,Assumptions!$C$21,IF(33-Schedule_Inputs!$B$19=2,Assumptions!$D$21,0))),IF(Schedule_Inputs!$C$19="Launch",$C19*IF(33-Schedule_Inputs!$B$19=0,Assumptions!$B$22,IF(33-Schedule_Inputs!$B$19=1,Assumptions!$C$22,IF(33-Schedule_Inputs!$B$19=2,Assumptions!$D$22,IF(33-Schedule_Inputs!$B$19=3,Assumptions!$B$23,0)))),IF(Schedule_Inputs!$C$19="Office Setup",$C19*IF(33-Schedule_Inputs!$B$19=0,Assumptions!$B$24,IF(33-Schedule_Inputs!$B$19=1,Assumptions!$C$24,IF(33-Schedule_Inputs!$B$19=2,Assumptions!$D$24,0))),IF(OR(Schedule_Inputs!$C$19="Monthly",Schedule_Inputs!$C$19="Periodic"),IF(AND(33&gt;=Schedule_Inputs!$B$19,MOD(33-Schedule_Inputs!$B$19,Schedule_Inputs!$E$19)=0,(33-Schedule_Inputs!$B$19)/Schedule_Inputs!$E$19&lt;Schedule_Inputs!$D$19),$C19/Schedule_Inputs!$D$19,0),0))))</f>
        <v>0</v>
      </c>
      <c r="AL19" s="31">
        <f>IF(Schedule_Inputs!$C$19="Blueprint",$C19*IF(34-Schedule_Inputs!$B$19=0,Assumptions!$B$21,IF(34-Schedule_Inputs!$B$19=1,Assumptions!$C$21,IF(34-Schedule_Inputs!$B$19=2,Assumptions!$D$21,0))),IF(Schedule_Inputs!$C$19="Launch",$C19*IF(34-Schedule_Inputs!$B$19=0,Assumptions!$B$22,IF(34-Schedule_Inputs!$B$19=1,Assumptions!$C$22,IF(34-Schedule_Inputs!$B$19=2,Assumptions!$D$22,IF(34-Schedule_Inputs!$B$19=3,Assumptions!$B$23,0)))),IF(Schedule_Inputs!$C$19="Office Setup",$C19*IF(34-Schedule_Inputs!$B$19=0,Assumptions!$B$24,IF(34-Schedule_Inputs!$B$19=1,Assumptions!$C$24,IF(34-Schedule_Inputs!$B$19=2,Assumptions!$D$24,0))),IF(OR(Schedule_Inputs!$C$19="Monthly",Schedule_Inputs!$C$19="Periodic"),IF(AND(34&gt;=Schedule_Inputs!$B$19,MOD(34-Schedule_Inputs!$B$19,Schedule_Inputs!$E$19)=0,(34-Schedule_Inputs!$B$19)/Schedule_Inputs!$E$19&lt;Schedule_Inputs!$D$19),$C19/Schedule_Inputs!$D$19,0),0))))</f>
        <v>0</v>
      </c>
      <c r="AM19" s="31">
        <f>IF(Schedule_Inputs!$C$19="Blueprint",$C19*IF(35-Schedule_Inputs!$B$19=0,Assumptions!$B$21,IF(35-Schedule_Inputs!$B$19=1,Assumptions!$C$21,IF(35-Schedule_Inputs!$B$19=2,Assumptions!$D$21,0))),IF(Schedule_Inputs!$C$19="Launch",$C19*IF(35-Schedule_Inputs!$B$19=0,Assumptions!$B$22,IF(35-Schedule_Inputs!$B$19=1,Assumptions!$C$22,IF(35-Schedule_Inputs!$B$19=2,Assumptions!$D$22,IF(35-Schedule_Inputs!$B$19=3,Assumptions!$B$23,0)))),IF(Schedule_Inputs!$C$19="Office Setup",$C19*IF(35-Schedule_Inputs!$B$19=0,Assumptions!$B$24,IF(35-Schedule_Inputs!$B$19=1,Assumptions!$C$24,IF(35-Schedule_Inputs!$B$19=2,Assumptions!$D$24,0))),IF(OR(Schedule_Inputs!$C$19="Monthly",Schedule_Inputs!$C$19="Periodic"),IF(AND(35&gt;=Schedule_Inputs!$B$19,MOD(35-Schedule_Inputs!$B$19,Schedule_Inputs!$E$19)=0,(35-Schedule_Inputs!$B$19)/Schedule_Inputs!$E$19&lt;Schedule_Inputs!$D$19),$C19/Schedule_Inputs!$D$19,0),0))))</f>
        <v>0</v>
      </c>
      <c r="AN19" s="31">
        <f>IF(Schedule_Inputs!$C$19="Blueprint",$C19*IF(36-Schedule_Inputs!$B$19=0,Assumptions!$B$21,IF(36-Schedule_Inputs!$B$19=1,Assumptions!$C$21,IF(36-Schedule_Inputs!$B$19=2,Assumptions!$D$21,0))),IF(Schedule_Inputs!$C$19="Launch",$C19*IF(36-Schedule_Inputs!$B$19=0,Assumptions!$B$22,IF(36-Schedule_Inputs!$B$19=1,Assumptions!$C$22,IF(36-Schedule_Inputs!$B$19=2,Assumptions!$D$22,IF(36-Schedule_Inputs!$B$19=3,Assumptions!$B$23,0)))),IF(Schedule_Inputs!$C$19="Office Setup",$C19*IF(36-Schedule_Inputs!$B$19=0,Assumptions!$B$24,IF(36-Schedule_Inputs!$B$19=1,Assumptions!$C$24,IF(36-Schedule_Inputs!$B$19=2,Assumptions!$D$24,0))),IF(OR(Schedule_Inputs!$C$19="Monthly",Schedule_Inputs!$C$19="Periodic"),IF(AND(36&gt;=Schedule_Inputs!$B$19,MOD(36-Schedule_Inputs!$B$19,Schedule_Inputs!$E$19)=0,(36-Schedule_Inputs!$B$19)/Schedule_Inputs!$E$19&lt;Schedule_Inputs!$D$19),$C19/Schedule_Inputs!$D$19,0),0))))</f>
        <v>0</v>
      </c>
    </row>
    <row r="20" spans="1:40">
      <c r="A20" s="29" t="s">
        <v>250</v>
      </c>
      <c r="B20" s="29">
        <v>3</v>
      </c>
      <c r="C20" s="30">
        <v>21000</v>
      </c>
      <c r="D20" s="31" t="s">
        <v>230</v>
      </c>
      <c r="E20" s="31">
        <f>IF(Schedule_Inputs!$C$20="Blueprint",$C20*IF(1-Schedule_Inputs!$B$20=0,Assumptions!$B$21,IF(1-Schedule_Inputs!$B$20=1,Assumptions!$C$21,IF(1-Schedule_Inputs!$B$20=2,Assumptions!$D$21,0))),IF(Schedule_Inputs!$C$20="Launch",$C20*IF(1-Schedule_Inputs!$B$20=0,Assumptions!$B$22,IF(1-Schedule_Inputs!$B$20=1,Assumptions!$C$22,IF(1-Schedule_Inputs!$B$20=2,Assumptions!$D$22,IF(1-Schedule_Inputs!$B$20=3,Assumptions!$B$23,0)))),IF(Schedule_Inputs!$C$20="Office Setup",$C20*IF(1-Schedule_Inputs!$B$20=0,Assumptions!$B$24,IF(1-Schedule_Inputs!$B$20=1,Assumptions!$C$24,IF(1-Schedule_Inputs!$B$20=2,Assumptions!$D$24,0))),IF(OR(Schedule_Inputs!$C$20="Monthly",Schedule_Inputs!$C$20="Periodic"),IF(AND(1&gt;=Schedule_Inputs!$B$20,MOD(1-Schedule_Inputs!$B$20,Schedule_Inputs!$E$20)=0,(1-Schedule_Inputs!$B$20)/Schedule_Inputs!$E$20&lt;Schedule_Inputs!$D$20),$C20/Schedule_Inputs!$D$20,0),0))))</f>
        <v>0</v>
      </c>
      <c r="F20" s="31">
        <f>IF(Schedule_Inputs!$C$20="Blueprint",$C20*IF(2-Schedule_Inputs!$B$20=0,Assumptions!$B$21,IF(2-Schedule_Inputs!$B$20=1,Assumptions!$C$21,IF(2-Schedule_Inputs!$B$20=2,Assumptions!$D$21,0))),IF(Schedule_Inputs!$C$20="Launch",$C20*IF(2-Schedule_Inputs!$B$20=0,Assumptions!$B$22,IF(2-Schedule_Inputs!$B$20=1,Assumptions!$C$22,IF(2-Schedule_Inputs!$B$20=2,Assumptions!$D$22,IF(2-Schedule_Inputs!$B$20=3,Assumptions!$B$23,0)))),IF(Schedule_Inputs!$C$20="Office Setup",$C20*IF(2-Schedule_Inputs!$B$20=0,Assumptions!$B$24,IF(2-Schedule_Inputs!$B$20=1,Assumptions!$C$24,IF(2-Schedule_Inputs!$B$20=2,Assumptions!$D$24,0))),IF(OR(Schedule_Inputs!$C$20="Monthly",Schedule_Inputs!$C$20="Periodic"),IF(AND(2&gt;=Schedule_Inputs!$B$20,MOD(2-Schedule_Inputs!$B$20,Schedule_Inputs!$E$20)=0,(2-Schedule_Inputs!$B$20)/Schedule_Inputs!$E$20&lt;Schedule_Inputs!$D$20),$C20/Schedule_Inputs!$D$20,0),0))))</f>
        <v>0</v>
      </c>
      <c r="G20" s="31">
        <f>IF(Schedule_Inputs!$C$20="Blueprint",$C20*IF(3-Schedule_Inputs!$B$20=0,Assumptions!$B$21,IF(3-Schedule_Inputs!$B$20=1,Assumptions!$C$21,IF(3-Schedule_Inputs!$B$20=2,Assumptions!$D$21,0))),IF(Schedule_Inputs!$C$20="Launch",$C20*IF(3-Schedule_Inputs!$B$20=0,Assumptions!$B$22,IF(3-Schedule_Inputs!$B$20=1,Assumptions!$C$22,IF(3-Schedule_Inputs!$B$20=2,Assumptions!$D$22,IF(3-Schedule_Inputs!$B$20=3,Assumptions!$B$23,0)))),IF(Schedule_Inputs!$C$20="Office Setup",$C20*IF(3-Schedule_Inputs!$B$20=0,Assumptions!$B$24,IF(3-Schedule_Inputs!$B$20=1,Assumptions!$C$24,IF(3-Schedule_Inputs!$B$20=2,Assumptions!$D$24,0))),IF(OR(Schedule_Inputs!$C$20="Monthly",Schedule_Inputs!$C$20="Periodic"),IF(AND(3&gt;=Schedule_Inputs!$B$20,MOD(3-Schedule_Inputs!$B$20,Schedule_Inputs!$E$20)=0,(3-Schedule_Inputs!$B$20)/Schedule_Inputs!$E$20&lt;Schedule_Inputs!$D$20),$C20/Schedule_Inputs!$D$20,0),0))))</f>
        <v>0</v>
      </c>
      <c r="H20" s="31">
        <f>IF(Schedule_Inputs!$C$20="Blueprint",$C20*IF(4-Schedule_Inputs!$B$20=0,Assumptions!$B$21,IF(4-Schedule_Inputs!$B$20=1,Assumptions!$C$21,IF(4-Schedule_Inputs!$B$20=2,Assumptions!$D$21,0))),IF(Schedule_Inputs!$C$20="Launch",$C20*IF(4-Schedule_Inputs!$B$20=0,Assumptions!$B$22,IF(4-Schedule_Inputs!$B$20=1,Assumptions!$C$22,IF(4-Schedule_Inputs!$B$20=2,Assumptions!$D$22,IF(4-Schedule_Inputs!$B$20=3,Assumptions!$B$23,0)))),IF(Schedule_Inputs!$C$20="Office Setup",$C20*IF(4-Schedule_Inputs!$B$20=0,Assumptions!$B$24,IF(4-Schedule_Inputs!$B$20=1,Assumptions!$C$24,IF(4-Schedule_Inputs!$B$20=2,Assumptions!$D$24,0))),IF(OR(Schedule_Inputs!$C$20="Monthly",Schedule_Inputs!$C$20="Periodic"),IF(AND(4&gt;=Schedule_Inputs!$B$20,MOD(4-Schedule_Inputs!$B$20,Schedule_Inputs!$E$20)=0,(4-Schedule_Inputs!$B$20)/Schedule_Inputs!$E$20&lt;Schedule_Inputs!$D$20),$C20/Schedule_Inputs!$D$20,0),0))))</f>
        <v>0</v>
      </c>
      <c r="I20" s="31">
        <f>IF(Schedule_Inputs!$C$20="Blueprint",$C20*IF(5-Schedule_Inputs!$B$20=0,Assumptions!$B$21,IF(5-Schedule_Inputs!$B$20=1,Assumptions!$C$21,IF(5-Schedule_Inputs!$B$20=2,Assumptions!$D$21,0))),IF(Schedule_Inputs!$C$20="Launch",$C20*IF(5-Schedule_Inputs!$B$20=0,Assumptions!$B$22,IF(5-Schedule_Inputs!$B$20=1,Assumptions!$C$22,IF(5-Schedule_Inputs!$B$20=2,Assumptions!$D$22,IF(5-Schedule_Inputs!$B$20=3,Assumptions!$B$23,0)))),IF(Schedule_Inputs!$C$20="Office Setup",$C20*IF(5-Schedule_Inputs!$B$20=0,Assumptions!$B$24,IF(5-Schedule_Inputs!$B$20=1,Assumptions!$C$24,IF(5-Schedule_Inputs!$B$20=2,Assumptions!$D$24,0))),IF(OR(Schedule_Inputs!$C$20="Monthly",Schedule_Inputs!$C$20="Periodic"),IF(AND(5&gt;=Schedule_Inputs!$B$20,MOD(5-Schedule_Inputs!$B$20,Schedule_Inputs!$E$20)=0,(5-Schedule_Inputs!$B$20)/Schedule_Inputs!$E$20&lt;Schedule_Inputs!$D$20),$C20/Schedule_Inputs!$D$20,0),0))))</f>
        <v>0</v>
      </c>
      <c r="J20" s="31">
        <f>IF(Schedule_Inputs!$C$20="Blueprint",$C20*IF(6-Schedule_Inputs!$B$20=0,Assumptions!$B$21,IF(6-Schedule_Inputs!$B$20=1,Assumptions!$C$21,IF(6-Schedule_Inputs!$B$20=2,Assumptions!$D$21,0))),IF(Schedule_Inputs!$C$20="Launch",$C20*IF(6-Schedule_Inputs!$B$20=0,Assumptions!$B$22,IF(6-Schedule_Inputs!$B$20=1,Assumptions!$C$22,IF(6-Schedule_Inputs!$B$20=2,Assumptions!$D$22,IF(6-Schedule_Inputs!$B$20=3,Assumptions!$B$23,0)))),IF(Schedule_Inputs!$C$20="Office Setup",$C20*IF(6-Schedule_Inputs!$B$20=0,Assumptions!$B$24,IF(6-Schedule_Inputs!$B$20=1,Assumptions!$C$24,IF(6-Schedule_Inputs!$B$20=2,Assumptions!$D$24,0))),IF(OR(Schedule_Inputs!$C$20="Monthly",Schedule_Inputs!$C$20="Periodic"),IF(AND(6&gt;=Schedule_Inputs!$B$20,MOD(6-Schedule_Inputs!$B$20,Schedule_Inputs!$E$20)=0,(6-Schedule_Inputs!$B$20)/Schedule_Inputs!$E$20&lt;Schedule_Inputs!$D$20),$C20/Schedule_Inputs!$D$20,0),0))))</f>
        <v>0</v>
      </c>
      <c r="K20" s="31">
        <f>IF(Schedule_Inputs!$C$20="Blueprint",$C20*IF(7-Schedule_Inputs!$B$20=0,Assumptions!$B$21,IF(7-Schedule_Inputs!$B$20=1,Assumptions!$C$21,IF(7-Schedule_Inputs!$B$20=2,Assumptions!$D$21,0))),IF(Schedule_Inputs!$C$20="Launch",$C20*IF(7-Schedule_Inputs!$B$20=0,Assumptions!$B$22,IF(7-Schedule_Inputs!$B$20=1,Assumptions!$C$22,IF(7-Schedule_Inputs!$B$20=2,Assumptions!$D$22,IF(7-Schedule_Inputs!$B$20=3,Assumptions!$B$23,0)))),IF(Schedule_Inputs!$C$20="Office Setup",$C20*IF(7-Schedule_Inputs!$B$20=0,Assumptions!$B$24,IF(7-Schedule_Inputs!$B$20=1,Assumptions!$C$24,IF(7-Schedule_Inputs!$B$20=2,Assumptions!$D$24,0))),IF(OR(Schedule_Inputs!$C$20="Monthly",Schedule_Inputs!$C$20="Periodic"),IF(AND(7&gt;=Schedule_Inputs!$B$20,MOD(7-Schedule_Inputs!$B$20,Schedule_Inputs!$E$20)=0,(7-Schedule_Inputs!$B$20)/Schedule_Inputs!$E$20&lt;Schedule_Inputs!$D$20),$C20/Schedule_Inputs!$D$20,0),0))))</f>
        <v>0</v>
      </c>
      <c r="L20" s="31">
        <f>IF(Schedule_Inputs!$C$20="Blueprint",$C20*IF(8-Schedule_Inputs!$B$20=0,Assumptions!$B$21,IF(8-Schedule_Inputs!$B$20=1,Assumptions!$C$21,IF(8-Schedule_Inputs!$B$20=2,Assumptions!$D$21,0))),IF(Schedule_Inputs!$C$20="Launch",$C20*IF(8-Schedule_Inputs!$B$20=0,Assumptions!$B$22,IF(8-Schedule_Inputs!$B$20=1,Assumptions!$C$22,IF(8-Schedule_Inputs!$B$20=2,Assumptions!$D$22,IF(8-Schedule_Inputs!$B$20=3,Assumptions!$B$23,0)))),IF(Schedule_Inputs!$C$20="Office Setup",$C20*IF(8-Schedule_Inputs!$B$20=0,Assumptions!$B$24,IF(8-Schedule_Inputs!$B$20=1,Assumptions!$C$24,IF(8-Schedule_Inputs!$B$20=2,Assumptions!$D$24,0))),IF(OR(Schedule_Inputs!$C$20="Monthly",Schedule_Inputs!$C$20="Periodic"),IF(AND(8&gt;=Schedule_Inputs!$B$20,MOD(8-Schedule_Inputs!$B$20,Schedule_Inputs!$E$20)=0,(8-Schedule_Inputs!$B$20)/Schedule_Inputs!$E$20&lt;Schedule_Inputs!$D$20),$C20/Schedule_Inputs!$D$20,0),0))))</f>
        <v>0</v>
      </c>
      <c r="M20" s="31">
        <f>IF(Schedule_Inputs!$C$20="Blueprint",$C20*IF(9-Schedule_Inputs!$B$20=0,Assumptions!$B$21,IF(9-Schedule_Inputs!$B$20=1,Assumptions!$C$21,IF(9-Schedule_Inputs!$B$20=2,Assumptions!$D$21,0))),IF(Schedule_Inputs!$C$20="Launch",$C20*IF(9-Schedule_Inputs!$B$20=0,Assumptions!$B$22,IF(9-Schedule_Inputs!$B$20=1,Assumptions!$C$22,IF(9-Schedule_Inputs!$B$20=2,Assumptions!$D$22,IF(9-Schedule_Inputs!$B$20=3,Assumptions!$B$23,0)))),IF(Schedule_Inputs!$C$20="Office Setup",$C20*IF(9-Schedule_Inputs!$B$20=0,Assumptions!$B$24,IF(9-Schedule_Inputs!$B$20=1,Assumptions!$C$24,IF(9-Schedule_Inputs!$B$20=2,Assumptions!$D$24,0))),IF(OR(Schedule_Inputs!$C$20="Monthly",Schedule_Inputs!$C$20="Periodic"),IF(AND(9&gt;=Schedule_Inputs!$B$20,MOD(9-Schedule_Inputs!$B$20,Schedule_Inputs!$E$20)=0,(9-Schedule_Inputs!$B$20)/Schedule_Inputs!$E$20&lt;Schedule_Inputs!$D$20),$C20/Schedule_Inputs!$D$20,0),0))))</f>
        <v>0</v>
      </c>
      <c r="N20" s="31">
        <f>IF(Schedule_Inputs!$C$20="Blueprint",$C20*IF(10-Schedule_Inputs!$B$20=0,Assumptions!$B$21,IF(10-Schedule_Inputs!$B$20=1,Assumptions!$C$21,IF(10-Schedule_Inputs!$B$20=2,Assumptions!$D$21,0))),IF(Schedule_Inputs!$C$20="Launch",$C20*IF(10-Schedule_Inputs!$B$20=0,Assumptions!$B$22,IF(10-Schedule_Inputs!$B$20=1,Assumptions!$C$22,IF(10-Schedule_Inputs!$B$20=2,Assumptions!$D$22,IF(10-Schedule_Inputs!$B$20=3,Assumptions!$B$23,0)))),IF(Schedule_Inputs!$C$20="Office Setup",$C20*IF(10-Schedule_Inputs!$B$20=0,Assumptions!$B$24,IF(10-Schedule_Inputs!$B$20=1,Assumptions!$C$24,IF(10-Schedule_Inputs!$B$20=2,Assumptions!$D$24,0))),IF(OR(Schedule_Inputs!$C$20="Monthly",Schedule_Inputs!$C$20="Periodic"),IF(AND(10&gt;=Schedule_Inputs!$B$20,MOD(10-Schedule_Inputs!$B$20,Schedule_Inputs!$E$20)=0,(10-Schedule_Inputs!$B$20)/Schedule_Inputs!$E$20&lt;Schedule_Inputs!$D$20),$C20/Schedule_Inputs!$D$20,0),0))))</f>
        <v>0</v>
      </c>
      <c r="O20" s="31">
        <f>IF(Schedule_Inputs!$C$20="Blueprint",$C20*IF(11-Schedule_Inputs!$B$20=0,Assumptions!$B$21,IF(11-Schedule_Inputs!$B$20=1,Assumptions!$C$21,IF(11-Schedule_Inputs!$B$20=2,Assumptions!$D$21,0))),IF(Schedule_Inputs!$C$20="Launch",$C20*IF(11-Schedule_Inputs!$B$20=0,Assumptions!$B$22,IF(11-Schedule_Inputs!$B$20=1,Assumptions!$C$22,IF(11-Schedule_Inputs!$B$20=2,Assumptions!$D$22,IF(11-Schedule_Inputs!$B$20=3,Assumptions!$B$23,0)))),IF(Schedule_Inputs!$C$20="Office Setup",$C20*IF(11-Schedule_Inputs!$B$20=0,Assumptions!$B$24,IF(11-Schedule_Inputs!$B$20=1,Assumptions!$C$24,IF(11-Schedule_Inputs!$B$20=2,Assumptions!$D$24,0))),IF(OR(Schedule_Inputs!$C$20="Monthly",Schedule_Inputs!$C$20="Periodic"),IF(AND(11&gt;=Schedule_Inputs!$B$20,MOD(11-Schedule_Inputs!$B$20,Schedule_Inputs!$E$20)=0,(11-Schedule_Inputs!$B$20)/Schedule_Inputs!$E$20&lt;Schedule_Inputs!$D$20),$C20/Schedule_Inputs!$D$20,0),0))))</f>
        <v>0</v>
      </c>
      <c r="P20" s="31">
        <f>IF(Schedule_Inputs!$C$20="Blueprint",$C20*IF(12-Schedule_Inputs!$B$20=0,Assumptions!$B$21,IF(12-Schedule_Inputs!$B$20=1,Assumptions!$C$21,IF(12-Schedule_Inputs!$B$20=2,Assumptions!$D$21,0))),IF(Schedule_Inputs!$C$20="Launch",$C20*IF(12-Schedule_Inputs!$B$20=0,Assumptions!$B$22,IF(12-Schedule_Inputs!$B$20=1,Assumptions!$C$22,IF(12-Schedule_Inputs!$B$20=2,Assumptions!$D$22,IF(12-Schedule_Inputs!$B$20=3,Assumptions!$B$23,0)))),IF(Schedule_Inputs!$C$20="Office Setup",$C20*IF(12-Schedule_Inputs!$B$20=0,Assumptions!$B$24,IF(12-Schedule_Inputs!$B$20=1,Assumptions!$C$24,IF(12-Schedule_Inputs!$B$20=2,Assumptions!$D$24,0))),IF(OR(Schedule_Inputs!$C$20="Monthly",Schedule_Inputs!$C$20="Periodic"),IF(AND(12&gt;=Schedule_Inputs!$B$20,MOD(12-Schedule_Inputs!$B$20,Schedule_Inputs!$E$20)=0,(12-Schedule_Inputs!$B$20)/Schedule_Inputs!$E$20&lt;Schedule_Inputs!$D$20),$C20/Schedule_Inputs!$D$20,0),0))))</f>
        <v>0</v>
      </c>
      <c r="Q20" s="31">
        <f>IF(Schedule_Inputs!$C$20="Blueprint",$C20*IF(13-Schedule_Inputs!$B$20=0,Assumptions!$B$21,IF(13-Schedule_Inputs!$B$20=1,Assumptions!$C$21,IF(13-Schedule_Inputs!$B$20=2,Assumptions!$D$21,0))),IF(Schedule_Inputs!$C$20="Launch",$C20*IF(13-Schedule_Inputs!$B$20=0,Assumptions!$B$22,IF(13-Schedule_Inputs!$B$20=1,Assumptions!$C$22,IF(13-Schedule_Inputs!$B$20=2,Assumptions!$D$22,IF(13-Schedule_Inputs!$B$20=3,Assumptions!$B$23,0)))),IF(Schedule_Inputs!$C$20="Office Setup",$C20*IF(13-Schedule_Inputs!$B$20=0,Assumptions!$B$24,IF(13-Schedule_Inputs!$B$20=1,Assumptions!$C$24,IF(13-Schedule_Inputs!$B$20=2,Assumptions!$D$24,0))),IF(OR(Schedule_Inputs!$C$20="Monthly",Schedule_Inputs!$C$20="Periodic"),IF(AND(13&gt;=Schedule_Inputs!$B$20,MOD(13-Schedule_Inputs!$B$20,Schedule_Inputs!$E$20)=0,(13-Schedule_Inputs!$B$20)/Schedule_Inputs!$E$20&lt;Schedule_Inputs!$D$20),$C20/Schedule_Inputs!$D$20,0),0))))</f>
        <v>0</v>
      </c>
      <c r="R20" s="31">
        <f>IF(Schedule_Inputs!$C$20="Blueprint",$C20*IF(14-Schedule_Inputs!$B$20=0,Assumptions!$B$21,IF(14-Schedule_Inputs!$B$20=1,Assumptions!$C$21,IF(14-Schedule_Inputs!$B$20=2,Assumptions!$D$21,0))),IF(Schedule_Inputs!$C$20="Launch",$C20*IF(14-Schedule_Inputs!$B$20=0,Assumptions!$B$22,IF(14-Schedule_Inputs!$B$20=1,Assumptions!$C$22,IF(14-Schedule_Inputs!$B$20=2,Assumptions!$D$22,IF(14-Schedule_Inputs!$B$20=3,Assumptions!$B$23,0)))),IF(Schedule_Inputs!$C$20="Office Setup",$C20*IF(14-Schedule_Inputs!$B$20=0,Assumptions!$B$24,IF(14-Schedule_Inputs!$B$20=1,Assumptions!$C$24,IF(14-Schedule_Inputs!$B$20=2,Assumptions!$D$24,0))),IF(OR(Schedule_Inputs!$C$20="Monthly",Schedule_Inputs!$C$20="Periodic"),IF(AND(14&gt;=Schedule_Inputs!$B$20,MOD(14-Schedule_Inputs!$B$20,Schedule_Inputs!$E$20)=0,(14-Schedule_Inputs!$B$20)/Schedule_Inputs!$E$20&lt;Schedule_Inputs!$D$20),$C20/Schedule_Inputs!$D$20,0),0))))</f>
        <v>0</v>
      </c>
      <c r="S20" s="31">
        <f>IF(Schedule_Inputs!$C$20="Blueprint",$C20*IF(15-Schedule_Inputs!$B$20=0,Assumptions!$B$21,IF(15-Schedule_Inputs!$B$20=1,Assumptions!$C$21,IF(15-Schedule_Inputs!$B$20=2,Assumptions!$D$21,0))),IF(Schedule_Inputs!$C$20="Launch",$C20*IF(15-Schedule_Inputs!$B$20=0,Assumptions!$B$22,IF(15-Schedule_Inputs!$B$20=1,Assumptions!$C$22,IF(15-Schedule_Inputs!$B$20=2,Assumptions!$D$22,IF(15-Schedule_Inputs!$B$20=3,Assumptions!$B$23,0)))),IF(Schedule_Inputs!$C$20="Office Setup",$C20*IF(15-Schedule_Inputs!$B$20=0,Assumptions!$B$24,IF(15-Schedule_Inputs!$B$20=1,Assumptions!$C$24,IF(15-Schedule_Inputs!$B$20=2,Assumptions!$D$24,0))),IF(OR(Schedule_Inputs!$C$20="Monthly",Schedule_Inputs!$C$20="Periodic"),IF(AND(15&gt;=Schedule_Inputs!$B$20,MOD(15-Schedule_Inputs!$B$20,Schedule_Inputs!$E$20)=0,(15-Schedule_Inputs!$B$20)/Schedule_Inputs!$E$20&lt;Schedule_Inputs!$D$20),$C20/Schedule_Inputs!$D$20,0),0))))</f>
        <v>0</v>
      </c>
      <c r="T20" s="31">
        <f>IF(Schedule_Inputs!$C$20="Blueprint",$C20*IF(16-Schedule_Inputs!$B$20=0,Assumptions!$B$21,IF(16-Schedule_Inputs!$B$20=1,Assumptions!$C$21,IF(16-Schedule_Inputs!$B$20=2,Assumptions!$D$21,0))),IF(Schedule_Inputs!$C$20="Launch",$C20*IF(16-Schedule_Inputs!$B$20=0,Assumptions!$B$22,IF(16-Schedule_Inputs!$B$20=1,Assumptions!$C$22,IF(16-Schedule_Inputs!$B$20=2,Assumptions!$D$22,IF(16-Schedule_Inputs!$B$20=3,Assumptions!$B$23,0)))),IF(Schedule_Inputs!$C$20="Office Setup",$C20*IF(16-Schedule_Inputs!$B$20=0,Assumptions!$B$24,IF(16-Schedule_Inputs!$B$20=1,Assumptions!$C$24,IF(16-Schedule_Inputs!$B$20=2,Assumptions!$D$24,0))),IF(OR(Schedule_Inputs!$C$20="Monthly",Schedule_Inputs!$C$20="Periodic"),IF(AND(16&gt;=Schedule_Inputs!$B$20,MOD(16-Schedule_Inputs!$B$20,Schedule_Inputs!$E$20)=0,(16-Schedule_Inputs!$B$20)/Schedule_Inputs!$E$20&lt;Schedule_Inputs!$D$20),$C20/Schedule_Inputs!$D$20,0),0))))</f>
        <v>0</v>
      </c>
      <c r="U20" s="31">
        <f>IF(Schedule_Inputs!$C$20="Blueprint",$C20*IF(17-Schedule_Inputs!$B$20=0,Assumptions!$B$21,IF(17-Schedule_Inputs!$B$20=1,Assumptions!$C$21,IF(17-Schedule_Inputs!$B$20=2,Assumptions!$D$21,0))),IF(Schedule_Inputs!$C$20="Launch",$C20*IF(17-Schedule_Inputs!$B$20=0,Assumptions!$B$22,IF(17-Schedule_Inputs!$B$20=1,Assumptions!$C$22,IF(17-Schedule_Inputs!$B$20=2,Assumptions!$D$22,IF(17-Schedule_Inputs!$B$20=3,Assumptions!$B$23,0)))),IF(Schedule_Inputs!$C$20="Office Setup",$C20*IF(17-Schedule_Inputs!$B$20=0,Assumptions!$B$24,IF(17-Schedule_Inputs!$B$20=1,Assumptions!$C$24,IF(17-Schedule_Inputs!$B$20=2,Assumptions!$D$24,0))),IF(OR(Schedule_Inputs!$C$20="Monthly",Schedule_Inputs!$C$20="Periodic"),IF(AND(17&gt;=Schedule_Inputs!$B$20,MOD(17-Schedule_Inputs!$B$20,Schedule_Inputs!$E$20)=0,(17-Schedule_Inputs!$B$20)/Schedule_Inputs!$E$20&lt;Schedule_Inputs!$D$20),$C20/Schedule_Inputs!$D$20,0),0))))</f>
        <v>0</v>
      </c>
      <c r="V20" s="31">
        <f>IF(Schedule_Inputs!$C$20="Blueprint",$C20*IF(18-Schedule_Inputs!$B$20=0,Assumptions!$B$21,IF(18-Schedule_Inputs!$B$20=1,Assumptions!$C$21,IF(18-Schedule_Inputs!$B$20=2,Assumptions!$D$21,0))),IF(Schedule_Inputs!$C$20="Launch",$C20*IF(18-Schedule_Inputs!$B$20=0,Assumptions!$B$22,IF(18-Schedule_Inputs!$B$20=1,Assumptions!$C$22,IF(18-Schedule_Inputs!$B$20=2,Assumptions!$D$22,IF(18-Schedule_Inputs!$B$20=3,Assumptions!$B$23,0)))),IF(Schedule_Inputs!$C$20="Office Setup",$C20*IF(18-Schedule_Inputs!$B$20=0,Assumptions!$B$24,IF(18-Schedule_Inputs!$B$20=1,Assumptions!$C$24,IF(18-Schedule_Inputs!$B$20=2,Assumptions!$D$24,0))),IF(OR(Schedule_Inputs!$C$20="Monthly",Schedule_Inputs!$C$20="Periodic"),IF(AND(18&gt;=Schedule_Inputs!$B$20,MOD(18-Schedule_Inputs!$B$20,Schedule_Inputs!$E$20)=0,(18-Schedule_Inputs!$B$20)/Schedule_Inputs!$E$20&lt;Schedule_Inputs!$D$20),$C20/Schedule_Inputs!$D$20,0),0))))</f>
        <v>0</v>
      </c>
      <c r="W20" s="31">
        <f>IF(Schedule_Inputs!$C$20="Blueprint",$C20*IF(19-Schedule_Inputs!$B$20=0,Assumptions!$B$21,IF(19-Schedule_Inputs!$B$20=1,Assumptions!$C$21,IF(19-Schedule_Inputs!$B$20=2,Assumptions!$D$21,0))),IF(Schedule_Inputs!$C$20="Launch",$C20*IF(19-Schedule_Inputs!$B$20=0,Assumptions!$B$22,IF(19-Schedule_Inputs!$B$20=1,Assumptions!$C$22,IF(19-Schedule_Inputs!$B$20=2,Assumptions!$D$22,IF(19-Schedule_Inputs!$B$20=3,Assumptions!$B$23,0)))),IF(Schedule_Inputs!$C$20="Office Setup",$C20*IF(19-Schedule_Inputs!$B$20=0,Assumptions!$B$24,IF(19-Schedule_Inputs!$B$20=1,Assumptions!$C$24,IF(19-Schedule_Inputs!$B$20=2,Assumptions!$D$24,0))),IF(OR(Schedule_Inputs!$C$20="Monthly",Schedule_Inputs!$C$20="Periodic"),IF(AND(19&gt;=Schedule_Inputs!$B$20,MOD(19-Schedule_Inputs!$B$20,Schedule_Inputs!$E$20)=0,(19-Schedule_Inputs!$B$20)/Schedule_Inputs!$E$20&lt;Schedule_Inputs!$D$20),$C20/Schedule_Inputs!$D$20,0),0))))</f>
        <v>0</v>
      </c>
      <c r="X20" s="31">
        <f>IF(Schedule_Inputs!$C$20="Blueprint",$C20*IF(20-Schedule_Inputs!$B$20=0,Assumptions!$B$21,IF(20-Schedule_Inputs!$B$20=1,Assumptions!$C$21,IF(20-Schedule_Inputs!$B$20=2,Assumptions!$D$21,0))),IF(Schedule_Inputs!$C$20="Launch",$C20*IF(20-Schedule_Inputs!$B$20=0,Assumptions!$B$22,IF(20-Schedule_Inputs!$B$20=1,Assumptions!$C$22,IF(20-Schedule_Inputs!$B$20=2,Assumptions!$D$22,IF(20-Schedule_Inputs!$B$20=3,Assumptions!$B$23,0)))),IF(Schedule_Inputs!$C$20="Office Setup",$C20*IF(20-Schedule_Inputs!$B$20=0,Assumptions!$B$24,IF(20-Schedule_Inputs!$B$20=1,Assumptions!$C$24,IF(20-Schedule_Inputs!$B$20=2,Assumptions!$D$24,0))),IF(OR(Schedule_Inputs!$C$20="Monthly",Schedule_Inputs!$C$20="Periodic"),IF(AND(20&gt;=Schedule_Inputs!$B$20,MOD(20-Schedule_Inputs!$B$20,Schedule_Inputs!$E$20)=0,(20-Schedule_Inputs!$B$20)/Schedule_Inputs!$E$20&lt;Schedule_Inputs!$D$20),$C20/Schedule_Inputs!$D$20,0),0))))</f>
        <v>0</v>
      </c>
      <c r="Y20" s="31">
        <f>IF(Schedule_Inputs!$C$20="Blueprint",$C20*IF(21-Schedule_Inputs!$B$20=0,Assumptions!$B$21,IF(21-Schedule_Inputs!$B$20=1,Assumptions!$C$21,IF(21-Schedule_Inputs!$B$20=2,Assumptions!$D$21,0))),IF(Schedule_Inputs!$C$20="Launch",$C20*IF(21-Schedule_Inputs!$B$20=0,Assumptions!$B$22,IF(21-Schedule_Inputs!$B$20=1,Assumptions!$C$22,IF(21-Schedule_Inputs!$B$20=2,Assumptions!$D$22,IF(21-Schedule_Inputs!$B$20=3,Assumptions!$B$23,0)))),IF(Schedule_Inputs!$C$20="Office Setup",$C20*IF(21-Schedule_Inputs!$B$20=0,Assumptions!$B$24,IF(21-Schedule_Inputs!$B$20=1,Assumptions!$C$24,IF(21-Schedule_Inputs!$B$20=2,Assumptions!$D$24,0))),IF(OR(Schedule_Inputs!$C$20="Monthly",Schedule_Inputs!$C$20="Periodic"),IF(AND(21&gt;=Schedule_Inputs!$B$20,MOD(21-Schedule_Inputs!$B$20,Schedule_Inputs!$E$20)=0,(21-Schedule_Inputs!$B$20)/Schedule_Inputs!$E$20&lt;Schedule_Inputs!$D$20),$C20/Schedule_Inputs!$D$20,0),0))))</f>
        <v>0</v>
      </c>
      <c r="Z20" s="31">
        <f>IF(Schedule_Inputs!$C$20="Blueprint",$C20*IF(22-Schedule_Inputs!$B$20=0,Assumptions!$B$21,IF(22-Schedule_Inputs!$B$20=1,Assumptions!$C$21,IF(22-Schedule_Inputs!$B$20=2,Assumptions!$D$21,0))),IF(Schedule_Inputs!$C$20="Launch",$C20*IF(22-Schedule_Inputs!$B$20=0,Assumptions!$B$22,IF(22-Schedule_Inputs!$B$20=1,Assumptions!$C$22,IF(22-Schedule_Inputs!$B$20=2,Assumptions!$D$22,IF(22-Schedule_Inputs!$B$20=3,Assumptions!$B$23,0)))),IF(Schedule_Inputs!$C$20="Office Setup",$C20*IF(22-Schedule_Inputs!$B$20=0,Assumptions!$B$24,IF(22-Schedule_Inputs!$B$20=1,Assumptions!$C$24,IF(22-Schedule_Inputs!$B$20=2,Assumptions!$D$24,0))),IF(OR(Schedule_Inputs!$C$20="Monthly",Schedule_Inputs!$C$20="Periodic"),IF(AND(22&gt;=Schedule_Inputs!$B$20,MOD(22-Schedule_Inputs!$B$20,Schedule_Inputs!$E$20)=0,(22-Schedule_Inputs!$B$20)/Schedule_Inputs!$E$20&lt;Schedule_Inputs!$D$20),$C20/Schedule_Inputs!$D$20,0),0))))</f>
        <v>0</v>
      </c>
      <c r="AA20" s="31">
        <f>IF(Schedule_Inputs!$C$20="Blueprint",$C20*IF(23-Schedule_Inputs!$B$20=0,Assumptions!$B$21,IF(23-Schedule_Inputs!$B$20=1,Assumptions!$C$21,IF(23-Schedule_Inputs!$B$20=2,Assumptions!$D$21,0))),IF(Schedule_Inputs!$C$20="Launch",$C20*IF(23-Schedule_Inputs!$B$20=0,Assumptions!$B$22,IF(23-Schedule_Inputs!$B$20=1,Assumptions!$C$22,IF(23-Schedule_Inputs!$B$20=2,Assumptions!$D$22,IF(23-Schedule_Inputs!$B$20=3,Assumptions!$B$23,0)))),IF(Schedule_Inputs!$C$20="Office Setup",$C20*IF(23-Schedule_Inputs!$B$20=0,Assumptions!$B$24,IF(23-Schedule_Inputs!$B$20=1,Assumptions!$C$24,IF(23-Schedule_Inputs!$B$20=2,Assumptions!$D$24,0))),IF(OR(Schedule_Inputs!$C$20="Monthly",Schedule_Inputs!$C$20="Periodic"),IF(AND(23&gt;=Schedule_Inputs!$B$20,MOD(23-Schedule_Inputs!$B$20,Schedule_Inputs!$E$20)=0,(23-Schedule_Inputs!$B$20)/Schedule_Inputs!$E$20&lt;Schedule_Inputs!$D$20),$C20/Schedule_Inputs!$D$20,0),0))))</f>
        <v>0</v>
      </c>
      <c r="AB20" s="31">
        <f>IF(Schedule_Inputs!$C$20="Blueprint",$C20*IF(24-Schedule_Inputs!$B$20=0,Assumptions!$B$21,IF(24-Schedule_Inputs!$B$20=1,Assumptions!$C$21,IF(24-Schedule_Inputs!$B$20=2,Assumptions!$D$21,0))),IF(Schedule_Inputs!$C$20="Launch",$C20*IF(24-Schedule_Inputs!$B$20=0,Assumptions!$B$22,IF(24-Schedule_Inputs!$B$20=1,Assumptions!$C$22,IF(24-Schedule_Inputs!$B$20=2,Assumptions!$D$22,IF(24-Schedule_Inputs!$B$20=3,Assumptions!$B$23,0)))),IF(Schedule_Inputs!$C$20="Office Setup",$C20*IF(24-Schedule_Inputs!$B$20=0,Assumptions!$B$24,IF(24-Schedule_Inputs!$B$20=1,Assumptions!$C$24,IF(24-Schedule_Inputs!$B$20=2,Assumptions!$D$24,0))),IF(OR(Schedule_Inputs!$C$20="Monthly",Schedule_Inputs!$C$20="Periodic"),IF(AND(24&gt;=Schedule_Inputs!$B$20,MOD(24-Schedule_Inputs!$B$20,Schedule_Inputs!$E$20)=0,(24-Schedule_Inputs!$B$20)/Schedule_Inputs!$E$20&lt;Schedule_Inputs!$D$20),$C20/Schedule_Inputs!$D$20,0),0))))</f>
        <v>0</v>
      </c>
      <c r="AC20" s="31">
        <f>IF(Schedule_Inputs!$C$20="Blueprint",$C20*IF(25-Schedule_Inputs!$B$20=0,Assumptions!$B$21,IF(25-Schedule_Inputs!$B$20=1,Assumptions!$C$21,IF(25-Schedule_Inputs!$B$20=2,Assumptions!$D$21,0))),IF(Schedule_Inputs!$C$20="Launch",$C20*IF(25-Schedule_Inputs!$B$20=0,Assumptions!$B$22,IF(25-Schedule_Inputs!$B$20=1,Assumptions!$C$22,IF(25-Schedule_Inputs!$B$20=2,Assumptions!$D$22,IF(25-Schedule_Inputs!$B$20=3,Assumptions!$B$23,0)))),IF(Schedule_Inputs!$C$20="Office Setup",$C20*IF(25-Schedule_Inputs!$B$20=0,Assumptions!$B$24,IF(25-Schedule_Inputs!$B$20=1,Assumptions!$C$24,IF(25-Schedule_Inputs!$B$20=2,Assumptions!$D$24,0))),IF(OR(Schedule_Inputs!$C$20="Monthly",Schedule_Inputs!$C$20="Periodic"),IF(AND(25&gt;=Schedule_Inputs!$B$20,MOD(25-Schedule_Inputs!$B$20,Schedule_Inputs!$E$20)=0,(25-Schedule_Inputs!$B$20)/Schedule_Inputs!$E$20&lt;Schedule_Inputs!$D$20),$C20/Schedule_Inputs!$D$20,0),0))))</f>
        <v>0</v>
      </c>
      <c r="AD20" s="31">
        <f>IF(Schedule_Inputs!$C$20="Blueprint",$C20*IF(26-Schedule_Inputs!$B$20=0,Assumptions!$B$21,IF(26-Schedule_Inputs!$B$20=1,Assumptions!$C$21,IF(26-Schedule_Inputs!$B$20=2,Assumptions!$D$21,0))),IF(Schedule_Inputs!$C$20="Launch",$C20*IF(26-Schedule_Inputs!$B$20=0,Assumptions!$B$22,IF(26-Schedule_Inputs!$B$20=1,Assumptions!$C$22,IF(26-Schedule_Inputs!$B$20=2,Assumptions!$D$22,IF(26-Schedule_Inputs!$B$20=3,Assumptions!$B$23,0)))),IF(Schedule_Inputs!$C$20="Office Setup",$C20*IF(26-Schedule_Inputs!$B$20=0,Assumptions!$B$24,IF(26-Schedule_Inputs!$B$20=1,Assumptions!$C$24,IF(26-Schedule_Inputs!$B$20=2,Assumptions!$D$24,0))),IF(OR(Schedule_Inputs!$C$20="Monthly",Schedule_Inputs!$C$20="Periodic"),IF(AND(26&gt;=Schedule_Inputs!$B$20,MOD(26-Schedule_Inputs!$B$20,Schedule_Inputs!$E$20)=0,(26-Schedule_Inputs!$B$20)/Schedule_Inputs!$E$20&lt;Schedule_Inputs!$D$20),$C20/Schedule_Inputs!$D$20,0),0))))</f>
        <v>0</v>
      </c>
      <c r="AE20" s="31">
        <f>IF(Schedule_Inputs!$C$20="Blueprint",$C20*IF(27-Schedule_Inputs!$B$20=0,Assumptions!$B$21,IF(27-Schedule_Inputs!$B$20=1,Assumptions!$C$21,IF(27-Schedule_Inputs!$B$20=2,Assumptions!$D$21,0))),IF(Schedule_Inputs!$C$20="Launch",$C20*IF(27-Schedule_Inputs!$B$20=0,Assumptions!$B$22,IF(27-Schedule_Inputs!$B$20=1,Assumptions!$C$22,IF(27-Schedule_Inputs!$B$20=2,Assumptions!$D$22,IF(27-Schedule_Inputs!$B$20=3,Assumptions!$B$23,0)))),IF(Schedule_Inputs!$C$20="Office Setup",$C20*IF(27-Schedule_Inputs!$B$20=0,Assumptions!$B$24,IF(27-Schedule_Inputs!$B$20=1,Assumptions!$C$24,IF(27-Schedule_Inputs!$B$20=2,Assumptions!$D$24,0))),IF(OR(Schedule_Inputs!$C$20="Monthly",Schedule_Inputs!$C$20="Periodic"),IF(AND(27&gt;=Schedule_Inputs!$B$20,MOD(27-Schedule_Inputs!$B$20,Schedule_Inputs!$E$20)=0,(27-Schedule_Inputs!$B$20)/Schedule_Inputs!$E$20&lt;Schedule_Inputs!$D$20),$C20/Schedule_Inputs!$D$20,0),0))))</f>
        <v>0</v>
      </c>
      <c r="AF20" s="31">
        <f>IF(Schedule_Inputs!$C$20="Blueprint",$C20*IF(28-Schedule_Inputs!$B$20=0,Assumptions!$B$21,IF(28-Schedule_Inputs!$B$20=1,Assumptions!$C$21,IF(28-Schedule_Inputs!$B$20=2,Assumptions!$D$21,0))),IF(Schedule_Inputs!$C$20="Launch",$C20*IF(28-Schedule_Inputs!$B$20=0,Assumptions!$B$22,IF(28-Schedule_Inputs!$B$20=1,Assumptions!$C$22,IF(28-Schedule_Inputs!$B$20=2,Assumptions!$D$22,IF(28-Schedule_Inputs!$B$20=3,Assumptions!$B$23,0)))),IF(Schedule_Inputs!$C$20="Office Setup",$C20*IF(28-Schedule_Inputs!$B$20=0,Assumptions!$B$24,IF(28-Schedule_Inputs!$B$20=1,Assumptions!$C$24,IF(28-Schedule_Inputs!$B$20=2,Assumptions!$D$24,0))),IF(OR(Schedule_Inputs!$C$20="Monthly",Schedule_Inputs!$C$20="Periodic"),IF(AND(28&gt;=Schedule_Inputs!$B$20,MOD(28-Schedule_Inputs!$B$20,Schedule_Inputs!$E$20)=0,(28-Schedule_Inputs!$B$20)/Schedule_Inputs!$E$20&lt;Schedule_Inputs!$D$20),$C20/Schedule_Inputs!$D$20,0),0))))</f>
        <v>0</v>
      </c>
      <c r="AG20" s="31">
        <f>IF(Schedule_Inputs!$C$20="Blueprint",$C20*IF(29-Schedule_Inputs!$B$20=0,Assumptions!$B$21,IF(29-Schedule_Inputs!$B$20=1,Assumptions!$C$21,IF(29-Schedule_Inputs!$B$20=2,Assumptions!$D$21,0))),IF(Schedule_Inputs!$C$20="Launch",$C20*IF(29-Schedule_Inputs!$B$20=0,Assumptions!$B$22,IF(29-Schedule_Inputs!$B$20=1,Assumptions!$C$22,IF(29-Schedule_Inputs!$B$20=2,Assumptions!$D$22,IF(29-Schedule_Inputs!$B$20=3,Assumptions!$B$23,0)))),IF(Schedule_Inputs!$C$20="Office Setup",$C20*IF(29-Schedule_Inputs!$B$20=0,Assumptions!$B$24,IF(29-Schedule_Inputs!$B$20=1,Assumptions!$C$24,IF(29-Schedule_Inputs!$B$20=2,Assumptions!$D$24,0))),IF(OR(Schedule_Inputs!$C$20="Monthly",Schedule_Inputs!$C$20="Periodic"),IF(AND(29&gt;=Schedule_Inputs!$B$20,MOD(29-Schedule_Inputs!$B$20,Schedule_Inputs!$E$20)=0,(29-Schedule_Inputs!$B$20)/Schedule_Inputs!$E$20&lt;Schedule_Inputs!$D$20),$C20/Schedule_Inputs!$D$20,0),0))))</f>
        <v>8400</v>
      </c>
      <c r="AH20" s="31">
        <f>IF(Schedule_Inputs!$C$20="Blueprint",$C20*IF(30-Schedule_Inputs!$B$20=0,Assumptions!$B$21,IF(30-Schedule_Inputs!$B$20=1,Assumptions!$C$21,IF(30-Schedule_Inputs!$B$20=2,Assumptions!$D$21,0))),IF(Schedule_Inputs!$C$20="Launch",$C20*IF(30-Schedule_Inputs!$B$20=0,Assumptions!$B$22,IF(30-Schedule_Inputs!$B$20=1,Assumptions!$C$22,IF(30-Schedule_Inputs!$B$20=2,Assumptions!$D$22,IF(30-Schedule_Inputs!$B$20=3,Assumptions!$B$23,0)))),IF(Schedule_Inputs!$C$20="Office Setup",$C20*IF(30-Schedule_Inputs!$B$20=0,Assumptions!$B$24,IF(30-Schedule_Inputs!$B$20=1,Assumptions!$C$24,IF(30-Schedule_Inputs!$B$20=2,Assumptions!$D$24,0))),IF(OR(Schedule_Inputs!$C$20="Monthly",Schedule_Inputs!$C$20="Periodic"),IF(AND(30&gt;=Schedule_Inputs!$B$20,MOD(30-Schedule_Inputs!$B$20,Schedule_Inputs!$E$20)=0,(30-Schedule_Inputs!$B$20)/Schedule_Inputs!$E$20&lt;Schedule_Inputs!$D$20),$C20/Schedule_Inputs!$D$20,0),0))))</f>
        <v>8400</v>
      </c>
      <c r="AI20" s="31">
        <f>IF(Schedule_Inputs!$C$20="Blueprint",$C20*IF(31-Schedule_Inputs!$B$20=0,Assumptions!$B$21,IF(31-Schedule_Inputs!$B$20=1,Assumptions!$C$21,IF(31-Schedule_Inputs!$B$20=2,Assumptions!$D$21,0))),IF(Schedule_Inputs!$C$20="Launch",$C20*IF(31-Schedule_Inputs!$B$20=0,Assumptions!$B$22,IF(31-Schedule_Inputs!$B$20=1,Assumptions!$C$22,IF(31-Schedule_Inputs!$B$20=2,Assumptions!$D$22,IF(31-Schedule_Inputs!$B$20=3,Assumptions!$B$23,0)))),IF(Schedule_Inputs!$C$20="Office Setup",$C20*IF(31-Schedule_Inputs!$B$20=0,Assumptions!$B$24,IF(31-Schedule_Inputs!$B$20=1,Assumptions!$C$24,IF(31-Schedule_Inputs!$B$20=2,Assumptions!$D$24,0))),IF(OR(Schedule_Inputs!$C$20="Monthly",Schedule_Inputs!$C$20="Periodic"),IF(AND(31&gt;=Schedule_Inputs!$B$20,MOD(31-Schedule_Inputs!$B$20,Schedule_Inputs!$E$20)=0,(31-Schedule_Inputs!$B$20)/Schedule_Inputs!$E$20&lt;Schedule_Inputs!$D$20),$C20/Schedule_Inputs!$D$20,0),0))))</f>
        <v>4200</v>
      </c>
      <c r="AJ20" s="31">
        <f>IF(Schedule_Inputs!$C$20="Blueprint",$C20*IF(32-Schedule_Inputs!$B$20=0,Assumptions!$B$21,IF(32-Schedule_Inputs!$B$20=1,Assumptions!$C$21,IF(32-Schedule_Inputs!$B$20=2,Assumptions!$D$21,0))),IF(Schedule_Inputs!$C$20="Launch",$C20*IF(32-Schedule_Inputs!$B$20=0,Assumptions!$B$22,IF(32-Schedule_Inputs!$B$20=1,Assumptions!$C$22,IF(32-Schedule_Inputs!$B$20=2,Assumptions!$D$22,IF(32-Schedule_Inputs!$B$20=3,Assumptions!$B$23,0)))),IF(Schedule_Inputs!$C$20="Office Setup",$C20*IF(32-Schedule_Inputs!$B$20=0,Assumptions!$B$24,IF(32-Schedule_Inputs!$B$20=1,Assumptions!$C$24,IF(32-Schedule_Inputs!$B$20=2,Assumptions!$D$24,0))),IF(OR(Schedule_Inputs!$C$20="Monthly",Schedule_Inputs!$C$20="Periodic"),IF(AND(32&gt;=Schedule_Inputs!$B$20,MOD(32-Schedule_Inputs!$B$20,Schedule_Inputs!$E$20)=0,(32-Schedule_Inputs!$B$20)/Schedule_Inputs!$E$20&lt;Schedule_Inputs!$D$20),$C20/Schedule_Inputs!$D$20,0),0))))</f>
        <v>0</v>
      </c>
      <c r="AK20" s="31">
        <f>IF(Schedule_Inputs!$C$20="Blueprint",$C20*IF(33-Schedule_Inputs!$B$20=0,Assumptions!$B$21,IF(33-Schedule_Inputs!$B$20=1,Assumptions!$C$21,IF(33-Schedule_Inputs!$B$20=2,Assumptions!$D$21,0))),IF(Schedule_Inputs!$C$20="Launch",$C20*IF(33-Schedule_Inputs!$B$20=0,Assumptions!$B$22,IF(33-Schedule_Inputs!$B$20=1,Assumptions!$C$22,IF(33-Schedule_Inputs!$B$20=2,Assumptions!$D$22,IF(33-Schedule_Inputs!$B$20=3,Assumptions!$B$23,0)))),IF(Schedule_Inputs!$C$20="Office Setup",$C20*IF(33-Schedule_Inputs!$B$20=0,Assumptions!$B$24,IF(33-Schedule_Inputs!$B$20=1,Assumptions!$C$24,IF(33-Schedule_Inputs!$B$20=2,Assumptions!$D$24,0))),IF(OR(Schedule_Inputs!$C$20="Monthly",Schedule_Inputs!$C$20="Periodic"),IF(AND(33&gt;=Schedule_Inputs!$B$20,MOD(33-Schedule_Inputs!$B$20,Schedule_Inputs!$E$20)=0,(33-Schedule_Inputs!$B$20)/Schedule_Inputs!$E$20&lt;Schedule_Inputs!$D$20),$C20/Schedule_Inputs!$D$20,0),0))))</f>
        <v>0</v>
      </c>
      <c r="AL20" s="31">
        <f>IF(Schedule_Inputs!$C$20="Blueprint",$C20*IF(34-Schedule_Inputs!$B$20=0,Assumptions!$B$21,IF(34-Schedule_Inputs!$B$20=1,Assumptions!$C$21,IF(34-Schedule_Inputs!$B$20=2,Assumptions!$D$21,0))),IF(Schedule_Inputs!$C$20="Launch",$C20*IF(34-Schedule_Inputs!$B$20=0,Assumptions!$B$22,IF(34-Schedule_Inputs!$B$20=1,Assumptions!$C$22,IF(34-Schedule_Inputs!$B$20=2,Assumptions!$D$22,IF(34-Schedule_Inputs!$B$20=3,Assumptions!$B$23,0)))),IF(Schedule_Inputs!$C$20="Office Setup",$C20*IF(34-Schedule_Inputs!$B$20=0,Assumptions!$B$24,IF(34-Schedule_Inputs!$B$20=1,Assumptions!$C$24,IF(34-Schedule_Inputs!$B$20=2,Assumptions!$D$24,0))),IF(OR(Schedule_Inputs!$C$20="Monthly",Schedule_Inputs!$C$20="Periodic"),IF(AND(34&gt;=Schedule_Inputs!$B$20,MOD(34-Schedule_Inputs!$B$20,Schedule_Inputs!$E$20)=0,(34-Schedule_Inputs!$B$20)/Schedule_Inputs!$E$20&lt;Schedule_Inputs!$D$20),$C20/Schedule_Inputs!$D$20,0),0))))</f>
        <v>0</v>
      </c>
      <c r="AM20" s="31">
        <f>IF(Schedule_Inputs!$C$20="Blueprint",$C20*IF(35-Schedule_Inputs!$B$20=0,Assumptions!$B$21,IF(35-Schedule_Inputs!$B$20=1,Assumptions!$C$21,IF(35-Schedule_Inputs!$B$20=2,Assumptions!$D$21,0))),IF(Schedule_Inputs!$C$20="Launch",$C20*IF(35-Schedule_Inputs!$B$20=0,Assumptions!$B$22,IF(35-Schedule_Inputs!$B$20=1,Assumptions!$C$22,IF(35-Schedule_Inputs!$B$20=2,Assumptions!$D$22,IF(35-Schedule_Inputs!$B$20=3,Assumptions!$B$23,0)))),IF(Schedule_Inputs!$C$20="Office Setup",$C20*IF(35-Schedule_Inputs!$B$20=0,Assumptions!$B$24,IF(35-Schedule_Inputs!$B$20=1,Assumptions!$C$24,IF(35-Schedule_Inputs!$B$20=2,Assumptions!$D$24,0))),IF(OR(Schedule_Inputs!$C$20="Monthly",Schedule_Inputs!$C$20="Periodic"),IF(AND(35&gt;=Schedule_Inputs!$B$20,MOD(35-Schedule_Inputs!$B$20,Schedule_Inputs!$E$20)=0,(35-Schedule_Inputs!$B$20)/Schedule_Inputs!$E$20&lt;Schedule_Inputs!$D$20),$C20/Schedule_Inputs!$D$20,0),0))))</f>
        <v>0</v>
      </c>
      <c r="AN20" s="31">
        <f>IF(Schedule_Inputs!$C$20="Blueprint",$C20*IF(36-Schedule_Inputs!$B$20=0,Assumptions!$B$21,IF(36-Schedule_Inputs!$B$20=1,Assumptions!$C$21,IF(36-Schedule_Inputs!$B$20=2,Assumptions!$D$21,0))),IF(Schedule_Inputs!$C$20="Launch",$C20*IF(36-Schedule_Inputs!$B$20=0,Assumptions!$B$22,IF(36-Schedule_Inputs!$B$20=1,Assumptions!$C$22,IF(36-Schedule_Inputs!$B$20=2,Assumptions!$D$22,IF(36-Schedule_Inputs!$B$20=3,Assumptions!$B$23,0)))),IF(Schedule_Inputs!$C$20="Office Setup",$C20*IF(36-Schedule_Inputs!$B$20=0,Assumptions!$B$24,IF(36-Schedule_Inputs!$B$20=1,Assumptions!$C$24,IF(36-Schedule_Inputs!$B$20=2,Assumptions!$D$24,0))),IF(OR(Schedule_Inputs!$C$20="Monthly",Schedule_Inputs!$C$20="Periodic"),IF(AND(36&gt;=Schedule_Inputs!$B$20,MOD(36-Schedule_Inputs!$B$20,Schedule_Inputs!$E$20)=0,(36-Schedule_Inputs!$B$20)/Schedule_Inputs!$E$20&lt;Schedule_Inputs!$D$20),$C20/Schedule_Inputs!$D$20,0),0))))</f>
        <v>0</v>
      </c>
    </row>
    <row r="21" spans="1:40">
      <c r="A21" s="29" t="s">
        <v>251</v>
      </c>
      <c r="B21" s="29">
        <v>3</v>
      </c>
      <c r="C21" s="30">
        <v>21000</v>
      </c>
      <c r="D21" s="31" t="s">
        <v>230</v>
      </c>
      <c r="E21" s="31">
        <f>IF(Schedule_Inputs!$C$21="Blueprint",$C21*IF(1-Schedule_Inputs!$B$21=0,Assumptions!$B$21,IF(1-Schedule_Inputs!$B$21=1,Assumptions!$C$21,IF(1-Schedule_Inputs!$B$21=2,Assumptions!$D$21,0))),IF(Schedule_Inputs!$C$21="Launch",$C21*IF(1-Schedule_Inputs!$B$21=0,Assumptions!$B$22,IF(1-Schedule_Inputs!$B$21=1,Assumptions!$C$22,IF(1-Schedule_Inputs!$B$21=2,Assumptions!$D$22,IF(1-Schedule_Inputs!$B$21=3,Assumptions!$B$23,0)))),IF(Schedule_Inputs!$C$21="Office Setup",$C21*IF(1-Schedule_Inputs!$B$21=0,Assumptions!$B$24,IF(1-Schedule_Inputs!$B$21=1,Assumptions!$C$24,IF(1-Schedule_Inputs!$B$21=2,Assumptions!$D$24,0))),IF(OR(Schedule_Inputs!$C$21="Monthly",Schedule_Inputs!$C$21="Periodic"),IF(AND(1&gt;=Schedule_Inputs!$B$21,MOD(1-Schedule_Inputs!$B$21,Schedule_Inputs!$E$21)=0,(1-Schedule_Inputs!$B$21)/Schedule_Inputs!$E$21&lt;Schedule_Inputs!$D$21),$C21/Schedule_Inputs!$D$21,0),0))))</f>
        <v>0</v>
      </c>
      <c r="F21" s="31">
        <f>IF(Schedule_Inputs!$C$21="Blueprint",$C21*IF(2-Schedule_Inputs!$B$21=0,Assumptions!$B$21,IF(2-Schedule_Inputs!$B$21=1,Assumptions!$C$21,IF(2-Schedule_Inputs!$B$21=2,Assumptions!$D$21,0))),IF(Schedule_Inputs!$C$21="Launch",$C21*IF(2-Schedule_Inputs!$B$21=0,Assumptions!$B$22,IF(2-Schedule_Inputs!$B$21=1,Assumptions!$C$22,IF(2-Schedule_Inputs!$B$21=2,Assumptions!$D$22,IF(2-Schedule_Inputs!$B$21=3,Assumptions!$B$23,0)))),IF(Schedule_Inputs!$C$21="Office Setup",$C21*IF(2-Schedule_Inputs!$B$21=0,Assumptions!$B$24,IF(2-Schedule_Inputs!$B$21=1,Assumptions!$C$24,IF(2-Schedule_Inputs!$B$21=2,Assumptions!$D$24,0))),IF(OR(Schedule_Inputs!$C$21="Monthly",Schedule_Inputs!$C$21="Periodic"),IF(AND(2&gt;=Schedule_Inputs!$B$21,MOD(2-Schedule_Inputs!$B$21,Schedule_Inputs!$E$21)=0,(2-Schedule_Inputs!$B$21)/Schedule_Inputs!$E$21&lt;Schedule_Inputs!$D$21),$C21/Schedule_Inputs!$D$21,0),0))))</f>
        <v>0</v>
      </c>
      <c r="G21" s="31">
        <f>IF(Schedule_Inputs!$C$21="Blueprint",$C21*IF(3-Schedule_Inputs!$B$21=0,Assumptions!$B$21,IF(3-Schedule_Inputs!$B$21=1,Assumptions!$C$21,IF(3-Schedule_Inputs!$B$21=2,Assumptions!$D$21,0))),IF(Schedule_Inputs!$C$21="Launch",$C21*IF(3-Schedule_Inputs!$B$21=0,Assumptions!$B$22,IF(3-Schedule_Inputs!$B$21=1,Assumptions!$C$22,IF(3-Schedule_Inputs!$B$21=2,Assumptions!$D$22,IF(3-Schedule_Inputs!$B$21=3,Assumptions!$B$23,0)))),IF(Schedule_Inputs!$C$21="Office Setup",$C21*IF(3-Schedule_Inputs!$B$21=0,Assumptions!$B$24,IF(3-Schedule_Inputs!$B$21=1,Assumptions!$C$24,IF(3-Schedule_Inputs!$B$21=2,Assumptions!$D$24,0))),IF(OR(Schedule_Inputs!$C$21="Monthly",Schedule_Inputs!$C$21="Periodic"),IF(AND(3&gt;=Schedule_Inputs!$B$21,MOD(3-Schedule_Inputs!$B$21,Schedule_Inputs!$E$21)=0,(3-Schedule_Inputs!$B$21)/Schedule_Inputs!$E$21&lt;Schedule_Inputs!$D$21),$C21/Schedule_Inputs!$D$21,0),0))))</f>
        <v>0</v>
      </c>
      <c r="H21" s="31">
        <f>IF(Schedule_Inputs!$C$21="Blueprint",$C21*IF(4-Schedule_Inputs!$B$21=0,Assumptions!$B$21,IF(4-Schedule_Inputs!$B$21=1,Assumptions!$C$21,IF(4-Schedule_Inputs!$B$21=2,Assumptions!$D$21,0))),IF(Schedule_Inputs!$C$21="Launch",$C21*IF(4-Schedule_Inputs!$B$21=0,Assumptions!$B$22,IF(4-Schedule_Inputs!$B$21=1,Assumptions!$C$22,IF(4-Schedule_Inputs!$B$21=2,Assumptions!$D$22,IF(4-Schedule_Inputs!$B$21=3,Assumptions!$B$23,0)))),IF(Schedule_Inputs!$C$21="Office Setup",$C21*IF(4-Schedule_Inputs!$B$21=0,Assumptions!$B$24,IF(4-Schedule_Inputs!$B$21=1,Assumptions!$C$24,IF(4-Schedule_Inputs!$B$21=2,Assumptions!$D$24,0))),IF(OR(Schedule_Inputs!$C$21="Monthly",Schedule_Inputs!$C$21="Periodic"),IF(AND(4&gt;=Schedule_Inputs!$B$21,MOD(4-Schedule_Inputs!$B$21,Schedule_Inputs!$E$21)=0,(4-Schedule_Inputs!$B$21)/Schedule_Inputs!$E$21&lt;Schedule_Inputs!$D$21),$C21/Schedule_Inputs!$D$21,0),0))))</f>
        <v>0</v>
      </c>
      <c r="I21" s="31">
        <f>IF(Schedule_Inputs!$C$21="Blueprint",$C21*IF(5-Schedule_Inputs!$B$21=0,Assumptions!$B$21,IF(5-Schedule_Inputs!$B$21=1,Assumptions!$C$21,IF(5-Schedule_Inputs!$B$21=2,Assumptions!$D$21,0))),IF(Schedule_Inputs!$C$21="Launch",$C21*IF(5-Schedule_Inputs!$B$21=0,Assumptions!$B$22,IF(5-Schedule_Inputs!$B$21=1,Assumptions!$C$22,IF(5-Schedule_Inputs!$B$21=2,Assumptions!$D$22,IF(5-Schedule_Inputs!$B$21=3,Assumptions!$B$23,0)))),IF(Schedule_Inputs!$C$21="Office Setup",$C21*IF(5-Schedule_Inputs!$B$21=0,Assumptions!$B$24,IF(5-Schedule_Inputs!$B$21=1,Assumptions!$C$24,IF(5-Schedule_Inputs!$B$21=2,Assumptions!$D$24,0))),IF(OR(Schedule_Inputs!$C$21="Monthly",Schedule_Inputs!$C$21="Periodic"),IF(AND(5&gt;=Schedule_Inputs!$B$21,MOD(5-Schedule_Inputs!$B$21,Schedule_Inputs!$E$21)=0,(5-Schedule_Inputs!$B$21)/Schedule_Inputs!$E$21&lt;Schedule_Inputs!$D$21),$C21/Schedule_Inputs!$D$21,0),0))))</f>
        <v>0</v>
      </c>
      <c r="J21" s="31">
        <f>IF(Schedule_Inputs!$C$21="Blueprint",$C21*IF(6-Schedule_Inputs!$B$21=0,Assumptions!$B$21,IF(6-Schedule_Inputs!$B$21=1,Assumptions!$C$21,IF(6-Schedule_Inputs!$B$21=2,Assumptions!$D$21,0))),IF(Schedule_Inputs!$C$21="Launch",$C21*IF(6-Schedule_Inputs!$B$21=0,Assumptions!$B$22,IF(6-Schedule_Inputs!$B$21=1,Assumptions!$C$22,IF(6-Schedule_Inputs!$B$21=2,Assumptions!$D$22,IF(6-Schedule_Inputs!$B$21=3,Assumptions!$B$23,0)))),IF(Schedule_Inputs!$C$21="Office Setup",$C21*IF(6-Schedule_Inputs!$B$21=0,Assumptions!$B$24,IF(6-Schedule_Inputs!$B$21=1,Assumptions!$C$24,IF(6-Schedule_Inputs!$B$21=2,Assumptions!$D$24,0))),IF(OR(Schedule_Inputs!$C$21="Monthly",Schedule_Inputs!$C$21="Periodic"),IF(AND(6&gt;=Schedule_Inputs!$B$21,MOD(6-Schedule_Inputs!$B$21,Schedule_Inputs!$E$21)=0,(6-Schedule_Inputs!$B$21)/Schedule_Inputs!$E$21&lt;Schedule_Inputs!$D$21),$C21/Schedule_Inputs!$D$21,0),0))))</f>
        <v>0</v>
      </c>
      <c r="K21" s="31">
        <f>IF(Schedule_Inputs!$C$21="Blueprint",$C21*IF(7-Schedule_Inputs!$B$21=0,Assumptions!$B$21,IF(7-Schedule_Inputs!$B$21=1,Assumptions!$C$21,IF(7-Schedule_Inputs!$B$21=2,Assumptions!$D$21,0))),IF(Schedule_Inputs!$C$21="Launch",$C21*IF(7-Schedule_Inputs!$B$21=0,Assumptions!$B$22,IF(7-Schedule_Inputs!$B$21=1,Assumptions!$C$22,IF(7-Schedule_Inputs!$B$21=2,Assumptions!$D$22,IF(7-Schedule_Inputs!$B$21=3,Assumptions!$B$23,0)))),IF(Schedule_Inputs!$C$21="Office Setup",$C21*IF(7-Schedule_Inputs!$B$21=0,Assumptions!$B$24,IF(7-Schedule_Inputs!$B$21=1,Assumptions!$C$24,IF(7-Schedule_Inputs!$B$21=2,Assumptions!$D$24,0))),IF(OR(Schedule_Inputs!$C$21="Monthly",Schedule_Inputs!$C$21="Periodic"),IF(AND(7&gt;=Schedule_Inputs!$B$21,MOD(7-Schedule_Inputs!$B$21,Schedule_Inputs!$E$21)=0,(7-Schedule_Inputs!$B$21)/Schedule_Inputs!$E$21&lt;Schedule_Inputs!$D$21),$C21/Schedule_Inputs!$D$21,0),0))))</f>
        <v>0</v>
      </c>
      <c r="L21" s="31">
        <f>IF(Schedule_Inputs!$C$21="Blueprint",$C21*IF(8-Schedule_Inputs!$B$21=0,Assumptions!$B$21,IF(8-Schedule_Inputs!$B$21=1,Assumptions!$C$21,IF(8-Schedule_Inputs!$B$21=2,Assumptions!$D$21,0))),IF(Schedule_Inputs!$C$21="Launch",$C21*IF(8-Schedule_Inputs!$B$21=0,Assumptions!$B$22,IF(8-Schedule_Inputs!$B$21=1,Assumptions!$C$22,IF(8-Schedule_Inputs!$B$21=2,Assumptions!$D$22,IF(8-Schedule_Inputs!$B$21=3,Assumptions!$B$23,0)))),IF(Schedule_Inputs!$C$21="Office Setup",$C21*IF(8-Schedule_Inputs!$B$21=0,Assumptions!$B$24,IF(8-Schedule_Inputs!$B$21=1,Assumptions!$C$24,IF(8-Schedule_Inputs!$B$21=2,Assumptions!$D$24,0))),IF(OR(Schedule_Inputs!$C$21="Monthly",Schedule_Inputs!$C$21="Periodic"),IF(AND(8&gt;=Schedule_Inputs!$B$21,MOD(8-Schedule_Inputs!$B$21,Schedule_Inputs!$E$21)=0,(8-Schedule_Inputs!$B$21)/Schedule_Inputs!$E$21&lt;Schedule_Inputs!$D$21),$C21/Schedule_Inputs!$D$21,0),0))))</f>
        <v>0</v>
      </c>
      <c r="M21" s="31">
        <f>IF(Schedule_Inputs!$C$21="Blueprint",$C21*IF(9-Schedule_Inputs!$B$21=0,Assumptions!$B$21,IF(9-Schedule_Inputs!$B$21=1,Assumptions!$C$21,IF(9-Schedule_Inputs!$B$21=2,Assumptions!$D$21,0))),IF(Schedule_Inputs!$C$21="Launch",$C21*IF(9-Schedule_Inputs!$B$21=0,Assumptions!$B$22,IF(9-Schedule_Inputs!$B$21=1,Assumptions!$C$22,IF(9-Schedule_Inputs!$B$21=2,Assumptions!$D$22,IF(9-Schedule_Inputs!$B$21=3,Assumptions!$B$23,0)))),IF(Schedule_Inputs!$C$21="Office Setup",$C21*IF(9-Schedule_Inputs!$B$21=0,Assumptions!$B$24,IF(9-Schedule_Inputs!$B$21=1,Assumptions!$C$24,IF(9-Schedule_Inputs!$B$21=2,Assumptions!$D$24,0))),IF(OR(Schedule_Inputs!$C$21="Monthly",Schedule_Inputs!$C$21="Periodic"),IF(AND(9&gt;=Schedule_Inputs!$B$21,MOD(9-Schedule_Inputs!$B$21,Schedule_Inputs!$E$21)=0,(9-Schedule_Inputs!$B$21)/Schedule_Inputs!$E$21&lt;Schedule_Inputs!$D$21),$C21/Schedule_Inputs!$D$21,0),0))))</f>
        <v>0</v>
      </c>
      <c r="N21" s="31">
        <f>IF(Schedule_Inputs!$C$21="Blueprint",$C21*IF(10-Schedule_Inputs!$B$21=0,Assumptions!$B$21,IF(10-Schedule_Inputs!$B$21=1,Assumptions!$C$21,IF(10-Schedule_Inputs!$B$21=2,Assumptions!$D$21,0))),IF(Schedule_Inputs!$C$21="Launch",$C21*IF(10-Schedule_Inputs!$B$21=0,Assumptions!$B$22,IF(10-Schedule_Inputs!$B$21=1,Assumptions!$C$22,IF(10-Schedule_Inputs!$B$21=2,Assumptions!$D$22,IF(10-Schedule_Inputs!$B$21=3,Assumptions!$B$23,0)))),IF(Schedule_Inputs!$C$21="Office Setup",$C21*IF(10-Schedule_Inputs!$B$21=0,Assumptions!$B$24,IF(10-Schedule_Inputs!$B$21=1,Assumptions!$C$24,IF(10-Schedule_Inputs!$B$21=2,Assumptions!$D$24,0))),IF(OR(Schedule_Inputs!$C$21="Monthly",Schedule_Inputs!$C$21="Periodic"),IF(AND(10&gt;=Schedule_Inputs!$B$21,MOD(10-Schedule_Inputs!$B$21,Schedule_Inputs!$E$21)=0,(10-Schedule_Inputs!$B$21)/Schedule_Inputs!$E$21&lt;Schedule_Inputs!$D$21),$C21/Schedule_Inputs!$D$21,0),0))))</f>
        <v>0</v>
      </c>
      <c r="O21" s="31">
        <f>IF(Schedule_Inputs!$C$21="Blueprint",$C21*IF(11-Schedule_Inputs!$B$21=0,Assumptions!$B$21,IF(11-Schedule_Inputs!$B$21=1,Assumptions!$C$21,IF(11-Schedule_Inputs!$B$21=2,Assumptions!$D$21,0))),IF(Schedule_Inputs!$C$21="Launch",$C21*IF(11-Schedule_Inputs!$B$21=0,Assumptions!$B$22,IF(11-Schedule_Inputs!$B$21=1,Assumptions!$C$22,IF(11-Schedule_Inputs!$B$21=2,Assumptions!$D$22,IF(11-Schedule_Inputs!$B$21=3,Assumptions!$B$23,0)))),IF(Schedule_Inputs!$C$21="Office Setup",$C21*IF(11-Schedule_Inputs!$B$21=0,Assumptions!$B$24,IF(11-Schedule_Inputs!$B$21=1,Assumptions!$C$24,IF(11-Schedule_Inputs!$B$21=2,Assumptions!$D$24,0))),IF(OR(Schedule_Inputs!$C$21="Monthly",Schedule_Inputs!$C$21="Periodic"),IF(AND(11&gt;=Schedule_Inputs!$B$21,MOD(11-Schedule_Inputs!$B$21,Schedule_Inputs!$E$21)=0,(11-Schedule_Inputs!$B$21)/Schedule_Inputs!$E$21&lt;Schedule_Inputs!$D$21),$C21/Schedule_Inputs!$D$21,0),0))))</f>
        <v>0</v>
      </c>
      <c r="P21" s="31">
        <f>IF(Schedule_Inputs!$C$21="Blueprint",$C21*IF(12-Schedule_Inputs!$B$21=0,Assumptions!$B$21,IF(12-Schedule_Inputs!$B$21=1,Assumptions!$C$21,IF(12-Schedule_Inputs!$B$21=2,Assumptions!$D$21,0))),IF(Schedule_Inputs!$C$21="Launch",$C21*IF(12-Schedule_Inputs!$B$21=0,Assumptions!$B$22,IF(12-Schedule_Inputs!$B$21=1,Assumptions!$C$22,IF(12-Schedule_Inputs!$B$21=2,Assumptions!$D$22,IF(12-Schedule_Inputs!$B$21=3,Assumptions!$B$23,0)))),IF(Schedule_Inputs!$C$21="Office Setup",$C21*IF(12-Schedule_Inputs!$B$21=0,Assumptions!$B$24,IF(12-Schedule_Inputs!$B$21=1,Assumptions!$C$24,IF(12-Schedule_Inputs!$B$21=2,Assumptions!$D$24,0))),IF(OR(Schedule_Inputs!$C$21="Monthly",Schedule_Inputs!$C$21="Periodic"),IF(AND(12&gt;=Schedule_Inputs!$B$21,MOD(12-Schedule_Inputs!$B$21,Schedule_Inputs!$E$21)=0,(12-Schedule_Inputs!$B$21)/Schedule_Inputs!$E$21&lt;Schedule_Inputs!$D$21),$C21/Schedule_Inputs!$D$21,0),0))))</f>
        <v>0</v>
      </c>
      <c r="Q21" s="31">
        <f>IF(Schedule_Inputs!$C$21="Blueprint",$C21*IF(13-Schedule_Inputs!$B$21=0,Assumptions!$B$21,IF(13-Schedule_Inputs!$B$21=1,Assumptions!$C$21,IF(13-Schedule_Inputs!$B$21=2,Assumptions!$D$21,0))),IF(Schedule_Inputs!$C$21="Launch",$C21*IF(13-Schedule_Inputs!$B$21=0,Assumptions!$B$22,IF(13-Schedule_Inputs!$B$21=1,Assumptions!$C$22,IF(13-Schedule_Inputs!$B$21=2,Assumptions!$D$22,IF(13-Schedule_Inputs!$B$21=3,Assumptions!$B$23,0)))),IF(Schedule_Inputs!$C$21="Office Setup",$C21*IF(13-Schedule_Inputs!$B$21=0,Assumptions!$B$24,IF(13-Schedule_Inputs!$B$21=1,Assumptions!$C$24,IF(13-Schedule_Inputs!$B$21=2,Assumptions!$D$24,0))),IF(OR(Schedule_Inputs!$C$21="Monthly",Schedule_Inputs!$C$21="Periodic"),IF(AND(13&gt;=Schedule_Inputs!$B$21,MOD(13-Schedule_Inputs!$B$21,Schedule_Inputs!$E$21)=0,(13-Schedule_Inputs!$B$21)/Schedule_Inputs!$E$21&lt;Schedule_Inputs!$D$21),$C21/Schedule_Inputs!$D$21,0),0))))</f>
        <v>0</v>
      </c>
      <c r="R21" s="31">
        <f>IF(Schedule_Inputs!$C$21="Blueprint",$C21*IF(14-Schedule_Inputs!$B$21=0,Assumptions!$B$21,IF(14-Schedule_Inputs!$B$21=1,Assumptions!$C$21,IF(14-Schedule_Inputs!$B$21=2,Assumptions!$D$21,0))),IF(Schedule_Inputs!$C$21="Launch",$C21*IF(14-Schedule_Inputs!$B$21=0,Assumptions!$B$22,IF(14-Schedule_Inputs!$B$21=1,Assumptions!$C$22,IF(14-Schedule_Inputs!$B$21=2,Assumptions!$D$22,IF(14-Schedule_Inputs!$B$21=3,Assumptions!$B$23,0)))),IF(Schedule_Inputs!$C$21="Office Setup",$C21*IF(14-Schedule_Inputs!$B$21=0,Assumptions!$B$24,IF(14-Schedule_Inputs!$B$21=1,Assumptions!$C$24,IF(14-Schedule_Inputs!$B$21=2,Assumptions!$D$24,0))),IF(OR(Schedule_Inputs!$C$21="Monthly",Schedule_Inputs!$C$21="Periodic"),IF(AND(14&gt;=Schedule_Inputs!$B$21,MOD(14-Schedule_Inputs!$B$21,Schedule_Inputs!$E$21)=0,(14-Schedule_Inputs!$B$21)/Schedule_Inputs!$E$21&lt;Schedule_Inputs!$D$21),$C21/Schedule_Inputs!$D$21,0),0))))</f>
        <v>0</v>
      </c>
      <c r="S21" s="31">
        <f>IF(Schedule_Inputs!$C$21="Blueprint",$C21*IF(15-Schedule_Inputs!$B$21=0,Assumptions!$B$21,IF(15-Schedule_Inputs!$B$21=1,Assumptions!$C$21,IF(15-Schedule_Inputs!$B$21=2,Assumptions!$D$21,0))),IF(Schedule_Inputs!$C$21="Launch",$C21*IF(15-Schedule_Inputs!$B$21=0,Assumptions!$B$22,IF(15-Schedule_Inputs!$B$21=1,Assumptions!$C$22,IF(15-Schedule_Inputs!$B$21=2,Assumptions!$D$22,IF(15-Schedule_Inputs!$B$21=3,Assumptions!$B$23,0)))),IF(Schedule_Inputs!$C$21="Office Setup",$C21*IF(15-Schedule_Inputs!$B$21=0,Assumptions!$B$24,IF(15-Schedule_Inputs!$B$21=1,Assumptions!$C$24,IF(15-Schedule_Inputs!$B$21=2,Assumptions!$D$24,0))),IF(OR(Schedule_Inputs!$C$21="Monthly",Schedule_Inputs!$C$21="Periodic"),IF(AND(15&gt;=Schedule_Inputs!$B$21,MOD(15-Schedule_Inputs!$B$21,Schedule_Inputs!$E$21)=0,(15-Schedule_Inputs!$B$21)/Schedule_Inputs!$E$21&lt;Schedule_Inputs!$D$21),$C21/Schedule_Inputs!$D$21,0),0))))</f>
        <v>0</v>
      </c>
      <c r="T21" s="31">
        <f>IF(Schedule_Inputs!$C$21="Blueprint",$C21*IF(16-Schedule_Inputs!$B$21=0,Assumptions!$B$21,IF(16-Schedule_Inputs!$B$21=1,Assumptions!$C$21,IF(16-Schedule_Inputs!$B$21=2,Assumptions!$D$21,0))),IF(Schedule_Inputs!$C$21="Launch",$C21*IF(16-Schedule_Inputs!$B$21=0,Assumptions!$B$22,IF(16-Schedule_Inputs!$B$21=1,Assumptions!$C$22,IF(16-Schedule_Inputs!$B$21=2,Assumptions!$D$22,IF(16-Schedule_Inputs!$B$21=3,Assumptions!$B$23,0)))),IF(Schedule_Inputs!$C$21="Office Setup",$C21*IF(16-Schedule_Inputs!$B$21=0,Assumptions!$B$24,IF(16-Schedule_Inputs!$B$21=1,Assumptions!$C$24,IF(16-Schedule_Inputs!$B$21=2,Assumptions!$D$24,0))),IF(OR(Schedule_Inputs!$C$21="Monthly",Schedule_Inputs!$C$21="Periodic"),IF(AND(16&gt;=Schedule_Inputs!$B$21,MOD(16-Schedule_Inputs!$B$21,Schedule_Inputs!$E$21)=0,(16-Schedule_Inputs!$B$21)/Schedule_Inputs!$E$21&lt;Schedule_Inputs!$D$21),$C21/Schedule_Inputs!$D$21,0),0))))</f>
        <v>0</v>
      </c>
      <c r="U21" s="31">
        <f>IF(Schedule_Inputs!$C$21="Blueprint",$C21*IF(17-Schedule_Inputs!$B$21=0,Assumptions!$B$21,IF(17-Schedule_Inputs!$B$21=1,Assumptions!$C$21,IF(17-Schedule_Inputs!$B$21=2,Assumptions!$D$21,0))),IF(Schedule_Inputs!$C$21="Launch",$C21*IF(17-Schedule_Inputs!$B$21=0,Assumptions!$B$22,IF(17-Schedule_Inputs!$B$21=1,Assumptions!$C$22,IF(17-Schedule_Inputs!$B$21=2,Assumptions!$D$22,IF(17-Schedule_Inputs!$B$21=3,Assumptions!$B$23,0)))),IF(Schedule_Inputs!$C$21="Office Setup",$C21*IF(17-Schedule_Inputs!$B$21=0,Assumptions!$B$24,IF(17-Schedule_Inputs!$B$21=1,Assumptions!$C$24,IF(17-Schedule_Inputs!$B$21=2,Assumptions!$D$24,0))),IF(OR(Schedule_Inputs!$C$21="Monthly",Schedule_Inputs!$C$21="Periodic"),IF(AND(17&gt;=Schedule_Inputs!$B$21,MOD(17-Schedule_Inputs!$B$21,Schedule_Inputs!$E$21)=0,(17-Schedule_Inputs!$B$21)/Schedule_Inputs!$E$21&lt;Schedule_Inputs!$D$21),$C21/Schedule_Inputs!$D$21,0),0))))</f>
        <v>0</v>
      </c>
      <c r="V21" s="31">
        <f>IF(Schedule_Inputs!$C$21="Blueprint",$C21*IF(18-Schedule_Inputs!$B$21=0,Assumptions!$B$21,IF(18-Schedule_Inputs!$B$21=1,Assumptions!$C$21,IF(18-Schedule_Inputs!$B$21=2,Assumptions!$D$21,0))),IF(Schedule_Inputs!$C$21="Launch",$C21*IF(18-Schedule_Inputs!$B$21=0,Assumptions!$B$22,IF(18-Schedule_Inputs!$B$21=1,Assumptions!$C$22,IF(18-Schedule_Inputs!$B$21=2,Assumptions!$D$22,IF(18-Schedule_Inputs!$B$21=3,Assumptions!$B$23,0)))),IF(Schedule_Inputs!$C$21="Office Setup",$C21*IF(18-Schedule_Inputs!$B$21=0,Assumptions!$B$24,IF(18-Schedule_Inputs!$B$21=1,Assumptions!$C$24,IF(18-Schedule_Inputs!$B$21=2,Assumptions!$D$24,0))),IF(OR(Schedule_Inputs!$C$21="Monthly",Schedule_Inputs!$C$21="Periodic"),IF(AND(18&gt;=Schedule_Inputs!$B$21,MOD(18-Schedule_Inputs!$B$21,Schedule_Inputs!$E$21)=0,(18-Schedule_Inputs!$B$21)/Schedule_Inputs!$E$21&lt;Schedule_Inputs!$D$21),$C21/Schedule_Inputs!$D$21,0),0))))</f>
        <v>0</v>
      </c>
      <c r="W21" s="31">
        <f>IF(Schedule_Inputs!$C$21="Blueprint",$C21*IF(19-Schedule_Inputs!$B$21=0,Assumptions!$B$21,IF(19-Schedule_Inputs!$B$21=1,Assumptions!$C$21,IF(19-Schedule_Inputs!$B$21=2,Assumptions!$D$21,0))),IF(Schedule_Inputs!$C$21="Launch",$C21*IF(19-Schedule_Inputs!$B$21=0,Assumptions!$B$22,IF(19-Schedule_Inputs!$B$21=1,Assumptions!$C$22,IF(19-Schedule_Inputs!$B$21=2,Assumptions!$D$22,IF(19-Schedule_Inputs!$B$21=3,Assumptions!$B$23,0)))),IF(Schedule_Inputs!$C$21="Office Setup",$C21*IF(19-Schedule_Inputs!$B$21=0,Assumptions!$B$24,IF(19-Schedule_Inputs!$B$21=1,Assumptions!$C$24,IF(19-Schedule_Inputs!$B$21=2,Assumptions!$D$24,0))),IF(OR(Schedule_Inputs!$C$21="Monthly",Schedule_Inputs!$C$21="Periodic"),IF(AND(19&gt;=Schedule_Inputs!$B$21,MOD(19-Schedule_Inputs!$B$21,Schedule_Inputs!$E$21)=0,(19-Schedule_Inputs!$B$21)/Schedule_Inputs!$E$21&lt;Schedule_Inputs!$D$21),$C21/Schedule_Inputs!$D$21,0),0))))</f>
        <v>0</v>
      </c>
      <c r="X21" s="31">
        <f>IF(Schedule_Inputs!$C$21="Blueprint",$C21*IF(20-Schedule_Inputs!$B$21=0,Assumptions!$B$21,IF(20-Schedule_Inputs!$B$21=1,Assumptions!$C$21,IF(20-Schedule_Inputs!$B$21=2,Assumptions!$D$21,0))),IF(Schedule_Inputs!$C$21="Launch",$C21*IF(20-Schedule_Inputs!$B$21=0,Assumptions!$B$22,IF(20-Schedule_Inputs!$B$21=1,Assumptions!$C$22,IF(20-Schedule_Inputs!$B$21=2,Assumptions!$D$22,IF(20-Schedule_Inputs!$B$21=3,Assumptions!$B$23,0)))),IF(Schedule_Inputs!$C$21="Office Setup",$C21*IF(20-Schedule_Inputs!$B$21=0,Assumptions!$B$24,IF(20-Schedule_Inputs!$B$21=1,Assumptions!$C$24,IF(20-Schedule_Inputs!$B$21=2,Assumptions!$D$24,0))),IF(OR(Schedule_Inputs!$C$21="Monthly",Schedule_Inputs!$C$21="Periodic"),IF(AND(20&gt;=Schedule_Inputs!$B$21,MOD(20-Schedule_Inputs!$B$21,Schedule_Inputs!$E$21)=0,(20-Schedule_Inputs!$B$21)/Schedule_Inputs!$E$21&lt;Schedule_Inputs!$D$21),$C21/Schedule_Inputs!$D$21,0),0))))</f>
        <v>0</v>
      </c>
      <c r="Y21" s="31">
        <f>IF(Schedule_Inputs!$C$21="Blueprint",$C21*IF(21-Schedule_Inputs!$B$21=0,Assumptions!$B$21,IF(21-Schedule_Inputs!$B$21=1,Assumptions!$C$21,IF(21-Schedule_Inputs!$B$21=2,Assumptions!$D$21,0))),IF(Schedule_Inputs!$C$21="Launch",$C21*IF(21-Schedule_Inputs!$B$21=0,Assumptions!$B$22,IF(21-Schedule_Inputs!$B$21=1,Assumptions!$C$22,IF(21-Schedule_Inputs!$B$21=2,Assumptions!$D$22,IF(21-Schedule_Inputs!$B$21=3,Assumptions!$B$23,0)))),IF(Schedule_Inputs!$C$21="Office Setup",$C21*IF(21-Schedule_Inputs!$B$21=0,Assumptions!$B$24,IF(21-Schedule_Inputs!$B$21=1,Assumptions!$C$24,IF(21-Schedule_Inputs!$B$21=2,Assumptions!$D$24,0))),IF(OR(Schedule_Inputs!$C$21="Monthly",Schedule_Inputs!$C$21="Periodic"),IF(AND(21&gt;=Schedule_Inputs!$B$21,MOD(21-Schedule_Inputs!$B$21,Schedule_Inputs!$E$21)=0,(21-Schedule_Inputs!$B$21)/Schedule_Inputs!$E$21&lt;Schedule_Inputs!$D$21),$C21/Schedule_Inputs!$D$21,0),0))))</f>
        <v>0</v>
      </c>
      <c r="Z21" s="31">
        <f>IF(Schedule_Inputs!$C$21="Blueprint",$C21*IF(22-Schedule_Inputs!$B$21=0,Assumptions!$B$21,IF(22-Schedule_Inputs!$B$21=1,Assumptions!$C$21,IF(22-Schedule_Inputs!$B$21=2,Assumptions!$D$21,0))),IF(Schedule_Inputs!$C$21="Launch",$C21*IF(22-Schedule_Inputs!$B$21=0,Assumptions!$B$22,IF(22-Schedule_Inputs!$B$21=1,Assumptions!$C$22,IF(22-Schedule_Inputs!$B$21=2,Assumptions!$D$22,IF(22-Schedule_Inputs!$B$21=3,Assumptions!$B$23,0)))),IF(Schedule_Inputs!$C$21="Office Setup",$C21*IF(22-Schedule_Inputs!$B$21=0,Assumptions!$B$24,IF(22-Schedule_Inputs!$B$21=1,Assumptions!$C$24,IF(22-Schedule_Inputs!$B$21=2,Assumptions!$D$24,0))),IF(OR(Schedule_Inputs!$C$21="Monthly",Schedule_Inputs!$C$21="Periodic"),IF(AND(22&gt;=Schedule_Inputs!$B$21,MOD(22-Schedule_Inputs!$B$21,Schedule_Inputs!$E$21)=0,(22-Schedule_Inputs!$B$21)/Schedule_Inputs!$E$21&lt;Schedule_Inputs!$D$21),$C21/Schedule_Inputs!$D$21,0),0))))</f>
        <v>0</v>
      </c>
      <c r="AA21" s="31">
        <f>IF(Schedule_Inputs!$C$21="Blueprint",$C21*IF(23-Schedule_Inputs!$B$21=0,Assumptions!$B$21,IF(23-Schedule_Inputs!$B$21=1,Assumptions!$C$21,IF(23-Schedule_Inputs!$B$21=2,Assumptions!$D$21,0))),IF(Schedule_Inputs!$C$21="Launch",$C21*IF(23-Schedule_Inputs!$B$21=0,Assumptions!$B$22,IF(23-Schedule_Inputs!$B$21=1,Assumptions!$C$22,IF(23-Schedule_Inputs!$B$21=2,Assumptions!$D$22,IF(23-Schedule_Inputs!$B$21=3,Assumptions!$B$23,0)))),IF(Schedule_Inputs!$C$21="Office Setup",$C21*IF(23-Schedule_Inputs!$B$21=0,Assumptions!$B$24,IF(23-Schedule_Inputs!$B$21=1,Assumptions!$C$24,IF(23-Schedule_Inputs!$B$21=2,Assumptions!$D$24,0))),IF(OR(Schedule_Inputs!$C$21="Monthly",Schedule_Inputs!$C$21="Periodic"),IF(AND(23&gt;=Schedule_Inputs!$B$21,MOD(23-Schedule_Inputs!$B$21,Schedule_Inputs!$E$21)=0,(23-Schedule_Inputs!$B$21)/Schedule_Inputs!$E$21&lt;Schedule_Inputs!$D$21),$C21/Schedule_Inputs!$D$21,0),0))))</f>
        <v>0</v>
      </c>
      <c r="AB21" s="31">
        <f>IF(Schedule_Inputs!$C$21="Blueprint",$C21*IF(24-Schedule_Inputs!$B$21=0,Assumptions!$B$21,IF(24-Schedule_Inputs!$B$21=1,Assumptions!$C$21,IF(24-Schedule_Inputs!$B$21=2,Assumptions!$D$21,0))),IF(Schedule_Inputs!$C$21="Launch",$C21*IF(24-Schedule_Inputs!$B$21=0,Assumptions!$B$22,IF(24-Schedule_Inputs!$B$21=1,Assumptions!$C$22,IF(24-Schedule_Inputs!$B$21=2,Assumptions!$D$22,IF(24-Schedule_Inputs!$B$21=3,Assumptions!$B$23,0)))),IF(Schedule_Inputs!$C$21="Office Setup",$C21*IF(24-Schedule_Inputs!$B$21=0,Assumptions!$B$24,IF(24-Schedule_Inputs!$B$21=1,Assumptions!$C$24,IF(24-Schedule_Inputs!$B$21=2,Assumptions!$D$24,0))),IF(OR(Schedule_Inputs!$C$21="Monthly",Schedule_Inputs!$C$21="Periodic"),IF(AND(24&gt;=Schedule_Inputs!$B$21,MOD(24-Schedule_Inputs!$B$21,Schedule_Inputs!$E$21)=0,(24-Schedule_Inputs!$B$21)/Schedule_Inputs!$E$21&lt;Schedule_Inputs!$D$21),$C21/Schedule_Inputs!$D$21,0),0))))</f>
        <v>0</v>
      </c>
      <c r="AC21" s="31">
        <f>IF(Schedule_Inputs!$C$21="Blueprint",$C21*IF(25-Schedule_Inputs!$B$21=0,Assumptions!$B$21,IF(25-Schedule_Inputs!$B$21=1,Assumptions!$C$21,IF(25-Schedule_Inputs!$B$21=2,Assumptions!$D$21,0))),IF(Schedule_Inputs!$C$21="Launch",$C21*IF(25-Schedule_Inputs!$B$21=0,Assumptions!$B$22,IF(25-Schedule_Inputs!$B$21=1,Assumptions!$C$22,IF(25-Schedule_Inputs!$B$21=2,Assumptions!$D$22,IF(25-Schedule_Inputs!$B$21=3,Assumptions!$B$23,0)))),IF(Schedule_Inputs!$C$21="Office Setup",$C21*IF(25-Schedule_Inputs!$B$21=0,Assumptions!$B$24,IF(25-Schedule_Inputs!$B$21=1,Assumptions!$C$24,IF(25-Schedule_Inputs!$B$21=2,Assumptions!$D$24,0))),IF(OR(Schedule_Inputs!$C$21="Monthly",Schedule_Inputs!$C$21="Periodic"),IF(AND(25&gt;=Schedule_Inputs!$B$21,MOD(25-Schedule_Inputs!$B$21,Schedule_Inputs!$E$21)=0,(25-Schedule_Inputs!$B$21)/Schedule_Inputs!$E$21&lt;Schedule_Inputs!$D$21),$C21/Schedule_Inputs!$D$21,0),0))))</f>
        <v>0</v>
      </c>
      <c r="AD21" s="31">
        <f>IF(Schedule_Inputs!$C$21="Blueprint",$C21*IF(26-Schedule_Inputs!$B$21=0,Assumptions!$B$21,IF(26-Schedule_Inputs!$B$21=1,Assumptions!$C$21,IF(26-Schedule_Inputs!$B$21=2,Assumptions!$D$21,0))),IF(Schedule_Inputs!$C$21="Launch",$C21*IF(26-Schedule_Inputs!$B$21=0,Assumptions!$B$22,IF(26-Schedule_Inputs!$B$21=1,Assumptions!$C$22,IF(26-Schedule_Inputs!$B$21=2,Assumptions!$D$22,IF(26-Schedule_Inputs!$B$21=3,Assumptions!$B$23,0)))),IF(Schedule_Inputs!$C$21="Office Setup",$C21*IF(26-Schedule_Inputs!$B$21=0,Assumptions!$B$24,IF(26-Schedule_Inputs!$B$21=1,Assumptions!$C$24,IF(26-Schedule_Inputs!$B$21=2,Assumptions!$D$24,0))),IF(OR(Schedule_Inputs!$C$21="Monthly",Schedule_Inputs!$C$21="Periodic"),IF(AND(26&gt;=Schedule_Inputs!$B$21,MOD(26-Schedule_Inputs!$B$21,Schedule_Inputs!$E$21)=0,(26-Schedule_Inputs!$B$21)/Schedule_Inputs!$E$21&lt;Schedule_Inputs!$D$21),$C21/Schedule_Inputs!$D$21,0),0))))</f>
        <v>0</v>
      </c>
      <c r="AE21" s="31">
        <f>IF(Schedule_Inputs!$C$21="Blueprint",$C21*IF(27-Schedule_Inputs!$B$21=0,Assumptions!$B$21,IF(27-Schedule_Inputs!$B$21=1,Assumptions!$C$21,IF(27-Schedule_Inputs!$B$21=2,Assumptions!$D$21,0))),IF(Schedule_Inputs!$C$21="Launch",$C21*IF(27-Schedule_Inputs!$B$21=0,Assumptions!$B$22,IF(27-Schedule_Inputs!$B$21=1,Assumptions!$C$22,IF(27-Schedule_Inputs!$B$21=2,Assumptions!$D$22,IF(27-Schedule_Inputs!$B$21=3,Assumptions!$B$23,0)))),IF(Schedule_Inputs!$C$21="Office Setup",$C21*IF(27-Schedule_Inputs!$B$21=0,Assumptions!$B$24,IF(27-Schedule_Inputs!$B$21=1,Assumptions!$C$24,IF(27-Schedule_Inputs!$B$21=2,Assumptions!$D$24,0))),IF(OR(Schedule_Inputs!$C$21="Monthly",Schedule_Inputs!$C$21="Periodic"),IF(AND(27&gt;=Schedule_Inputs!$B$21,MOD(27-Schedule_Inputs!$B$21,Schedule_Inputs!$E$21)=0,(27-Schedule_Inputs!$B$21)/Schedule_Inputs!$E$21&lt;Schedule_Inputs!$D$21),$C21/Schedule_Inputs!$D$21,0),0))))</f>
        <v>0</v>
      </c>
      <c r="AF21" s="31">
        <f>IF(Schedule_Inputs!$C$21="Blueprint",$C21*IF(28-Schedule_Inputs!$B$21=0,Assumptions!$B$21,IF(28-Schedule_Inputs!$B$21=1,Assumptions!$C$21,IF(28-Schedule_Inputs!$B$21=2,Assumptions!$D$21,0))),IF(Schedule_Inputs!$C$21="Launch",$C21*IF(28-Schedule_Inputs!$B$21=0,Assumptions!$B$22,IF(28-Schedule_Inputs!$B$21=1,Assumptions!$C$22,IF(28-Schedule_Inputs!$B$21=2,Assumptions!$D$22,IF(28-Schedule_Inputs!$B$21=3,Assumptions!$B$23,0)))),IF(Schedule_Inputs!$C$21="Office Setup",$C21*IF(28-Schedule_Inputs!$B$21=0,Assumptions!$B$24,IF(28-Schedule_Inputs!$B$21=1,Assumptions!$C$24,IF(28-Schedule_Inputs!$B$21=2,Assumptions!$D$24,0))),IF(OR(Schedule_Inputs!$C$21="Monthly",Schedule_Inputs!$C$21="Periodic"),IF(AND(28&gt;=Schedule_Inputs!$B$21,MOD(28-Schedule_Inputs!$B$21,Schedule_Inputs!$E$21)=0,(28-Schedule_Inputs!$B$21)/Schedule_Inputs!$E$21&lt;Schedule_Inputs!$D$21),$C21/Schedule_Inputs!$D$21,0),0))))</f>
        <v>0</v>
      </c>
      <c r="AG21" s="31">
        <f>IF(Schedule_Inputs!$C$21="Blueprint",$C21*IF(29-Schedule_Inputs!$B$21=0,Assumptions!$B$21,IF(29-Schedule_Inputs!$B$21=1,Assumptions!$C$21,IF(29-Schedule_Inputs!$B$21=2,Assumptions!$D$21,0))),IF(Schedule_Inputs!$C$21="Launch",$C21*IF(29-Schedule_Inputs!$B$21=0,Assumptions!$B$22,IF(29-Schedule_Inputs!$B$21=1,Assumptions!$C$22,IF(29-Schedule_Inputs!$B$21=2,Assumptions!$D$22,IF(29-Schedule_Inputs!$B$21=3,Assumptions!$B$23,0)))),IF(Schedule_Inputs!$C$21="Office Setup",$C21*IF(29-Schedule_Inputs!$B$21=0,Assumptions!$B$24,IF(29-Schedule_Inputs!$B$21=1,Assumptions!$C$24,IF(29-Schedule_Inputs!$B$21=2,Assumptions!$D$24,0))),IF(OR(Schedule_Inputs!$C$21="Monthly",Schedule_Inputs!$C$21="Periodic"),IF(AND(29&gt;=Schedule_Inputs!$B$21,MOD(29-Schedule_Inputs!$B$21,Schedule_Inputs!$E$21)=0,(29-Schedule_Inputs!$B$21)/Schedule_Inputs!$E$21&lt;Schedule_Inputs!$D$21),$C21/Schedule_Inputs!$D$21,0),0))))</f>
        <v>0</v>
      </c>
      <c r="AH21" s="31">
        <f>IF(Schedule_Inputs!$C$21="Blueprint",$C21*IF(30-Schedule_Inputs!$B$21=0,Assumptions!$B$21,IF(30-Schedule_Inputs!$B$21=1,Assumptions!$C$21,IF(30-Schedule_Inputs!$B$21=2,Assumptions!$D$21,0))),IF(Schedule_Inputs!$C$21="Launch",$C21*IF(30-Schedule_Inputs!$B$21=0,Assumptions!$B$22,IF(30-Schedule_Inputs!$B$21=1,Assumptions!$C$22,IF(30-Schedule_Inputs!$B$21=2,Assumptions!$D$22,IF(30-Schedule_Inputs!$B$21=3,Assumptions!$B$23,0)))),IF(Schedule_Inputs!$C$21="Office Setup",$C21*IF(30-Schedule_Inputs!$B$21=0,Assumptions!$B$24,IF(30-Schedule_Inputs!$B$21=1,Assumptions!$C$24,IF(30-Schedule_Inputs!$B$21=2,Assumptions!$D$24,0))),IF(OR(Schedule_Inputs!$C$21="Monthly",Schedule_Inputs!$C$21="Periodic"),IF(AND(30&gt;=Schedule_Inputs!$B$21,MOD(30-Schedule_Inputs!$B$21,Schedule_Inputs!$E$21)=0,(30-Schedule_Inputs!$B$21)/Schedule_Inputs!$E$21&lt;Schedule_Inputs!$D$21),$C21/Schedule_Inputs!$D$21,0),0))))</f>
        <v>0</v>
      </c>
      <c r="AI21" s="31">
        <f>IF(Schedule_Inputs!$C$21="Blueprint",$C21*IF(31-Schedule_Inputs!$B$21=0,Assumptions!$B$21,IF(31-Schedule_Inputs!$B$21=1,Assumptions!$C$21,IF(31-Schedule_Inputs!$B$21=2,Assumptions!$D$21,0))),IF(Schedule_Inputs!$C$21="Launch",$C21*IF(31-Schedule_Inputs!$B$21=0,Assumptions!$B$22,IF(31-Schedule_Inputs!$B$21=1,Assumptions!$C$22,IF(31-Schedule_Inputs!$B$21=2,Assumptions!$D$22,IF(31-Schedule_Inputs!$B$21=3,Assumptions!$B$23,0)))),IF(Schedule_Inputs!$C$21="Office Setup",$C21*IF(31-Schedule_Inputs!$B$21=0,Assumptions!$B$24,IF(31-Schedule_Inputs!$B$21=1,Assumptions!$C$24,IF(31-Schedule_Inputs!$B$21=2,Assumptions!$D$24,0))),IF(OR(Schedule_Inputs!$C$21="Monthly",Schedule_Inputs!$C$21="Periodic"),IF(AND(31&gt;=Schedule_Inputs!$B$21,MOD(31-Schedule_Inputs!$B$21,Schedule_Inputs!$E$21)=0,(31-Schedule_Inputs!$B$21)/Schedule_Inputs!$E$21&lt;Schedule_Inputs!$D$21),$C21/Schedule_Inputs!$D$21,0),0))))</f>
        <v>8400</v>
      </c>
      <c r="AJ21" s="31">
        <f>IF(Schedule_Inputs!$C$21="Blueprint",$C21*IF(32-Schedule_Inputs!$B$21=0,Assumptions!$B$21,IF(32-Schedule_Inputs!$B$21=1,Assumptions!$C$21,IF(32-Schedule_Inputs!$B$21=2,Assumptions!$D$21,0))),IF(Schedule_Inputs!$C$21="Launch",$C21*IF(32-Schedule_Inputs!$B$21=0,Assumptions!$B$22,IF(32-Schedule_Inputs!$B$21=1,Assumptions!$C$22,IF(32-Schedule_Inputs!$B$21=2,Assumptions!$D$22,IF(32-Schedule_Inputs!$B$21=3,Assumptions!$B$23,0)))),IF(Schedule_Inputs!$C$21="Office Setup",$C21*IF(32-Schedule_Inputs!$B$21=0,Assumptions!$B$24,IF(32-Schedule_Inputs!$B$21=1,Assumptions!$C$24,IF(32-Schedule_Inputs!$B$21=2,Assumptions!$D$24,0))),IF(OR(Schedule_Inputs!$C$21="Monthly",Schedule_Inputs!$C$21="Periodic"),IF(AND(32&gt;=Schedule_Inputs!$B$21,MOD(32-Schedule_Inputs!$B$21,Schedule_Inputs!$E$21)=0,(32-Schedule_Inputs!$B$21)/Schedule_Inputs!$E$21&lt;Schedule_Inputs!$D$21),$C21/Schedule_Inputs!$D$21,0),0))))</f>
        <v>8400</v>
      </c>
      <c r="AK21" s="31">
        <f>IF(Schedule_Inputs!$C$21="Blueprint",$C21*IF(33-Schedule_Inputs!$B$21=0,Assumptions!$B$21,IF(33-Schedule_Inputs!$B$21=1,Assumptions!$C$21,IF(33-Schedule_Inputs!$B$21=2,Assumptions!$D$21,0))),IF(Schedule_Inputs!$C$21="Launch",$C21*IF(33-Schedule_Inputs!$B$21=0,Assumptions!$B$22,IF(33-Schedule_Inputs!$B$21=1,Assumptions!$C$22,IF(33-Schedule_Inputs!$B$21=2,Assumptions!$D$22,IF(33-Schedule_Inputs!$B$21=3,Assumptions!$B$23,0)))),IF(Schedule_Inputs!$C$21="Office Setup",$C21*IF(33-Schedule_Inputs!$B$21=0,Assumptions!$B$24,IF(33-Schedule_Inputs!$B$21=1,Assumptions!$C$24,IF(33-Schedule_Inputs!$B$21=2,Assumptions!$D$24,0))),IF(OR(Schedule_Inputs!$C$21="Monthly",Schedule_Inputs!$C$21="Periodic"),IF(AND(33&gt;=Schedule_Inputs!$B$21,MOD(33-Schedule_Inputs!$B$21,Schedule_Inputs!$E$21)=0,(33-Schedule_Inputs!$B$21)/Schedule_Inputs!$E$21&lt;Schedule_Inputs!$D$21),$C21/Schedule_Inputs!$D$21,0),0))))</f>
        <v>4200</v>
      </c>
      <c r="AL21" s="31">
        <f>IF(Schedule_Inputs!$C$21="Blueprint",$C21*IF(34-Schedule_Inputs!$B$21=0,Assumptions!$B$21,IF(34-Schedule_Inputs!$B$21=1,Assumptions!$C$21,IF(34-Schedule_Inputs!$B$21=2,Assumptions!$D$21,0))),IF(Schedule_Inputs!$C$21="Launch",$C21*IF(34-Schedule_Inputs!$B$21=0,Assumptions!$B$22,IF(34-Schedule_Inputs!$B$21=1,Assumptions!$C$22,IF(34-Schedule_Inputs!$B$21=2,Assumptions!$D$22,IF(34-Schedule_Inputs!$B$21=3,Assumptions!$B$23,0)))),IF(Schedule_Inputs!$C$21="Office Setup",$C21*IF(34-Schedule_Inputs!$B$21=0,Assumptions!$B$24,IF(34-Schedule_Inputs!$B$21=1,Assumptions!$C$24,IF(34-Schedule_Inputs!$B$21=2,Assumptions!$D$24,0))),IF(OR(Schedule_Inputs!$C$21="Monthly",Schedule_Inputs!$C$21="Periodic"),IF(AND(34&gt;=Schedule_Inputs!$B$21,MOD(34-Schedule_Inputs!$B$21,Schedule_Inputs!$E$21)=0,(34-Schedule_Inputs!$B$21)/Schedule_Inputs!$E$21&lt;Schedule_Inputs!$D$21),$C21/Schedule_Inputs!$D$21,0),0))))</f>
        <v>0</v>
      </c>
      <c r="AM21" s="31">
        <f>IF(Schedule_Inputs!$C$21="Blueprint",$C21*IF(35-Schedule_Inputs!$B$21=0,Assumptions!$B$21,IF(35-Schedule_Inputs!$B$21=1,Assumptions!$C$21,IF(35-Schedule_Inputs!$B$21=2,Assumptions!$D$21,0))),IF(Schedule_Inputs!$C$21="Launch",$C21*IF(35-Schedule_Inputs!$B$21=0,Assumptions!$B$22,IF(35-Schedule_Inputs!$B$21=1,Assumptions!$C$22,IF(35-Schedule_Inputs!$B$21=2,Assumptions!$D$22,IF(35-Schedule_Inputs!$B$21=3,Assumptions!$B$23,0)))),IF(Schedule_Inputs!$C$21="Office Setup",$C21*IF(35-Schedule_Inputs!$B$21=0,Assumptions!$B$24,IF(35-Schedule_Inputs!$B$21=1,Assumptions!$C$24,IF(35-Schedule_Inputs!$B$21=2,Assumptions!$D$24,0))),IF(OR(Schedule_Inputs!$C$21="Monthly",Schedule_Inputs!$C$21="Periodic"),IF(AND(35&gt;=Schedule_Inputs!$B$21,MOD(35-Schedule_Inputs!$B$21,Schedule_Inputs!$E$21)=0,(35-Schedule_Inputs!$B$21)/Schedule_Inputs!$E$21&lt;Schedule_Inputs!$D$21),$C21/Schedule_Inputs!$D$21,0),0))))</f>
        <v>0</v>
      </c>
      <c r="AN21" s="31">
        <f>IF(Schedule_Inputs!$C$21="Blueprint",$C21*IF(36-Schedule_Inputs!$B$21=0,Assumptions!$B$21,IF(36-Schedule_Inputs!$B$21=1,Assumptions!$C$21,IF(36-Schedule_Inputs!$B$21=2,Assumptions!$D$21,0))),IF(Schedule_Inputs!$C$21="Launch",$C21*IF(36-Schedule_Inputs!$B$21=0,Assumptions!$B$22,IF(36-Schedule_Inputs!$B$21=1,Assumptions!$C$22,IF(36-Schedule_Inputs!$B$21=2,Assumptions!$D$22,IF(36-Schedule_Inputs!$B$21=3,Assumptions!$B$23,0)))),IF(Schedule_Inputs!$C$21="Office Setup",$C21*IF(36-Schedule_Inputs!$B$21=0,Assumptions!$B$24,IF(36-Schedule_Inputs!$B$21=1,Assumptions!$C$24,IF(36-Schedule_Inputs!$B$21=2,Assumptions!$D$24,0))),IF(OR(Schedule_Inputs!$C$21="Monthly",Schedule_Inputs!$C$21="Periodic"),IF(AND(36&gt;=Schedule_Inputs!$B$21,MOD(36-Schedule_Inputs!$B$21,Schedule_Inputs!$E$21)=0,(36-Schedule_Inputs!$B$21)/Schedule_Inputs!$E$21&lt;Schedule_Inputs!$D$21),$C21/Schedule_Inputs!$D$21,0),0))))</f>
        <v>0</v>
      </c>
    </row>
    <row r="22" spans="1:40">
      <c r="A22" s="29" t="s">
        <v>252</v>
      </c>
      <c r="B22" s="29">
        <v>3</v>
      </c>
      <c r="C22" s="30">
        <v>55000</v>
      </c>
      <c r="D22" s="31" t="s">
        <v>233</v>
      </c>
      <c r="E22" s="31">
        <f>IF(Schedule_Inputs!$C$22="Blueprint",$C22*IF(1-Schedule_Inputs!$B$22=0,Assumptions!$B$21,IF(1-Schedule_Inputs!$B$22=1,Assumptions!$C$21,IF(1-Schedule_Inputs!$B$22=2,Assumptions!$D$21,0))),IF(Schedule_Inputs!$C$22="Launch",$C22*IF(1-Schedule_Inputs!$B$22=0,Assumptions!$B$22,IF(1-Schedule_Inputs!$B$22=1,Assumptions!$C$22,IF(1-Schedule_Inputs!$B$22=2,Assumptions!$D$22,IF(1-Schedule_Inputs!$B$22=3,Assumptions!$B$23,0)))),IF(Schedule_Inputs!$C$22="Office Setup",$C22*IF(1-Schedule_Inputs!$B$22=0,Assumptions!$B$24,IF(1-Schedule_Inputs!$B$22=1,Assumptions!$C$24,IF(1-Schedule_Inputs!$B$22=2,Assumptions!$D$24,0))),IF(OR(Schedule_Inputs!$C$22="Monthly",Schedule_Inputs!$C$22="Periodic"),IF(AND(1&gt;=Schedule_Inputs!$B$22,MOD(1-Schedule_Inputs!$B$22,Schedule_Inputs!$E$22)=0,(1-Schedule_Inputs!$B$22)/Schedule_Inputs!$E$22&lt;Schedule_Inputs!$D$22),$C22/Schedule_Inputs!$D$22,0),0))))</f>
        <v>0</v>
      </c>
      <c r="F22" s="31">
        <f>IF(Schedule_Inputs!$C$22="Blueprint",$C22*IF(2-Schedule_Inputs!$B$22=0,Assumptions!$B$21,IF(2-Schedule_Inputs!$B$22=1,Assumptions!$C$21,IF(2-Schedule_Inputs!$B$22=2,Assumptions!$D$21,0))),IF(Schedule_Inputs!$C$22="Launch",$C22*IF(2-Schedule_Inputs!$B$22=0,Assumptions!$B$22,IF(2-Schedule_Inputs!$B$22=1,Assumptions!$C$22,IF(2-Schedule_Inputs!$B$22=2,Assumptions!$D$22,IF(2-Schedule_Inputs!$B$22=3,Assumptions!$B$23,0)))),IF(Schedule_Inputs!$C$22="Office Setup",$C22*IF(2-Schedule_Inputs!$B$22=0,Assumptions!$B$24,IF(2-Schedule_Inputs!$B$22=1,Assumptions!$C$24,IF(2-Schedule_Inputs!$B$22=2,Assumptions!$D$24,0))),IF(OR(Schedule_Inputs!$C$22="Monthly",Schedule_Inputs!$C$22="Periodic"),IF(AND(2&gt;=Schedule_Inputs!$B$22,MOD(2-Schedule_Inputs!$B$22,Schedule_Inputs!$E$22)=0,(2-Schedule_Inputs!$B$22)/Schedule_Inputs!$E$22&lt;Schedule_Inputs!$D$22),$C22/Schedule_Inputs!$D$22,0),0))))</f>
        <v>0</v>
      </c>
      <c r="G22" s="31">
        <f>IF(Schedule_Inputs!$C$22="Blueprint",$C22*IF(3-Schedule_Inputs!$B$22=0,Assumptions!$B$21,IF(3-Schedule_Inputs!$B$22=1,Assumptions!$C$21,IF(3-Schedule_Inputs!$B$22=2,Assumptions!$D$21,0))),IF(Schedule_Inputs!$C$22="Launch",$C22*IF(3-Schedule_Inputs!$B$22=0,Assumptions!$B$22,IF(3-Schedule_Inputs!$B$22=1,Assumptions!$C$22,IF(3-Schedule_Inputs!$B$22=2,Assumptions!$D$22,IF(3-Schedule_Inputs!$B$22=3,Assumptions!$B$23,0)))),IF(Schedule_Inputs!$C$22="Office Setup",$C22*IF(3-Schedule_Inputs!$B$22=0,Assumptions!$B$24,IF(3-Schedule_Inputs!$B$22=1,Assumptions!$C$24,IF(3-Schedule_Inputs!$B$22=2,Assumptions!$D$24,0))),IF(OR(Schedule_Inputs!$C$22="Monthly",Schedule_Inputs!$C$22="Periodic"),IF(AND(3&gt;=Schedule_Inputs!$B$22,MOD(3-Schedule_Inputs!$B$22,Schedule_Inputs!$E$22)=0,(3-Schedule_Inputs!$B$22)/Schedule_Inputs!$E$22&lt;Schedule_Inputs!$D$22),$C22/Schedule_Inputs!$D$22,0),0))))</f>
        <v>0</v>
      </c>
      <c r="H22" s="31">
        <f>IF(Schedule_Inputs!$C$22="Blueprint",$C22*IF(4-Schedule_Inputs!$B$22=0,Assumptions!$B$21,IF(4-Schedule_Inputs!$B$22=1,Assumptions!$C$21,IF(4-Schedule_Inputs!$B$22=2,Assumptions!$D$21,0))),IF(Schedule_Inputs!$C$22="Launch",$C22*IF(4-Schedule_Inputs!$B$22=0,Assumptions!$B$22,IF(4-Schedule_Inputs!$B$22=1,Assumptions!$C$22,IF(4-Schedule_Inputs!$B$22=2,Assumptions!$D$22,IF(4-Schedule_Inputs!$B$22=3,Assumptions!$B$23,0)))),IF(Schedule_Inputs!$C$22="Office Setup",$C22*IF(4-Schedule_Inputs!$B$22=0,Assumptions!$B$24,IF(4-Schedule_Inputs!$B$22=1,Assumptions!$C$24,IF(4-Schedule_Inputs!$B$22=2,Assumptions!$D$24,0))),IF(OR(Schedule_Inputs!$C$22="Monthly",Schedule_Inputs!$C$22="Periodic"),IF(AND(4&gt;=Schedule_Inputs!$B$22,MOD(4-Schedule_Inputs!$B$22,Schedule_Inputs!$E$22)=0,(4-Schedule_Inputs!$B$22)/Schedule_Inputs!$E$22&lt;Schedule_Inputs!$D$22),$C22/Schedule_Inputs!$D$22,0),0))))</f>
        <v>0</v>
      </c>
      <c r="I22" s="31">
        <f>IF(Schedule_Inputs!$C$22="Blueprint",$C22*IF(5-Schedule_Inputs!$B$22=0,Assumptions!$B$21,IF(5-Schedule_Inputs!$B$22=1,Assumptions!$C$21,IF(5-Schedule_Inputs!$B$22=2,Assumptions!$D$21,0))),IF(Schedule_Inputs!$C$22="Launch",$C22*IF(5-Schedule_Inputs!$B$22=0,Assumptions!$B$22,IF(5-Schedule_Inputs!$B$22=1,Assumptions!$C$22,IF(5-Schedule_Inputs!$B$22=2,Assumptions!$D$22,IF(5-Schedule_Inputs!$B$22=3,Assumptions!$B$23,0)))),IF(Schedule_Inputs!$C$22="Office Setup",$C22*IF(5-Schedule_Inputs!$B$22=0,Assumptions!$B$24,IF(5-Schedule_Inputs!$B$22=1,Assumptions!$C$24,IF(5-Schedule_Inputs!$B$22=2,Assumptions!$D$24,0))),IF(OR(Schedule_Inputs!$C$22="Monthly",Schedule_Inputs!$C$22="Periodic"),IF(AND(5&gt;=Schedule_Inputs!$B$22,MOD(5-Schedule_Inputs!$B$22,Schedule_Inputs!$E$22)=0,(5-Schedule_Inputs!$B$22)/Schedule_Inputs!$E$22&lt;Schedule_Inputs!$D$22),$C22/Schedule_Inputs!$D$22,0),0))))</f>
        <v>0</v>
      </c>
      <c r="J22" s="31">
        <f>IF(Schedule_Inputs!$C$22="Blueprint",$C22*IF(6-Schedule_Inputs!$B$22=0,Assumptions!$B$21,IF(6-Schedule_Inputs!$B$22=1,Assumptions!$C$21,IF(6-Schedule_Inputs!$B$22=2,Assumptions!$D$21,0))),IF(Schedule_Inputs!$C$22="Launch",$C22*IF(6-Schedule_Inputs!$B$22=0,Assumptions!$B$22,IF(6-Schedule_Inputs!$B$22=1,Assumptions!$C$22,IF(6-Schedule_Inputs!$B$22=2,Assumptions!$D$22,IF(6-Schedule_Inputs!$B$22=3,Assumptions!$B$23,0)))),IF(Schedule_Inputs!$C$22="Office Setup",$C22*IF(6-Schedule_Inputs!$B$22=0,Assumptions!$B$24,IF(6-Schedule_Inputs!$B$22=1,Assumptions!$C$24,IF(6-Schedule_Inputs!$B$22=2,Assumptions!$D$24,0))),IF(OR(Schedule_Inputs!$C$22="Monthly",Schedule_Inputs!$C$22="Periodic"),IF(AND(6&gt;=Schedule_Inputs!$B$22,MOD(6-Schedule_Inputs!$B$22,Schedule_Inputs!$E$22)=0,(6-Schedule_Inputs!$B$22)/Schedule_Inputs!$E$22&lt;Schedule_Inputs!$D$22),$C22/Schedule_Inputs!$D$22,0),0))))</f>
        <v>0</v>
      </c>
      <c r="K22" s="31">
        <f>IF(Schedule_Inputs!$C$22="Blueprint",$C22*IF(7-Schedule_Inputs!$B$22=0,Assumptions!$B$21,IF(7-Schedule_Inputs!$B$22=1,Assumptions!$C$21,IF(7-Schedule_Inputs!$B$22=2,Assumptions!$D$21,0))),IF(Schedule_Inputs!$C$22="Launch",$C22*IF(7-Schedule_Inputs!$B$22=0,Assumptions!$B$22,IF(7-Schedule_Inputs!$B$22=1,Assumptions!$C$22,IF(7-Schedule_Inputs!$B$22=2,Assumptions!$D$22,IF(7-Schedule_Inputs!$B$22=3,Assumptions!$B$23,0)))),IF(Schedule_Inputs!$C$22="Office Setup",$C22*IF(7-Schedule_Inputs!$B$22=0,Assumptions!$B$24,IF(7-Schedule_Inputs!$B$22=1,Assumptions!$C$24,IF(7-Schedule_Inputs!$B$22=2,Assumptions!$D$24,0))),IF(OR(Schedule_Inputs!$C$22="Monthly",Schedule_Inputs!$C$22="Periodic"),IF(AND(7&gt;=Schedule_Inputs!$B$22,MOD(7-Schedule_Inputs!$B$22,Schedule_Inputs!$E$22)=0,(7-Schedule_Inputs!$B$22)/Schedule_Inputs!$E$22&lt;Schedule_Inputs!$D$22),$C22/Schedule_Inputs!$D$22,0),0))))</f>
        <v>0</v>
      </c>
      <c r="L22" s="31">
        <f>IF(Schedule_Inputs!$C$22="Blueprint",$C22*IF(8-Schedule_Inputs!$B$22=0,Assumptions!$B$21,IF(8-Schedule_Inputs!$B$22=1,Assumptions!$C$21,IF(8-Schedule_Inputs!$B$22=2,Assumptions!$D$21,0))),IF(Schedule_Inputs!$C$22="Launch",$C22*IF(8-Schedule_Inputs!$B$22=0,Assumptions!$B$22,IF(8-Schedule_Inputs!$B$22=1,Assumptions!$C$22,IF(8-Schedule_Inputs!$B$22=2,Assumptions!$D$22,IF(8-Schedule_Inputs!$B$22=3,Assumptions!$B$23,0)))),IF(Schedule_Inputs!$C$22="Office Setup",$C22*IF(8-Schedule_Inputs!$B$22=0,Assumptions!$B$24,IF(8-Schedule_Inputs!$B$22=1,Assumptions!$C$24,IF(8-Schedule_Inputs!$B$22=2,Assumptions!$D$24,0))),IF(OR(Schedule_Inputs!$C$22="Monthly",Schedule_Inputs!$C$22="Periodic"),IF(AND(8&gt;=Schedule_Inputs!$B$22,MOD(8-Schedule_Inputs!$B$22,Schedule_Inputs!$E$22)=0,(8-Schedule_Inputs!$B$22)/Schedule_Inputs!$E$22&lt;Schedule_Inputs!$D$22),$C22/Schedule_Inputs!$D$22,0),0))))</f>
        <v>0</v>
      </c>
      <c r="M22" s="31">
        <f>IF(Schedule_Inputs!$C$22="Blueprint",$C22*IF(9-Schedule_Inputs!$B$22=0,Assumptions!$B$21,IF(9-Schedule_Inputs!$B$22=1,Assumptions!$C$21,IF(9-Schedule_Inputs!$B$22=2,Assumptions!$D$21,0))),IF(Schedule_Inputs!$C$22="Launch",$C22*IF(9-Schedule_Inputs!$B$22=0,Assumptions!$B$22,IF(9-Schedule_Inputs!$B$22=1,Assumptions!$C$22,IF(9-Schedule_Inputs!$B$22=2,Assumptions!$D$22,IF(9-Schedule_Inputs!$B$22=3,Assumptions!$B$23,0)))),IF(Schedule_Inputs!$C$22="Office Setup",$C22*IF(9-Schedule_Inputs!$B$22=0,Assumptions!$B$24,IF(9-Schedule_Inputs!$B$22=1,Assumptions!$C$24,IF(9-Schedule_Inputs!$B$22=2,Assumptions!$D$24,0))),IF(OR(Schedule_Inputs!$C$22="Monthly",Schedule_Inputs!$C$22="Periodic"),IF(AND(9&gt;=Schedule_Inputs!$B$22,MOD(9-Schedule_Inputs!$B$22,Schedule_Inputs!$E$22)=0,(9-Schedule_Inputs!$B$22)/Schedule_Inputs!$E$22&lt;Schedule_Inputs!$D$22),$C22/Schedule_Inputs!$D$22,0),0))))</f>
        <v>0</v>
      </c>
      <c r="N22" s="31">
        <f>IF(Schedule_Inputs!$C$22="Blueprint",$C22*IF(10-Schedule_Inputs!$B$22=0,Assumptions!$B$21,IF(10-Schedule_Inputs!$B$22=1,Assumptions!$C$21,IF(10-Schedule_Inputs!$B$22=2,Assumptions!$D$21,0))),IF(Schedule_Inputs!$C$22="Launch",$C22*IF(10-Schedule_Inputs!$B$22=0,Assumptions!$B$22,IF(10-Schedule_Inputs!$B$22=1,Assumptions!$C$22,IF(10-Schedule_Inputs!$B$22=2,Assumptions!$D$22,IF(10-Schedule_Inputs!$B$22=3,Assumptions!$B$23,0)))),IF(Schedule_Inputs!$C$22="Office Setup",$C22*IF(10-Schedule_Inputs!$B$22=0,Assumptions!$B$24,IF(10-Schedule_Inputs!$B$22=1,Assumptions!$C$24,IF(10-Schedule_Inputs!$B$22=2,Assumptions!$D$24,0))),IF(OR(Schedule_Inputs!$C$22="Monthly",Schedule_Inputs!$C$22="Periodic"),IF(AND(10&gt;=Schedule_Inputs!$B$22,MOD(10-Schedule_Inputs!$B$22,Schedule_Inputs!$E$22)=0,(10-Schedule_Inputs!$B$22)/Schedule_Inputs!$E$22&lt;Schedule_Inputs!$D$22),$C22/Schedule_Inputs!$D$22,0),0))))</f>
        <v>0</v>
      </c>
      <c r="O22" s="31">
        <f>IF(Schedule_Inputs!$C$22="Blueprint",$C22*IF(11-Schedule_Inputs!$B$22=0,Assumptions!$B$21,IF(11-Schedule_Inputs!$B$22=1,Assumptions!$C$21,IF(11-Schedule_Inputs!$B$22=2,Assumptions!$D$21,0))),IF(Schedule_Inputs!$C$22="Launch",$C22*IF(11-Schedule_Inputs!$B$22=0,Assumptions!$B$22,IF(11-Schedule_Inputs!$B$22=1,Assumptions!$C$22,IF(11-Schedule_Inputs!$B$22=2,Assumptions!$D$22,IF(11-Schedule_Inputs!$B$22=3,Assumptions!$B$23,0)))),IF(Schedule_Inputs!$C$22="Office Setup",$C22*IF(11-Schedule_Inputs!$B$22=0,Assumptions!$B$24,IF(11-Schedule_Inputs!$B$22=1,Assumptions!$C$24,IF(11-Schedule_Inputs!$B$22=2,Assumptions!$D$24,0))),IF(OR(Schedule_Inputs!$C$22="Monthly",Schedule_Inputs!$C$22="Periodic"),IF(AND(11&gt;=Schedule_Inputs!$B$22,MOD(11-Schedule_Inputs!$B$22,Schedule_Inputs!$E$22)=0,(11-Schedule_Inputs!$B$22)/Schedule_Inputs!$E$22&lt;Schedule_Inputs!$D$22),$C22/Schedule_Inputs!$D$22,0),0))))</f>
        <v>0</v>
      </c>
      <c r="P22" s="31">
        <f>IF(Schedule_Inputs!$C$22="Blueprint",$C22*IF(12-Schedule_Inputs!$B$22=0,Assumptions!$B$21,IF(12-Schedule_Inputs!$B$22=1,Assumptions!$C$21,IF(12-Schedule_Inputs!$B$22=2,Assumptions!$D$21,0))),IF(Schedule_Inputs!$C$22="Launch",$C22*IF(12-Schedule_Inputs!$B$22=0,Assumptions!$B$22,IF(12-Schedule_Inputs!$B$22=1,Assumptions!$C$22,IF(12-Schedule_Inputs!$B$22=2,Assumptions!$D$22,IF(12-Schedule_Inputs!$B$22=3,Assumptions!$B$23,0)))),IF(Schedule_Inputs!$C$22="Office Setup",$C22*IF(12-Schedule_Inputs!$B$22=0,Assumptions!$B$24,IF(12-Schedule_Inputs!$B$22=1,Assumptions!$C$24,IF(12-Schedule_Inputs!$B$22=2,Assumptions!$D$24,0))),IF(OR(Schedule_Inputs!$C$22="Monthly",Schedule_Inputs!$C$22="Periodic"),IF(AND(12&gt;=Schedule_Inputs!$B$22,MOD(12-Schedule_Inputs!$B$22,Schedule_Inputs!$E$22)=0,(12-Schedule_Inputs!$B$22)/Schedule_Inputs!$E$22&lt;Schedule_Inputs!$D$22),$C22/Schedule_Inputs!$D$22,0),0))))</f>
        <v>0</v>
      </c>
      <c r="Q22" s="31">
        <f>IF(Schedule_Inputs!$C$22="Blueprint",$C22*IF(13-Schedule_Inputs!$B$22=0,Assumptions!$B$21,IF(13-Schedule_Inputs!$B$22=1,Assumptions!$C$21,IF(13-Schedule_Inputs!$B$22=2,Assumptions!$D$21,0))),IF(Schedule_Inputs!$C$22="Launch",$C22*IF(13-Schedule_Inputs!$B$22=0,Assumptions!$B$22,IF(13-Schedule_Inputs!$B$22=1,Assumptions!$C$22,IF(13-Schedule_Inputs!$B$22=2,Assumptions!$D$22,IF(13-Schedule_Inputs!$B$22=3,Assumptions!$B$23,0)))),IF(Schedule_Inputs!$C$22="Office Setup",$C22*IF(13-Schedule_Inputs!$B$22=0,Assumptions!$B$24,IF(13-Schedule_Inputs!$B$22=1,Assumptions!$C$24,IF(13-Schedule_Inputs!$B$22=2,Assumptions!$D$24,0))),IF(OR(Schedule_Inputs!$C$22="Monthly",Schedule_Inputs!$C$22="Periodic"),IF(AND(13&gt;=Schedule_Inputs!$B$22,MOD(13-Schedule_Inputs!$B$22,Schedule_Inputs!$E$22)=0,(13-Schedule_Inputs!$B$22)/Schedule_Inputs!$E$22&lt;Schedule_Inputs!$D$22),$C22/Schedule_Inputs!$D$22,0),0))))</f>
        <v>0</v>
      </c>
      <c r="R22" s="31">
        <f>IF(Schedule_Inputs!$C$22="Blueprint",$C22*IF(14-Schedule_Inputs!$B$22=0,Assumptions!$B$21,IF(14-Schedule_Inputs!$B$22=1,Assumptions!$C$21,IF(14-Schedule_Inputs!$B$22=2,Assumptions!$D$21,0))),IF(Schedule_Inputs!$C$22="Launch",$C22*IF(14-Schedule_Inputs!$B$22=0,Assumptions!$B$22,IF(14-Schedule_Inputs!$B$22=1,Assumptions!$C$22,IF(14-Schedule_Inputs!$B$22=2,Assumptions!$D$22,IF(14-Schedule_Inputs!$B$22=3,Assumptions!$B$23,0)))),IF(Schedule_Inputs!$C$22="Office Setup",$C22*IF(14-Schedule_Inputs!$B$22=0,Assumptions!$B$24,IF(14-Schedule_Inputs!$B$22=1,Assumptions!$C$24,IF(14-Schedule_Inputs!$B$22=2,Assumptions!$D$24,0))),IF(OR(Schedule_Inputs!$C$22="Monthly",Schedule_Inputs!$C$22="Periodic"),IF(AND(14&gt;=Schedule_Inputs!$B$22,MOD(14-Schedule_Inputs!$B$22,Schedule_Inputs!$E$22)=0,(14-Schedule_Inputs!$B$22)/Schedule_Inputs!$E$22&lt;Schedule_Inputs!$D$22),$C22/Schedule_Inputs!$D$22,0),0))))</f>
        <v>0</v>
      </c>
      <c r="S22" s="31">
        <f>IF(Schedule_Inputs!$C$22="Blueprint",$C22*IF(15-Schedule_Inputs!$B$22=0,Assumptions!$B$21,IF(15-Schedule_Inputs!$B$22=1,Assumptions!$C$21,IF(15-Schedule_Inputs!$B$22=2,Assumptions!$D$21,0))),IF(Schedule_Inputs!$C$22="Launch",$C22*IF(15-Schedule_Inputs!$B$22=0,Assumptions!$B$22,IF(15-Schedule_Inputs!$B$22=1,Assumptions!$C$22,IF(15-Schedule_Inputs!$B$22=2,Assumptions!$D$22,IF(15-Schedule_Inputs!$B$22=3,Assumptions!$B$23,0)))),IF(Schedule_Inputs!$C$22="Office Setup",$C22*IF(15-Schedule_Inputs!$B$22=0,Assumptions!$B$24,IF(15-Schedule_Inputs!$B$22=1,Assumptions!$C$24,IF(15-Schedule_Inputs!$B$22=2,Assumptions!$D$24,0))),IF(OR(Schedule_Inputs!$C$22="Monthly",Schedule_Inputs!$C$22="Periodic"),IF(AND(15&gt;=Schedule_Inputs!$B$22,MOD(15-Schedule_Inputs!$B$22,Schedule_Inputs!$E$22)=0,(15-Schedule_Inputs!$B$22)/Schedule_Inputs!$E$22&lt;Schedule_Inputs!$D$22),$C22/Schedule_Inputs!$D$22,0),0))))</f>
        <v>0</v>
      </c>
      <c r="T22" s="31">
        <f>IF(Schedule_Inputs!$C$22="Blueprint",$C22*IF(16-Schedule_Inputs!$B$22=0,Assumptions!$B$21,IF(16-Schedule_Inputs!$B$22=1,Assumptions!$C$21,IF(16-Schedule_Inputs!$B$22=2,Assumptions!$D$21,0))),IF(Schedule_Inputs!$C$22="Launch",$C22*IF(16-Schedule_Inputs!$B$22=0,Assumptions!$B$22,IF(16-Schedule_Inputs!$B$22=1,Assumptions!$C$22,IF(16-Schedule_Inputs!$B$22=2,Assumptions!$D$22,IF(16-Schedule_Inputs!$B$22=3,Assumptions!$B$23,0)))),IF(Schedule_Inputs!$C$22="Office Setup",$C22*IF(16-Schedule_Inputs!$B$22=0,Assumptions!$B$24,IF(16-Schedule_Inputs!$B$22=1,Assumptions!$C$24,IF(16-Schedule_Inputs!$B$22=2,Assumptions!$D$24,0))),IF(OR(Schedule_Inputs!$C$22="Monthly",Schedule_Inputs!$C$22="Periodic"),IF(AND(16&gt;=Schedule_Inputs!$B$22,MOD(16-Schedule_Inputs!$B$22,Schedule_Inputs!$E$22)=0,(16-Schedule_Inputs!$B$22)/Schedule_Inputs!$E$22&lt;Schedule_Inputs!$D$22),$C22/Schedule_Inputs!$D$22,0),0))))</f>
        <v>0</v>
      </c>
      <c r="U22" s="31">
        <f>IF(Schedule_Inputs!$C$22="Blueprint",$C22*IF(17-Schedule_Inputs!$B$22=0,Assumptions!$B$21,IF(17-Schedule_Inputs!$B$22=1,Assumptions!$C$21,IF(17-Schedule_Inputs!$B$22=2,Assumptions!$D$21,0))),IF(Schedule_Inputs!$C$22="Launch",$C22*IF(17-Schedule_Inputs!$B$22=0,Assumptions!$B$22,IF(17-Schedule_Inputs!$B$22=1,Assumptions!$C$22,IF(17-Schedule_Inputs!$B$22=2,Assumptions!$D$22,IF(17-Schedule_Inputs!$B$22=3,Assumptions!$B$23,0)))),IF(Schedule_Inputs!$C$22="Office Setup",$C22*IF(17-Schedule_Inputs!$B$22=0,Assumptions!$B$24,IF(17-Schedule_Inputs!$B$22=1,Assumptions!$C$24,IF(17-Schedule_Inputs!$B$22=2,Assumptions!$D$24,0))),IF(OR(Schedule_Inputs!$C$22="Monthly",Schedule_Inputs!$C$22="Periodic"),IF(AND(17&gt;=Schedule_Inputs!$B$22,MOD(17-Schedule_Inputs!$B$22,Schedule_Inputs!$E$22)=0,(17-Schedule_Inputs!$B$22)/Schedule_Inputs!$E$22&lt;Schedule_Inputs!$D$22),$C22/Schedule_Inputs!$D$22,0),0))))</f>
        <v>0</v>
      </c>
      <c r="V22" s="31">
        <f>IF(Schedule_Inputs!$C$22="Blueprint",$C22*IF(18-Schedule_Inputs!$B$22=0,Assumptions!$B$21,IF(18-Schedule_Inputs!$B$22=1,Assumptions!$C$21,IF(18-Schedule_Inputs!$B$22=2,Assumptions!$D$21,0))),IF(Schedule_Inputs!$C$22="Launch",$C22*IF(18-Schedule_Inputs!$B$22=0,Assumptions!$B$22,IF(18-Schedule_Inputs!$B$22=1,Assumptions!$C$22,IF(18-Schedule_Inputs!$B$22=2,Assumptions!$D$22,IF(18-Schedule_Inputs!$B$22=3,Assumptions!$B$23,0)))),IF(Schedule_Inputs!$C$22="Office Setup",$C22*IF(18-Schedule_Inputs!$B$22=0,Assumptions!$B$24,IF(18-Schedule_Inputs!$B$22=1,Assumptions!$C$24,IF(18-Schedule_Inputs!$B$22=2,Assumptions!$D$24,0))),IF(OR(Schedule_Inputs!$C$22="Monthly",Schedule_Inputs!$C$22="Periodic"),IF(AND(18&gt;=Schedule_Inputs!$B$22,MOD(18-Schedule_Inputs!$B$22,Schedule_Inputs!$E$22)=0,(18-Schedule_Inputs!$B$22)/Schedule_Inputs!$E$22&lt;Schedule_Inputs!$D$22),$C22/Schedule_Inputs!$D$22,0),0))))</f>
        <v>0</v>
      </c>
      <c r="W22" s="31">
        <f>IF(Schedule_Inputs!$C$22="Blueprint",$C22*IF(19-Schedule_Inputs!$B$22=0,Assumptions!$B$21,IF(19-Schedule_Inputs!$B$22=1,Assumptions!$C$21,IF(19-Schedule_Inputs!$B$22=2,Assumptions!$D$21,0))),IF(Schedule_Inputs!$C$22="Launch",$C22*IF(19-Schedule_Inputs!$B$22=0,Assumptions!$B$22,IF(19-Schedule_Inputs!$B$22=1,Assumptions!$C$22,IF(19-Schedule_Inputs!$B$22=2,Assumptions!$D$22,IF(19-Schedule_Inputs!$B$22=3,Assumptions!$B$23,0)))),IF(Schedule_Inputs!$C$22="Office Setup",$C22*IF(19-Schedule_Inputs!$B$22=0,Assumptions!$B$24,IF(19-Schedule_Inputs!$B$22=1,Assumptions!$C$24,IF(19-Schedule_Inputs!$B$22=2,Assumptions!$D$24,0))),IF(OR(Schedule_Inputs!$C$22="Monthly",Schedule_Inputs!$C$22="Periodic"),IF(AND(19&gt;=Schedule_Inputs!$B$22,MOD(19-Schedule_Inputs!$B$22,Schedule_Inputs!$E$22)=0,(19-Schedule_Inputs!$B$22)/Schedule_Inputs!$E$22&lt;Schedule_Inputs!$D$22),$C22/Schedule_Inputs!$D$22,0),0))))</f>
        <v>0</v>
      </c>
      <c r="X22" s="31">
        <f>IF(Schedule_Inputs!$C$22="Blueprint",$C22*IF(20-Schedule_Inputs!$B$22=0,Assumptions!$B$21,IF(20-Schedule_Inputs!$B$22=1,Assumptions!$C$21,IF(20-Schedule_Inputs!$B$22=2,Assumptions!$D$21,0))),IF(Schedule_Inputs!$C$22="Launch",$C22*IF(20-Schedule_Inputs!$B$22=0,Assumptions!$B$22,IF(20-Schedule_Inputs!$B$22=1,Assumptions!$C$22,IF(20-Schedule_Inputs!$B$22=2,Assumptions!$D$22,IF(20-Schedule_Inputs!$B$22=3,Assumptions!$B$23,0)))),IF(Schedule_Inputs!$C$22="Office Setup",$C22*IF(20-Schedule_Inputs!$B$22=0,Assumptions!$B$24,IF(20-Schedule_Inputs!$B$22=1,Assumptions!$C$24,IF(20-Schedule_Inputs!$B$22=2,Assumptions!$D$24,0))),IF(OR(Schedule_Inputs!$C$22="Monthly",Schedule_Inputs!$C$22="Periodic"),IF(AND(20&gt;=Schedule_Inputs!$B$22,MOD(20-Schedule_Inputs!$B$22,Schedule_Inputs!$E$22)=0,(20-Schedule_Inputs!$B$22)/Schedule_Inputs!$E$22&lt;Schedule_Inputs!$D$22),$C22/Schedule_Inputs!$D$22,0),0))))</f>
        <v>0</v>
      </c>
      <c r="Y22" s="31">
        <f>IF(Schedule_Inputs!$C$22="Blueprint",$C22*IF(21-Schedule_Inputs!$B$22=0,Assumptions!$B$21,IF(21-Schedule_Inputs!$B$22=1,Assumptions!$C$21,IF(21-Schedule_Inputs!$B$22=2,Assumptions!$D$21,0))),IF(Schedule_Inputs!$C$22="Launch",$C22*IF(21-Schedule_Inputs!$B$22=0,Assumptions!$B$22,IF(21-Schedule_Inputs!$B$22=1,Assumptions!$C$22,IF(21-Schedule_Inputs!$B$22=2,Assumptions!$D$22,IF(21-Schedule_Inputs!$B$22=3,Assumptions!$B$23,0)))),IF(Schedule_Inputs!$C$22="Office Setup",$C22*IF(21-Schedule_Inputs!$B$22=0,Assumptions!$B$24,IF(21-Schedule_Inputs!$B$22=1,Assumptions!$C$24,IF(21-Schedule_Inputs!$B$22=2,Assumptions!$D$24,0))),IF(OR(Schedule_Inputs!$C$22="Monthly",Schedule_Inputs!$C$22="Periodic"),IF(AND(21&gt;=Schedule_Inputs!$B$22,MOD(21-Schedule_Inputs!$B$22,Schedule_Inputs!$E$22)=0,(21-Schedule_Inputs!$B$22)/Schedule_Inputs!$E$22&lt;Schedule_Inputs!$D$22),$C22/Schedule_Inputs!$D$22,0),0))))</f>
        <v>0</v>
      </c>
      <c r="Z22" s="31">
        <f>IF(Schedule_Inputs!$C$22="Blueprint",$C22*IF(22-Schedule_Inputs!$B$22=0,Assumptions!$B$21,IF(22-Schedule_Inputs!$B$22=1,Assumptions!$C$21,IF(22-Schedule_Inputs!$B$22=2,Assumptions!$D$21,0))),IF(Schedule_Inputs!$C$22="Launch",$C22*IF(22-Schedule_Inputs!$B$22=0,Assumptions!$B$22,IF(22-Schedule_Inputs!$B$22=1,Assumptions!$C$22,IF(22-Schedule_Inputs!$B$22=2,Assumptions!$D$22,IF(22-Schedule_Inputs!$B$22=3,Assumptions!$B$23,0)))),IF(Schedule_Inputs!$C$22="Office Setup",$C22*IF(22-Schedule_Inputs!$B$22=0,Assumptions!$B$24,IF(22-Schedule_Inputs!$B$22=1,Assumptions!$C$24,IF(22-Schedule_Inputs!$B$22=2,Assumptions!$D$24,0))),IF(OR(Schedule_Inputs!$C$22="Monthly",Schedule_Inputs!$C$22="Periodic"),IF(AND(22&gt;=Schedule_Inputs!$B$22,MOD(22-Schedule_Inputs!$B$22,Schedule_Inputs!$E$22)=0,(22-Schedule_Inputs!$B$22)/Schedule_Inputs!$E$22&lt;Schedule_Inputs!$D$22),$C22/Schedule_Inputs!$D$22,0),0))))</f>
        <v>0</v>
      </c>
      <c r="AA22" s="31">
        <f>IF(Schedule_Inputs!$C$22="Blueprint",$C22*IF(23-Schedule_Inputs!$B$22=0,Assumptions!$B$21,IF(23-Schedule_Inputs!$B$22=1,Assumptions!$C$21,IF(23-Schedule_Inputs!$B$22=2,Assumptions!$D$21,0))),IF(Schedule_Inputs!$C$22="Launch",$C22*IF(23-Schedule_Inputs!$B$22=0,Assumptions!$B$22,IF(23-Schedule_Inputs!$B$22=1,Assumptions!$C$22,IF(23-Schedule_Inputs!$B$22=2,Assumptions!$D$22,IF(23-Schedule_Inputs!$B$22=3,Assumptions!$B$23,0)))),IF(Schedule_Inputs!$C$22="Office Setup",$C22*IF(23-Schedule_Inputs!$B$22=0,Assumptions!$B$24,IF(23-Schedule_Inputs!$B$22=1,Assumptions!$C$24,IF(23-Schedule_Inputs!$B$22=2,Assumptions!$D$24,0))),IF(OR(Schedule_Inputs!$C$22="Monthly",Schedule_Inputs!$C$22="Periodic"),IF(AND(23&gt;=Schedule_Inputs!$B$22,MOD(23-Schedule_Inputs!$B$22,Schedule_Inputs!$E$22)=0,(23-Schedule_Inputs!$B$22)/Schedule_Inputs!$E$22&lt;Schedule_Inputs!$D$22),$C22/Schedule_Inputs!$D$22,0),0))))</f>
        <v>0</v>
      </c>
      <c r="AB22" s="31">
        <f>IF(Schedule_Inputs!$C$22="Blueprint",$C22*IF(24-Schedule_Inputs!$B$22=0,Assumptions!$B$21,IF(24-Schedule_Inputs!$B$22=1,Assumptions!$C$21,IF(24-Schedule_Inputs!$B$22=2,Assumptions!$D$21,0))),IF(Schedule_Inputs!$C$22="Launch",$C22*IF(24-Schedule_Inputs!$B$22=0,Assumptions!$B$22,IF(24-Schedule_Inputs!$B$22=1,Assumptions!$C$22,IF(24-Schedule_Inputs!$B$22=2,Assumptions!$D$22,IF(24-Schedule_Inputs!$B$22=3,Assumptions!$B$23,0)))),IF(Schedule_Inputs!$C$22="Office Setup",$C22*IF(24-Schedule_Inputs!$B$22=0,Assumptions!$B$24,IF(24-Schedule_Inputs!$B$22=1,Assumptions!$C$24,IF(24-Schedule_Inputs!$B$22=2,Assumptions!$D$24,0))),IF(OR(Schedule_Inputs!$C$22="Monthly",Schedule_Inputs!$C$22="Periodic"),IF(AND(24&gt;=Schedule_Inputs!$B$22,MOD(24-Schedule_Inputs!$B$22,Schedule_Inputs!$E$22)=0,(24-Schedule_Inputs!$B$22)/Schedule_Inputs!$E$22&lt;Schedule_Inputs!$D$22),$C22/Schedule_Inputs!$D$22,0),0))))</f>
        <v>0</v>
      </c>
      <c r="AC22" s="31">
        <f>IF(Schedule_Inputs!$C$22="Blueprint",$C22*IF(25-Schedule_Inputs!$B$22=0,Assumptions!$B$21,IF(25-Schedule_Inputs!$B$22=1,Assumptions!$C$21,IF(25-Schedule_Inputs!$B$22=2,Assumptions!$D$21,0))),IF(Schedule_Inputs!$C$22="Launch",$C22*IF(25-Schedule_Inputs!$B$22=0,Assumptions!$B$22,IF(25-Schedule_Inputs!$B$22=1,Assumptions!$C$22,IF(25-Schedule_Inputs!$B$22=2,Assumptions!$D$22,IF(25-Schedule_Inputs!$B$22=3,Assumptions!$B$23,0)))),IF(Schedule_Inputs!$C$22="Office Setup",$C22*IF(25-Schedule_Inputs!$B$22=0,Assumptions!$B$24,IF(25-Schedule_Inputs!$B$22=1,Assumptions!$C$24,IF(25-Schedule_Inputs!$B$22=2,Assumptions!$D$24,0))),IF(OR(Schedule_Inputs!$C$22="Monthly",Schedule_Inputs!$C$22="Periodic"),IF(AND(25&gt;=Schedule_Inputs!$B$22,MOD(25-Schedule_Inputs!$B$22,Schedule_Inputs!$E$22)=0,(25-Schedule_Inputs!$B$22)/Schedule_Inputs!$E$22&lt;Schedule_Inputs!$D$22),$C22/Schedule_Inputs!$D$22,0),0))))</f>
        <v>16500</v>
      </c>
      <c r="AD22" s="31">
        <f>IF(Schedule_Inputs!$C$22="Blueprint",$C22*IF(26-Schedule_Inputs!$B$22=0,Assumptions!$B$21,IF(26-Schedule_Inputs!$B$22=1,Assumptions!$C$21,IF(26-Schedule_Inputs!$B$22=2,Assumptions!$D$21,0))),IF(Schedule_Inputs!$C$22="Launch",$C22*IF(26-Schedule_Inputs!$B$22=0,Assumptions!$B$22,IF(26-Schedule_Inputs!$B$22=1,Assumptions!$C$22,IF(26-Schedule_Inputs!$B$22=2,Assumptions!$D$22,IF(26-Schedule_Inputs!$B$22=3,Assumptions!$B$23,0)))),IF(Schedule_Inputs!$C$22="Office Setup",$C22*IF(26-Schedule_Inputs!$B$22=0,Assumptions!$B$24,IF(26-Schedule_Inputs!$B$22=1,Assumptions!$C$24,IF(26-Schedule_Inputs!$B$22=2,Assumptions!$D$24,0))),IF(OR(Schedule_Inputs!$C$22="Monthly",Schedule_Inputs!$C$22="Periodic"),IF(AND(26&gt;=Schedule_Inputs!$B$22,MOD(26-Schedule_Inputs!$B$22,Schedule_Inputs!$E$22)=0,(26-Schedule_Inputs!$B$22)/Schedule_Inputs!$E$22&lt;Schedule_Inputs!$D$22),$C22/Schedule_Inputs!$D$22,0),0))))</f>
        <v>16500</v>
      </c>
      <c r="AE22" s="31">
        <f>IF(Schedule_Inputs!$C$22="Blueprint",$C22*IF(27-Schedule_Inputs!$B$22=0,Assumptions!$B$21,IF(27-Schedule_Inputs!$B$22=1,Assumptions!$C$21,IF(27-Schedule_Inputs!$B$22=2,Assumptions!$D$21,0))),IF(Schedule_Inputs!$C$22="Launch",$C22*IF(27-Schedule_Inputs!$B$22=0,Assumptions!$B$22,IF(27-Schedule_Inputs!$B$22=1,Assumptions!$C$22,IF(27-Schedule_Inputs!$B$22=2,Assumptions!$D$22,IF(27-Schedule_Inputs!$B$22=3,Assumptions!$B$23,0)))),IF(Schedule_Inputs!$C$22="Office Setup",$C22*IF(27-Schedule_Inputs!$B$22=0,Assumptions!$B$24,IF(27-Schedule_Inputs!$B$22=1,Assumptions!$C$24,IF(27-Schedule_Inputs!$B$22=2,Assumptions!$D$24,0))),IF(OR(Schedule_Inputs!$C$22="Monthly",Schedule_Inputs!$C$22="Periodic"),IF(AND(27&gt;=Schedule_Inputs!$B$22,MOD(27-Schedule_Inputs!$B$22,Schedule_Inputs!$E$22)=0,(27-Schedule_Inputs!$B$22)/Schedule_Inputs!$E$22&lt;Schedule_Inputs!$D$22),$C22/Schedule_Inputs!$D$22,0),0))))</f>
        <v>16500</v>
      </c>
      <c r="AF22" s="31">
        <f>IF(Schedule_Inputs!$C$22="Blueprint",$C22*IF(28-Schedule_Inputs!$B$22=0,Assumptions!$B$21,IF(28-Schedule_Inputs!$B$22=1,Assumptions!$C$21,IF(28-Schedule_Inputs!$B$22=2,Assumptions!$D$21,0))),IF(Schedule_Inputs!$C$22="Launch",$C22*IF(28-Schedule_Inputs!$B$22=0,Assumptions!$B$22,IF(28-Schedule_Inputs!$B$22=1,Assumptions!$C$22,IF(28-Schedule_Inputs!$B$22=2,Assumptions!$D$22,IF(28-Schedule_Inputs!$B$22=3,Assumptions!$B$23,0)))),IF(Schedule_Inputs!$C$22="Office Setup",$C22*IF(28-Schedule_Inputs!$B$22=0,Assumptions!$B$24,IF(28-Schedule_Inputs!$B$22=1,Assumptions!$C$24,IF(28-Schedule_Inputs!$B$22=2,Assumptions!$D$24,0))),IF(OR(Schedule_Inputs!$C$22="Monthly",Schedule_Inputs!$C$22="Periodic"),IF(AND(28&gt;=Schedule_Inputs!$B$22,MOD(28-Schedule_Inputs!$B$22,Schedule_Inputs!$E$22)=0,(28-Schedule_Inputs!$B$22)/Schedule_Inputs!$E$22&lt;Schedule_Inputs!$D$22),$C22/Schedule_Inputs!$D$22,0),0))))</f>
        <v>5500</v>
      </c>
      <c r="AG22" s="31">
        <f>IF(Schedule_Inputs!$C$22="Blueprint",$C22*IF(29-Schedule_Inputs!$B$22=0,Assumptions!$B$21,IF(29-Schedule_Inputs!$B$22=1,Assumptions!$C$21,IF(29-Schedule_Inputs!$B$22=2,Assumptions!$D$21,0))),IF(Schedule_Inputs!$C$22="Launch",$C22*IF(29-Schedule_Inputs!$B$22=0,Assumptions!$B$22,IF(29-Schedule_Inputs!$B$22=1,Assumptions!$C$22,IF(29-Schedule_Inputs!$B$22=2,Assumptions!$D$22,IF(29-Schedule_Inputs!$B$22=3,Assumptions!$B$23,0)))),IF(Schedule_Inputs!$C$22="Office Setup",$C22*IF(29-Schedule_Inputs!$B$22=0,Assumptions!$B$24,IF(29-Schedule_Inputs!$B$22=1,Assumptions!$C$24,IF(29-Schedule_Inputs!$B$22=2,Assumptions!$D$24,0))),IF(OR(Schedule_Inputs!$C$22="Monthly",Schedule_Inputs!$C$22="Periodic"),IF(AND(29&gt;=Schedule_Inputs!$B$22,MOD(29-Schedule_Inputs!$B$22,Schedule_Inputs!$E$22)=0,(29-Schedule_Inputs!$B$22)/Schedule_Inputs!$E$22&lt;Schedule_Inputs!$D$22),$C22/Schedule_Inputs!$D$22,0),0))))</f>
        <v>0</v>
      </c>
      <c r="AH22" s="31">
        <f>IF(Schedule_Inputs!$C$22="Blueprint",$C22*IF(30-Schedule_Inputs!$B$22=0,Assumptions!$B$21,IF(30-Schedule_Inputs!$B$22=1,Assumptions!$C$21,IF(30-Schedule_Inputs!$B$22=2,Assumptions!$D$21,0))),IF(Schedule_Inputs!$C$22="Launch",$C22*IF(30-Schedule_Inputs!$B$22=0,Assumptions!$B$22,IF(30-Schedule_Inputs!$B$22=1,Assumptions!$C$22,IF(30-Schedule_Inputs!$B$22=2,Assumptions!$D$22,IF(30-Schedule_Inputs!$B$22=3,Assumptions!$B$23,0)))),IF(Schedule_Inputs!$C$22="Office Setup",$C22*IF(30-Schedule_Inputs!$B$22=0,Assumptions!$B$24,IF(30-Schedule_Inputs!$B$22=1,Assumptions!$C$24,IF(30-Schedule_Inputs!$B$22=2,Assumptions!$D$24,0))),IF(OR(Schedule_Inputs!$C$22="Monthly",Schedule_Inputs!$C$22="Periodic"),IF(AND(30&gt;=Schedule_Inputs!$B$22,MOD(30-Schedule_Inputs!$B$22,Schedule_Inputs!$E$22)=0,(30-Schedule_Inputs!$B$22)/Schedule_Inputs!$E$22&lt;Schedule_Inputs!$D$22),$C22/Schedule_Inputs!$D$22,0),0))))</f>
        <v>0</v>
      </c>
      <c r="AI22" s="31">
        <f>IF(Schedule_Inputs!$C$22="Blueprint",$C22*IF(31-Schedule_Inputs!$B$22=0,Assumptions!$B$21,IF(31-Schedule_Inputs!$B$22=1,Assumptions!$C$21,IF(31-Schedule_Inputs!$B$22=2,Assumptions!$D$21,0))),IF(Schedule_Inputs!$C$22="Launch",$C22*IF(31-Schedule_Inputs!$B$22=0,Assumptions!$B$22,IF(31-Schedule_Inputs!$B$22=1,Assumptions!$C$22,IF(31-Schedule_Inputs!$B$22=2,Assumptions!$D$22,IF(31-Schedule_Inputs!$B$22=3,Assumptions!$B$23,0)))),IF(Schedule_Inputs!$C$22="Office Setup",$C22*IF(31-Schedule_Inputs!$B$22=0,Assumptions!$B$24,IF(31-Schedule_Inputs!$B$22=1,Assumptions!$C$24,IF(31-Schedule_Inputs!$B$22=2,Assumptions!$D$24,0))),IF(OR(Schedule_Inputs!$C$22="Monthly",Schedule_Inputs!$C$22="Periodic"),IF(AND(31&gt;=Schedule_Inputs!$B$22,MOD(31-Schedule_Inputs!$B$22,Schedule_Inputs!$E$22)=0,(31-Schedule_Inputs!$B$22)/Schedule_Inputs!$E$22&lt;Schedule_Inputs!$D$22),$C22/Schedule_Inputs!$D$22,0),0))))</f>
        <v>0</v>
      </c>
      <c r="AJ22" s="31">
        <f>IF(Schedule_Inputs!$C$22="Blueprint",$C22*IF(32-Schedule_Inputs!$B$22=0,Assumptions!$B$21,IF(32-Schedule_Inputs!$B$22=1,Assumptions!$C$21,IF(32-Schedule_Inputs!$B$22=2,Assumptions!$D$21,0))),IF(Schedule_Inputs!$C$22="Launch",$C22*IF(32-Schedule_Inputs!$B$22=0,Assumptions!$B$22,IF(32-Schedule_Inputs!$B$22=1,Assumptions!$C$22,IF(32-Schedule_Inputs!$B$22=2,Assumptions!$D$22,IF(32-Schedule_Inputs!$B$22=3,Assumptions!$B$23,0)))),IF(Schedule_Inputs!$C$22="Office Setup",$C22*IF(32-Schedule_Inputs!$B$22=0,Assumptions!$B$24,IF(32-Schedule_Inputs!$B$22=1,Assumptions!$C$24,IF(32-Schedule_Inputs!$B$22=2,Assumptions!$D$24,0))),IF(OR(Schedule_Inputs!$C$22="Monthly",Schedule_Inputs!$C$22="Periodic"),IF(AND(32&gt;=Schedule_Inputs!$B$22,MOD(32-Schedule_Inputs!$B$22,Schedule_Inputs!$E$22)=0,(32-Schedule_Inputs!$B$22)/Schedule_Inputs!$E$22&lt;Schedule_Inputs!$D$22),$C22/Schedule_Inputs!$D$22,0),0))))</f>
        <v>0</v>
      </c>
      <c r="AK22" s="31">
        <f>IF(Schedule_Inputs!$C$22="Blueprint",$C22*IF(33-Schedule_Inputs!$B$22=0,Assumptions!$B$21,IF(33-Schedule_Inputs!$B$22=1,Assumptions!$C$21,IF(33-Schedule_Inputs!$B$22=2,Assumptions!$D$21,0))),IF(Schedule_Inputs!$C$22="Launch",$C22*IF(33-Schedule_Inputs!$B$22=0,Assumptions!$B$22,IF(33-Schedule_Inputs!$B$22=1,Assumptions!$C$22,IF(33-Schedule_Inputs!$B$22=2,Assumptions!$D$22,IF(33-Schedule_Inputs!$B$22=3,Assumptions!$B$23,0)))),IF(Schedule_Inputs!$C$22="Office Setup",$C22*IF(33-Schedule_Inputs!$B$22=0,Assumptions!$B$24,IF(33-Schedule_Inputs!$B$22=1,Assumptions!$C$24,IF(33-Schedule_Inputs!$B$22=2,Assumptions!$D$24,0))),IF(OR(Schedule_Inputs!$C$22="Monthly",Schedule_Inputs!$C$22="Periodic"),IF(AND(33&gt;=Schedule_Inputs!$B$22,MOD(33-Schedule_Inputs!$B$22,Schedule_Inputs!$E$22)=0,(33-Schedule_Inputs!$B$22)/Schedule_Inputs!$E$22&lt;Schedule_Inputs!$D$22),$C22/Schedule_Inputs!$D$22,0),0))))</f>
        <v>0</v>
      </c>
      <c r="AL22" s="31">
        <f>IF(Schedule_Inputs!$C$22="Blueprint",$C22*IF(34-Schedule_Inputs!$B$22=0,Assumptions!$B$21,IF(34-Schedule_Inputs!$B$22=1,Assumptions!$C$21,IF(34-Schedule_Inputs!$B$22=2,Assumptions!$D$21,0))),IF(Schedule_Inputs!$C$22="Launch",$C22*IF(34-Schedule_Inputs!$B$22=0,Assumptions!$B$22,IF(34-Schedule_Inputs!$B$22=1,Assumptions!$C$22,IF(34-Schedule_Inputs!$B$22=2,Assumptions!$D$22,IF(34-Schedule_Inputs!$B$22=3,Assumptions!$B$23,0)))),IF(Schedule_Inputs!$C$22="Office Setup",$C22*IF(34-Schedule_Inputs!$B$22=0,Assumptions!$B$24,IF(34-Schedule_Inputs!$B$22=1,Assumptions!$C$24,IF(34-Schedule_Inputs!$B$22=2,Assumptions!$D$24,0))),IF(OR(Schedule_Inputs!$C$22="Monthly",Schedule_Inputs!$C$22="Periodic"),IF(AND(34&gt;=Schedule_Inputs!$B$22,MOD(34-Schedule_Inputs!$B$22,Schedule_Inputs!$E$22)=0,(34-Schedule_Inputs!$B$22)/Schedule_Inputs!$E$22&lt;Schedule_Inputs!$D$22),$C22/Schedule_Inputs!$D$22,0),0))))</f>
        <v>0</v>
      </c>
      <c r="AM22" s="31">
        <f>IF(Schedule_Inputs!$C$22="Blueprint",$C22*IF(35-Schedule_Inputs!$B$22=0,Assumptions!$B$21,IF(35-Schedule_Inputs!$B$22=1,Assumptions!$C$21,IF(35-Schedule_Inputs!$B$22=2,Assumptions!$D$21,0))),IF(Schedule_Inputs!$C$22="Launch",$C22*IF(35-Schedule_Inputs!$B$22=0,Assumptions!$B$22,IF(35-Schedule_Inputs!$B$22=1,Assumptions!$C$22,IF(35-Schedule_Inputs!$B$22=2,Assumptions!$D$22,IF(35-Schedule_Inputs!$B$22=3,Assumptions!$B$23,0)))),IF(Schedule_Inputs!$C$22="Office Setup",$C22*IF(35-Schedule_Inputs!$B$22=0,Assumptions!$B$24,IF(35-Schedule_Inputs!$B$22=1,Assumptions!$C$24,IF(35-Schedule_Inputs!$B$22=2,Assumptions!$D$24,0))),IF(OR(Schedule_Inputs!$C$22="Monthly",Schedule_Inputs!$C$22="Periodic"),IF(AND(35&gt;=Schedule_Inputs!$B$22,MOD(35-Schedule_Inputs!$B$22,Schedule_Inputs!$E$22)=0,(35-Schedule_Inputs!$B$22)/Schedule_Inputs!$E$22&lt;Schedule_Inputs!$D$22),$C22/Schedule_Inputs!$D$22,0),0))))</f>
        <v>0</v>
      </c>
      <c r="AN22" s="31">
        <f>IF(Schedule_Inputs!$C$22="Blueprint",$C22*IF(36-Schedule_Inputs!$B$22=0,Assumptions!$B$21,IF(36-Schedule_Inputs!$B$22=1,Assumptions!$C$21,IF(36-Schedule_Inputs!$B$22=2,Assumptions!$D$21,0))),IF(Schedule_Inputs!$C$22="Launch",$C22*IF(36-Schedule_Inputs!$B$22=0,Assumptions!$B$22,IF(36-Schedule_Inputs!$B$22=1,Assumptions!$C$22,IF(36-Schedule_Inputs!$B$22=2,Assumptions!$D$22,IF(36-Schedule_Inputs!$B$22=3,Assumptions!$B$23,0)))),IF(Schedule_Inputs!$C$22="Office Setup",$C22*IF(36-Schedule_Inputs!$B$22=0,Assumptions!$B$24,IF(36-Schedule_Inputs!$B$22=1,Assumptions!$C$24,IF(36-Schedule_Inputs!$B$22=2,Assumptions!$D$24,0))),IF(OR(Schedule_Inputs!$C$22="Monthly",Schedule_Inputs!$C$22="Periodic"),IF(AND(36&gt;=Schedule_Inputs!$B$22,MOD(36-Schedule_Inputs!$B$22,Schedule_Inputs!$E$22)=0,(36-Schedule_Inputs!$B$22)/Schedule_Inputs!$E$22&lt;Schedule_Inputs!$D$22),$C22/Schedule_Inputs!$D$22,0),0))))</f>
        <v>0</v>
      </c>
    </row>
    <row r="23" spans="1:40">
      <c r="A23" s="29" t="s">
        <v>253</v>
      </c>
      <c r="B23" s="29">
        <v>3</v>
      </c>
      <c r="C23" s="30">
        <v>55000</v>
      </c>
      <c r="D23" s="31" t="s">
        <v>233</v>
      </c>
      <c r="E23" s="31">
        <f>IF(Schedule_Inputs!$C$23="Blueprint",$C23*IF(1-Schedule_Inputs!$B$23=0,Assumptions!$B$21,IF(1-Schedule_Inputs!$B$23=1,Assumptions!$C$21,IF(1-Schedule_Inputs!$B$23=2,Assumptions!$D$21,0))),IF(Schedule_Inputs!$C$23="Launch",$C23*IF(1-Schedule_Inputs!$B$23=0,Assumptions!$B$22,IF(1-Schedule_Inputs!$B$23=1,Assumptions!$C$22,IF(1-Schedule_Inputs!$B$23=2,Assumptions!$D$22,IF(1-Schedule_Inputs!$B$23=3,Assumptions!$B$23,0)))),IF(Schedule_Inputs!$C$23="Office Setup",$C23*IF(1-Schedule_Inputs!$B$23=0,Assumptions!$B$24,IF(1-Schedule_Inputs!$B$23=1,Assumptions!$C$24,IF(1-Schedule_Inputs!$B$23=2,Assumptions!$D$24,0))),IF(OR(Schedule_Inputs!$C$23="Monthly",Schedule_Inputs!$C$23="Periodic"),IF(AND(1&gt;=Schedule_Inputs!$B$23,MOD(1-Schedule_Inputs!$B$23,Schedule_Inputs!$E$23)=0,(1-Schedule_Inputs!$B$23)/Schedule_Inputs!$E$23&lt;Schedule_Inputs!$D$23),$C23/Schedule_Inputs!$D$23,0),0))))</f>
        <v>0</v>
      </c>
      <c r="F23" s="31">
        <f>IF(Schedule_Inputs!$C$23="Blueprint",$C23*IF(2-Schedule_Inputs!$B$23=0,Assumptions!$B$21,IF(2-Schedule_Inputs!$B$23=1,Assumptions!$C$21,IF(2-Schedule_Inputs!$B$23=2,Assumptions!$D$21,0))),IF(Schedule_Inputs!$C$23="Launch",$C23*IF(2-Schedule_Inputs!$B$23=0,Assumptions!$B$22,IF(2-Schedule_Inputs!$B$23=1,Assumptions!$C$22,IF(2-Schedule_Inputs!$B$23=2,Assumptions!$D$22,IF(2-Schedule_Inputs!$B$23=3,Assumptions!$B$23,0)))),IF(Schedule_Inputs!$C$23="Office Setup",$C23*IF(2-Schedule_Inputs!$B$23=0,Assumptions!$B$24,IF(2-Schedule_Inputs!$B$23=1,Assumptions!$C$24,IF(2-Schedule_Inputs!$B$23=2,Assumptions!$D$24,0))),IF(OR(Schedule_Inputs!$C$23="Monthly",Schedule_Inputs!$C$23="Periodic"),IF(AND(2&gt;=Schedule_Inputs!$B$23,MOD(2-Schedule_Inputs!$B$23,Schedule_Inputs!$E$23)=0,(2-Schedule_Inputs!$B$23)/Schedule_Inputs!$E$23&lt;Schedule_Inputs!$D$23),$C23/Schedule_Inputs!$D$23,0),0))))</f>
        <v>0</v>
      </c>
      <c r="G23" s="31">
        <f>IF(Schedule_Inputs!$C$23="Blueprint",$C23*IF(3-Schedule_Inputs!$B$23=0,Assumptions!$B$21,IF(3-Schedule_Inputs!$B$23=1,Assumptions!$C$21,IF(3-Schedule_Inputs!$B$23=2,Assumptions!$D$21,0))),IF(Schedule_Inputs!$C$23="Launch",$C23*IF(3-Schedule_Inputs!$B$23=0,Assumptions!$B$22,IF(3-Schedule_Inputs!$B$23=1,Assumptions!$C$22,IF(3-Schedule_Inputs!$B$23=2,Assumptions!$D$22,IF(3-Schedule_Inputs!$B$23=3,Assumptions!$B$23,0)))),IF(Schedule_Inputs!$C$23="Office Setup",$C23*IF(3-Schedule_Inputs!$B$23=0,Assumptions!$B$24,IF(3-Schedule_Inputs!$B$23=1,Assumptions!$C$24,IF(3-Schedule_Inputs!$B$23=2,Assumptions!$D$24,0))),IF(OR(Schedule_Inputs!$C$23="Monthly",Schedule_Inputs!$C$23="Periodic"),IF(AND(3&gt;=Schedule_Inputs!$B$23,MOD(3-Schedule_Inputs!$B$23,Schedule_Inputs!$E$23)=0,(3-Schedule_Inputs!$B$23)/Schedule_Inputs!$E$23&lt;Schedule_Inputs!$D$23),$C23/Schedule_Inputs!$D$23,0),0))))</f>
        <v>0</v>
      </c>
      <c r="H23" s="31">
        <f>IF(Schedule_Inputs!$C$23="Blueprint",$C23*IF(4-Schedule_Inputs!$B$23=0,Assumptions!$B$21,IF(4-Schedule_Inputs!$B$23=1,Assumptions!$C$21,IF(4-Schedule_Inputs!$B$23=2,Assumptions!$D$21,0))),IF(Schedule_Inputs!$C$23="Launch",$C23*IF(4-Schedule_Inputs!$B$23=0,Assumptions!$B$22,IF(4-Schedule_Inputs!$B$23=1,Assumptions!$C$22,IF(4-Schedule_Inputs!$B$23=2,Assumptions!$D$22,IF(4-Schedule_Inputs!$B$23=3,Assumptions!$B$23,0)))),IF(Schedule_Inputs!$C$23="Office Setup",$C23*IF(4-Schedule_Inputs!$B$23=0,Assumptions!$B$24,IF(4-Schedule_Inputs!$B$23=1,Assumptions!$C$24,IF(4-Schedule_Inputs!$B$23=2,Assumptions!$D$24,0))),IF(OR(Schedule_Inputs!$C$23="Monthly",Schedule_Inputs!$C$23="Periodic"),IF(AND(4&gt;=Schedule_Inputs!$B$23,MOD(4-Schedule_Inputs!$B$23,Schedule_Inputs!$E$23)=0,(4-Schedule_Inputs!$B$23)/Schedule_Inputs!$E$23&lt;Schedule_Inputs!$D$23),$C23/Schedule_Inputs!$D$23,0),0))))</f>
        <v>0</v>
      </c>
      <c r="I23" s="31">
        <f>IF(Schedule_Inputs!$C$23="Blueprint",$C23*IF(5-Schedule_Inputs!$B$23=0,Assumptions!$B$21,IF(5-Schedule_Inputs!$B$23=1,Assumptions!$C$21,IF(5-Schedule_Inputs!$B$23=2,Assumptions!$D$21,0))),IF(Schedule_Inputs!$C$23="Launch",$C23*IF(5-Schedule_Inputs!$B$23=0,Assumptions!$B$22,IF(5-Schedule_Inputs!$B$23=1,Assumptions!$C$22,IF(5-Schedule_Inputs!$B$23=2,Assumptions!$D$22,IF(5-Schedule_Inputs!$B$23=3,Assumptions!$B$23,0)))),IF(Schedule_Inputs!$C$23="Office Setup",$C23*IF(5-Schedule_Inputs!$B$23=0,Assumptions!$B$24,IF(5-Schedule_Inputs!$B$23=1,Assumptions!$C$24,IF(5-Schedule_Inputs!$B$23=2,Assumptions!$D$24,0))),IF(OR(Schedule_Inputs!$C$23="Monthly",Schedule_Inputs!$C$23="Periodic"),IF(AND(5&gt;=Schedule_Inputs!$B$23,MOD(5-Schedule_Inputs!$B$23,Schedule_Inputs!$E$23)=0,(5-Schedule_Inputs!$B$23)/Schedule_Inputs!$E$23&lt;Schedule_Inputs!$D$23),$C23/Schedule_Inputs!$D$23,0),0))))</f>
        <v>0</v>
      </c>
      <c r="J23" s="31">
        <f>IF(Schedule_Inputs!$C$23="Blueprint",$C23*IF(6-Schedule_Inputs!$B$23=0,Assumptions!$B$21,IF(6-Schedule_Inputs!$B$23=1,Assumptions!$C$21,IF(6-Schedule_Inputs!$B$23=2,Assumptions!$D$21,0))),IF(Schedule_Inputs!$C$23="Launch",$C23*IF(6-Schedule_Inputs!$B$23=0,Assumptions!$B$22,IF(6-Schedule_Inputs!$B$23=1,Assumptions!$C$22,IF(6-Schedule_Inputs!$B$23=2,Assumptions!$D$22,IF(6-Schedule_Inputs!$B$23=3,Assumptions!$B$23,0)))),IF(Schedule_Inputs!$C$23="Office Setup",$C23*IF(6-Schedule_Inputs!$B$23=0,Assumptions!$B$24,IF(6-Schedule_Inputs!$B$23=1,Assumptions!$C$24,IF(6-Schedule_Inputs!$B$23=2,Assumptions!$D$24,0))),IF(OR(Schedule_Inputs!$C$23="Monthly",Schedule_Inputs!$C$23="Periodic"),IF(AND(6&gt;=Schedule_Inputs!$B$23,MOD(6-Schedule_Inputs!$B$23,Schedule_Inputs!$E$23)=0,(6-Schedule_Inputs!$B$23)/Schedule_Inputs!$E$23&lt;Schedule_Inputs!$D$23),$C23/Schedule_Inputs!$D$23,0),0))))</f>
        <v>0</v>
      </c>
      <c r="K23" s="31">
        <f>IF(Schedule_Inputs!$C$23="Blueprint",$C23*IF(7-Schedule_Inputs!$B$23=0,Assumptions!$B$21,IF(7-Schedule_Inputs!$B$23=1,Assumptions!$C$21,IF(7-Schedule_Inputs!$B$23=2,Assumptions!$D$21,0))),IF(Schedule_Inputs!$C$23="Launch",$C23*IF(7-Schedule_Inputs!$B$23=0,Assumptions!$B$22,IF(7-Schedule_Inputs!$B$23=1,Assumptions!$C$22,IF(7-Schedule_Inputs!$B$23=2,Assumptions!$D$22,IF(7-Schedule_Inputs!$B$23=3,Assumptions!$B$23,0)))),IF(Schedule_Inputs!$C$23="Office Setup",$C23*IF(7-Schedule_Inputs!$B$23=0,Assumptions!$B$24,IF(7-Schedule_Inputs!$B$23=1,Assumptions!$C$24,IF(7-Schedule_Inputs!$B$23=2,Assumptions!$D$24,0))),IF(OR(Schedule_Inputs!$C$23="Monthly",Schedule_Inputs!$C$23="Periodic"),IF(AND(7&gt;=Schedule_Inputs!$B$23,MOD(7-Schedule_Inputs!$B$23,Schedule_Inputs!$E$23)=0,(7-Schedule_Inputs!$B$23)/Schedule_Inputs!$E$23&lt;Schedule_Inputs!$D$23),$C23/Schedule_Inputs!$D$23,0),0))))</f>
        <v>0</v>
      </c>
      <c r="L23" s="31">
        <f>IF(Schedule_Inputs!$C$23="Blueprint",$C23*IF(8-Schedule_Inputs!$B$23=0,Assumptions!$B$21,IF(8-Schedule_Inputs!$B$23=1,Assumptions!$C$21,IF(8-Schedule_Inputs!$B$23=2,Assumptions!$D$21,0))),IF(Schedule_Inputs!$C$23="Launch",$C23*IF(8-Schedule_Inputs!$B$23=0,Assumptions!$B$22,IF(8-Schedule_Inputs!$B$23=1,Assumptions!$C$22,IF(8-Schedule_Inputs!$B$23=2,Assumptions!$D$22,IF(8-Schedule_Inputs!$B$23=3,Assumptions!$B$23,0)))),IF(Schedule_Inputs!$C$23="Office Setup",$C23*IF(8-Schedule_Inputs!$B$23=0,Assumptions!$B$24,IF(8-Schedule_Inputs!$B$23=1,Assumptions!$C$24,IF(8-Schedule_Inputs!$B$23=2,Assumptions!$D$24,0))),IF(OR(Schedule_Inputs!$C$23="Monthly",Schedule_Inputs!$C$23="Periodic"),IF(AND(8&gt;=Schedule_Inputs!$B$23,MOD(8-Schedule_Inputs!$B$23,Schedule_Inputs!$E$23)=0,(8-Schedule_Inputs!$B$23)/Schedule_Inputs!$E$23&lt;Schedule_Inputs!$D$23),$C23/Schedule_Inputs!$D$23,0),0))))</f>
        <v>0</v>
      </c>
      <c r="M23" s="31">
        <f>IF(Schedule_Inputs!$C$23="Blueprint",$C23*IF(9-Schedule_Inputs!$B$23=0,Assumptions!$B$21,IF(9-Schedule_Inputs!$B$23=1,Assumptions!$C$21,IF(9-Schedule_Inputs!$B$23=2,Assumptions!$D$21,0))),IF(Schedule_Inputs!$C$23="Launch",$C23*IF(9-Schedule_Inputs!$B$23=0,Assumptions!$B$22,IF(9-Schedule_Inputs!$B$23=1,Assumptions!$C$22,IF(9-Schedule_Inputs!$B$23=2,Assumptions!$D$22,IF(9-Schedule_Inputs!$B$23=3,Assumptions!$B$23,0)))),IF(Schedule_Inputs!$C$23="Office Setup",$C23*IF(9-Schedule_Inputs!$B$23=0,Assumptions!$B$24,IF(9-Schedule_Inputs!$B$23=1,Assumptions!$C$24,IF(9-Schedule_Inputs!$B$23=2,Assumptions!$D$24,0))),IF(OR(Schedule_Inputs!$C$23="Monthly",Schedule_Inputs!$C$23="Periodic"),IF(AND(9&gt;=Schedule_Inputs!$B$23,MOD(9-Schedule_Inputs!$B$23,Schedule_Inputs!$E$23)=0,(9-Schedule_Inputs!$B$23)/Schedule_Inputs!$E$23&lt;Schedule_Inputs!$D$23),$C23/Schedule_Inputs!$D$23,0),0))))</f>
        <v>0</v>
      </c>
      <c r="N23" s="31">
        <f>IF(Schedule_Inputs!$C$23="Blueprint",$C23*IF(10-Schedule_Inputs!$B$23=0,Assumptions!$B$21,IF(10-Schedule_Inputs!$B$23=1,Assumptions!$C$21,IF(10-Schedule_Inputs!$B$23=2,Assumptions!$D$21,0))),IF(Schedule_Inputs!$C$23="Launch",$C23*IF(10-Schedule_Inputs!$B$23=0,Assumptions!$B$22,IF(10-Schedule_Inputs!$B$23=1,Assumptions!$C$22,IF(10-Schedule_Inputs!$B$23=2,Assumptions!$D$22,IF(10-Schedule_Inputs!$B$23=3,Assumptions!$B$23,0)))),IF(Schedule_Inputs!$C$23="Office Setup",$C23*IF(10-Schedule_Inputs!$B$23=0,Assumptions!$B$24,IF(10-Schedule_Inputs!$B$23=1,Assumptions!$C$24,IF(10-Schedule_Inputs!$B$23=2,Assumptions!$D$24,0))),IF(OR(Schedule_Inputs!$C$23="Monthly",Schedule_Inputs!$C$23="Periodic"),IF(AND(10&gt;=Schedule_Inputs!$B$23,MOD(10-Schedule_Inputs!$B$23,Schedule_Inputs!$E$23)=0,(10-Schedule_Inputs!$B$23)/Schedule_Inputs!$E$23&lt;Schedule_Inputs!$D$23),$C23/Schedule_Inputs!$D$23,0),0))))</f>
        <v>0</v>
      </c>
      <c r="O23" s="31">
        <f>IF(Schedule_Inputs!$C$23="Blueprint",$C23*IF(11-Schedule_Inputs!$B$23=0,Assumptions!$B$21,IF(11-Schedule_Inputs!$B$23=1,Assumptions!$C$21,IF(11-Schedule_Inputs!$B$23=2,Assumptions!$D$21,0))),IF(Schedule_Inputs!$C$23="Launch",$C23*IF(11-Schedule_Inputs!$B$23=0,Assumptions!$B$22,IF(11-Schedule_Inputs!$B$23=1,Assumptions!$C$22,IF(11-Schedule_Inputs!$B$23=2,Assumptions!$D$22,IF(11-Schedule_Inputs!$B$23=3,Assumptions!$B$23,0)))),IF(Schedule_Inputs!$C$23="Office Setup",$C23*IF(11-Schedule_Inputs!$B$23=0,Assumptions!$B$24,IF(11-Schedule_Inputs!$B$23=1,Assumptions!$C$24,IF(11-Schedule_Inputs!$B$23=2,Assumptions!$D$24,0))),IF(OR(Schedule_Inputs!$C$23="Monthly",Schedule_Inputs!$C$23="Periodic"),IF(AND(11&gt;=Schedule_Inputs!$B$23,MOD(11-Schedule_Inputs!$B$23,Schedule_Inputs!$E$23)=0,(11-Schedule_Inputs!$B$23)/Schedule_Inputs!$E$23&lt;Schedule_Inputs!$D$23),$C23/Schedule_Inputs!$D$23,0),0))))</f>
        <v>0</v>
      </c>
      <c r="P23" s="31">
        <f>IF(Schedule_Inputs!$C$23="Blueprint",$C23*IF(12-Schedule_Inputs!$B$23=0,Assumptions!$B$21,IF(12-Schedule_Inputs!$B$23=1,Assumptions!$C$21,IF(12-Schedule_Inputs!$B$23=2,Assumptions!$D$21,0))),IF(Schedule_Inputs!$C$23="Launch",$C23*IF(12-Schedule_Inputs!$B$23=0,Assumptions!$B$22,IF(12-Schedule_Inputs!$B$23=1,Assumptions!$C$22,IF(12-Schedule_Inputs!$B$23=2,Assumptions!$D$22,IF(12-Schedule_Inputs!$B$23=3,Assumptions!$B$23,0)))),IF(Schedule_Inputs!$C$23="Office Setup",$C23*IF(12-Schedule_Inputs!$B$23=0,Assumptions!$B$24,IF(12-Schedule_Inputs!$B$23=1,Assumptions!$C$24,IF(12-Schedule_Inputs!$B$23=2,Assumptions!$D$24,0))),IF(OR(Schedule_Inputs!$C$23="Monthly",Schedule_Inputs!$C$23="Periodic"),IF(AND(12&gt;=Schedule_Inputs!$B$23,MOD(12-Schedule_Inputs!$B$23,Schedule_Inputs!$E$23)=0,(12-Schedule_Inputs!$B$23)/Schedule_Inputs!$E$23&lt;Schedule_Inputs!$D$23),$C23/Schedule_Inputs!$D$23,0),0))))</f>
        <v>0</v>
      </c>
      <c r="Q23" s="31">
        <f>IF(Schedule_Inputs!$C$23="Blueprint",$C23*IF(13-Schedule_Inputs!$B$23=0,Assumptions!$B$21,IF(13-Schedule_Inputs!$B$23=1,Assumptions!$C$21,IF(13-Schedule_Inputs!$B$23=2,Assumptions!$D$21,0))),IF(Schedule_Inputs!$C$23="Launch",$C23*IF(13-Schedule_Inputs!$B$23=0,Assumptions!$B$22,IF(13-Schedule_Inputs!$B$23=1,Assumptions!$C$22,IF(13-Schedule_Inputs!$B$23=2,Assumptions!$D$22,IF(13-Schedule_Inputs!$B$23=3,Assumptions!$B$23,0)))),IF(Schedule_Inputs!$C$23="Office Setup",$C23*IF(13-Schedule_Inputs!$B$23=0,Assumptions!$B$24,IF(13-Schedule_Inputs!$B$23=1,Assumptions!$C$24,IF(13-Schedule_Inputs!$B$23=2,Assumptions!$D$24,0))),IF(OR(Schedule_Inputs!$C$23="Monthly",Schedule_Inputs!$C$23="Periodic"),IF(AND(13&gt;=Schedule_Inputs!$B$23,MOD(13-Schedule_Inputs!$B$23,Schedule_Inputs!$E$23)=0,(13-Schedule_Inputs!$B$23)/Schedule_Inputs!$E$23&lt;Schedule_Inputs!$D$23),$C23/Schedule_Inputs!$D$23,0),0))))</f>
        <v>0</v>
      </c>
      <c r="R23" s="31">
        <f>IF(Schedule_Inputs!$C$23="Blueprint",$C23*IF(14-Schedule_Inputs!$B$23=0,Assumptions!$B$21,IF(14-Schedule_Inputs!$B$23=1,Assumptions!$C$21,IF(14-Schedule_Inputs!$B$23=2,Assumptions!$D$21,0))),IF(Schedule_Inputs!$C$23="Launch",$C23*IF(14-Schedule_Inputs!$B$23=0,Assumptions!$B$22,IF(14-Schedule_Inputs!$B$23=1,Assumptions!$C$22,IF(14-Schedule_Inputs!$B$23=2,Assumptions!$D$22,IF(14-Schedule_Inputs!$B$23=3,Assumptions!$B$23,0)))),IF(Schedule_Inputs!$C$23="Office Setup",$C23*IF(14-Schedule_Inputs!$B$23=0,Assumptions!$B$24,IF(14-Schedule_Inputs!$B$23=1,Assumptions!$C$24,IF(14-Schedule_Inputs!$B$23=2,Assumptions!$D$24,0))),IF(OR(Schedule_Inputs!$C$23="Monthly",Schedule_Inputs!$C$23="Periodic"),IF(AND(14&gt;=Schedule_Inputs!$B$23,MOD(14-Schedule_Inputs!$B$23,Schedule_Inputs!$E$23)=0,(14-Schedule_Inputs!$B$23)/Schedule_Inputs!$E$23&lt;Schedule_Inputs!$D$23),$C23/Schedule_Inputs!$D$23,0),0))))</f>
        <v>0</v>
      </c>
      <c r="S23" s="31">
        <f>IF(Schedule_Inputs!$C$23="Blueprint",$C23*IF(15-Schedule_Inputs!$B$23=0,Assumptions!$B$21,IF(15-Schedule_Inputs!$B$23=1,Assumptions!$C$21,IF(15-Schedule_Inputs!$B$23=2,Assumptions!$D$21,0))),IF(Schedule_Inputs!$C$23="Launch",$C23*IF(15-Schedule_Inputs!$B$23=0,Assumptions!$B$22,IF(15-Schedule_Inputs!$B$23=1,Assumptions!$C$22,IF(15-Schedule_Inputs!$B$23=2,Assumptions!$D$22,IF(15-Schedule_Inputs!$B$23=3,Assumptions!$B$23,0)))),IF(Schedule_Inputs!$C$23="Office Setup",$C23*IF(15-Schedule_Inputs!$B$23=0,Assumptions!$B$24,IF(15-Schedule_Inputs!$B$23=1,Assumptions!$C$24,IF(15-Schedule_Inputs!$B$23=2,Assumptions!$D$24,0))),IF(OR(Schedule_Inputs!$C$23="Monthly",Schedule_Inputs!$C$23="Periodic"),IF(AND(15&gt;=Schedule_Inputs!$B$23,MOD(15-Schedule_Inputs!$B$23,Schedule_Inputs!$E$23)=0,(15-Schedule_Inputs!$B$23)/Schedule_Inputs!$E$23&lt;Schedule_Inputs!$D$23),$C23/Schedule_Inputs!$D$23,0),0))))</f>
        <v>0</v>
      </c>
      <c r="T23" s="31">
        <f>IF(Schedule_Inputs!$C$23="Blueprint",$C23*IF(16-Schedule_Inputs!$B$23=0,Assumptions!$B$21,IF(16-Schedule_Inputs!$B$23=1,Assumptions!$C$21,IF(16-Schedule_Inputs!$B$23=2,Assumptions!$D$21,0))),IF(Schedule_Inputs!$C$23="Launch",$C23*IF(16-Schedule_Inputs!$B$23=0,Assumptions!$B$22,IF(16-Schedule_Inputs!$B$23=1,Assumptions!$C$22,IF(16-Schedule_Inputs!$B$23=2,Assumptions!$D$22,IF(16-Schedule_Inputs!$B$23=3,Assumptions!$B$23,0)))),IF(Schedule_Inputs!$C$23="Office Setup",$C23*IF(16-Schedule_Inputs!$B$23=0,Assumptions!$B$24,IF(16-Schedule_Inputs!$B$23=1,Assumptions!$C$24,IF(16-Schedule_Inputs!$B$23=2,Assumptions!$D$24,0))),IF(OR(Schedule_Inputs!$C$23="Monthly",Schedule_Inputs!$C$23="Periodic"),IF(AND(16&gt;=Schedule_Inputs!$B$23,MOD(16-Schedule_Inputs!$B$23,Schedule_Inputs!$E$23)=0,(16-Schedule_Inputs!$B$23)/Schedule_Inputs!$E$23&lt;Schedule_Inputs!$D$23),$C23/Schedule_Inputs!$D$23,0),0))))</f>
        <v>0</v>
      </c>
      <c r="U23" s="31">
        <f>IF(Schedule_Inputs!$C$23="Blueprint",$C23*IF(17-Schedule_Inputs!$B$23=0,Assumptions!$B$21,IF(17-Schedule_Inputs!$B$23=1,Assumptions!$C$21,IF(17-Schedule_Inputs!$B$23=2,Assumptions!$D$21,0))),IF(Schedule_Inputs!$C$23="Launch",$C23*IF(17-Schedule_Inputs!$B$23=0,Assumptions!$B$22,IF(17-Schedule_Inputs!$B$23=1,Assumptions!$C$22,IF(17-Schedule_Inputs!$B$23=2,Assumptions!$D$22,IF(17-Schedule_Inputs!$B$23=3,Assumptions!$B$23,0)))),IF(Schedule_Inputs!$C$23="Office Setup",$C23*IF(17-Schedule_Inputs!$B$23=0,Assumptions!$B$24,IF(17-Schedule_Inputs!$B$23=1,Assumptions!$C$24,IF(17-Schedule_Inputs!$B$23=2,Assumptions!$D$24,0))),IF(OR(Schedule_Inputs!$C$23="Monthly",Schedule_Inputs!$C$23="Periodic"),IF(AND(17&gt;=Schedule_Inputs!$B$23,MOD(17-Schedule_Inputs!$B$23,Schedule_Inputs!$E$23)=0,(17-Schedule_Inputs!$B$23)/Schedule_Inputs!$E$23&lt;Schedule_Inputs!$D$23),$C23/Schedule_Inputs!$D$23,0),0))))</f>
        <v>0</v>
      </c>
      <c r="V23" s="31">
        <f>IF(Schedule_Inputs!$C$23="Blueprint",$C23*IF(18-Schedule_Inputs!$B$23=0,Assumptions!$B$21,IF(18-Schedule_Inputs!$B$23=1,Assumptions!$C$21,IF(18-Schedule_Inputs!$B$23=2,Assumptions!$D$21,0))),IF(Schedule_Inputs!$C$23="Launch",$C23*IF(18-Schedule_Inputs!$B$23=0,Assumptions!$B$22,IF(18-Schedule_Inputs!$B$23=1,Assumptions!$C$22,IF(18-Schedule_Inputs!$B$23=2,Assumptions!$D$22,IF(18-Schedule_Inputs!$B$23=3,Assumptions!$B$23,0)))),IF(Schedule_Inputs!$C$23="Office Setup",$C23*IF(18-Schedule_Inputs!$B$23=0,Assumptions!$B$24,IF(18-Schedule_Inputs!$B$23=1,Assumptions!$C$24,IF(18-Schedule_Inputs!$B$23=2,Assumptions!$D$24,0))),IF(OR(Schedule_Inputs!$C$23="Monthly",Schedule_Inputs!$C$23="Periodic"),IF(AND(18&gt;=Schedule_Inputs!$B$23,MOD(18-Schedule_Inputs!$B$23,Schedule_Inputs!$E$23)=0,(18-Schedule_Inputs!$B$23)/Schedule_Inputs!$E$23&lt;Schedule_Inputs!$D$23),$C23/Schedule_Inputs!$D$23,0),0))))</f>
        <v>0</v>
      </c>
      <c r="W23" s="31">
        <f>IF(Schedule_Inputs!$C$23="Blueprint",$C23*IF(19-Schedule_Inputs!$B$23=0,Assumptions!$B$21,IF(19-Schedule_Inputs!$B$23=1,Assumptions!$C$21,IF(19-Schedule_Inputs!$B$23=2,Assumptions!$D$21,0))),IF(Schedule_Inputs!$C$23="Launch",$C23*IF(19-Schedule_Inputs!$B$23=0,Assumptions!$B$22,IF(19-Schedule_Inputs!$B$23=1,Assumptions!$C$22,IF(19-Schedule_Inputs!$B$23=2,Assumptions!$D$22,IF(19-Schedule_Inputs!$B$23=3,Assumptions!$B$23,0)))),IF(Schedule_Inputs!$C$23="Office Setup",$C23*IF(19-Schedule_Inputs!$B$23=0,Assumptions!$B$24,IF(19-Schedule_Inputs!$B$23=1,Assumptions!$C$24,IF(19-Schedule_Inputs!$B$23=2,Assumptions!$D$24,0))),IF(OR(Schedule_Inputs!$C$23="Monthly",Schedule_Inputs!$C$23="Periodic"),IF(AND(19&gt;=Schedule_Inputs!$B$23,MOD(19-Schedule_Inputs!$B$23,Schedule_Inputs!$E$23)=0,(19-Schedule_Inputs!$B$23)/Schedule_Inputs!$E$23&lt;Schedule_Inputs!$D$23),$C23/Schedule_Inputs!$D$23,0),0))))</f>
        <v>0</v>
      </c>
      <c r="X23" s="31">
        <f>IF(Schedule_Inputs!$C$23="Blueprint",$C23*IF(20-Schedule_Inputs!$B$23=0,Assumptions!$B$21,IF(20-Schedule_Inputs!$B$23=1,Assumptions!$C$21,IF(20-Schedule_Inputs!$B$23=2,Assumptions!$D$21,0))),IF(Schedule_Inputs!$C$23="Launch",$C23*IF(20-Schedule_Inputs!$B$23=0,Assumptions!$B$22,IF(20-Schedule_Inputs!$B$23=1,Assumptions!$C$22,IF(20-Schedule_Inputs!$B$23=2,Assumptions!$D$22,IF(20-Schedule_Inputs!$B$23=3,Assumptions!$B$23,0)))),IF(Schedule_Inputs!$C$23="Office Setup",$C23*IF(20-Schedule_Inputs!$B$23=0,Assumptions!$B$24,IF(20-Schedule_Inputs!$B$23=1,Assumptions!$C$24,IF(20-Schedule_Inputs!$B$23=2,Assumptions!$D$24,0))),IF(OR(Schedule_Inputs!$C$23="Monthly",Schedule_Inputs!$C$23="Periodic"),IF(AND(20&gt;=Schedule_Inputs!$B$23,MOD(20-Schedule_Inputs!$B$23,Schedule_Inputs!$E$23)=0,(20-Schedule_Inputs!$B$23)/Schedule_Inputs!$E$23&lt;Schedule_Inputs!$D$23),$C23/Schedule_Inputs!$D$23,0),0))))</f>
        <v>0</v>
      </c>
      <c r="Y23" s="31">
        <f>IF(Schedule_Inputs!$C$23="Blueprint",$C23*IF(21-Schedule_Inputs!$B$23=0,Assumptions!$B$21,IF(21-Schedule_Inputs!$B$23=1,Assumptions!$C$21,IF(21-Schedule_Inputs!$B$23=2,Assumptions!$D$21,0))),IF(Schedule_Inputs!$C$23="Launch",$C23*IF(21-Schedule_Inputs!$B$23=0,Assumptions!$B$22,IF(21-Schedule_Inputs!$B$23=1,Assumptions!$C$22,IF(21-Schedule_Inputs!$B$23=2,Assumptions!$D$22,IF(21-Schedule_Inputs!$B$23=3,Assumptions!$B$23,0)))),IF(Schedule_Inputs!$C$23="Office Setup",$C23*IF(21-Schedule_Inputs!$B$23=0,Assumptions!$B$24,IF(21-Schedule_Inputs!$B$23=1,Assumptions!$C$24,IF(21-Schedule_Inputs!$B$23=2,Assumptions!$D$24,0))),IF(OR(Schedule_Inputs!$C$23="Monthly",Schedule_Inputs!$C$23="Periodic"),IF(AND(21&gt;=Schedule_Inputs!$B$23,MOD(21-Schedule_Inputs!$B$23,Schedule_Inputs!$E$23)=0,(21-Schedule_Inputs!$B$23)/Schedule_Inputs!$E$23&lt;Schedule_Inputs!$D$23),$C23/Schedule_Inputs!$D$23,0),0))))</f>
        <v>0</v>
      </c>
      <c r="Z23" s="31">
        <f>IF(Schedule_Inputs!$C$23="Blueprint",$C23*IF(22-Schedule_Inputs!$B$23=0,Assumptions!$B$21,IF(22-Schedule_Inputs!$B$23=1,Assumptions!$C$21,IF(22-Schedule_Inputs!$B$23=2,Assumptions!$D$21,0))),IF(Schedule_Inputs!$C$23="Launch",$C23*IF(22-Schedule_Inputs!$B$23=0,Assumptions!$B$22,IF(22-Schedule_Inputs!$B$23=1,Assumptions!$C$22,IF(22-Schedule_Inputs!$B$23=2,Assumptions!$D$22,IF(22-Schedule_Inputs!$B$23=3,Assumptions!$B$23,0)))),IF(Schedule_Inputs!$C$23="Office Setup",$C23*IF(22-Schedule_Inputs!$B$23=0,Assumptions!$B$24,IF(22-Schedule_Inputs!$B$23=1,Assumptions!$C$24,IF(22-Schedule_Inputs!$B$23=2,Assumptions!$D$24,0))),IF(OR(Schedule_Inputs!$C$23="Monthly",Schedule_Inputs!$C$23="Periodic"),IF(AND(22&gt;=Schedule_Inputs!$B$23,MOD(22-Schedule_Inputs!$B$23,Schedule_Inputs!$E$23)=0,(22-Schedule_Inputs!$B$23)/Schedule_Inputs!$E$23&lt;Schedule_Inputs!$D$23),$C23/Schedule_Inputs!$D$23,0),0))))</f>
        <v>0</v>
      </c>
      <c r="AA23" s="31">
        <f>IF(Schedule_Inputs!$C$23="Blueprint",$C23*IF(23-Schedule_Inputs!$B$23=0,Assumptions!$B$21,IF(23-Schedule_Inputs!$B$23=1,Assumptions!$C$21,IF(23-Schedule_Inputs!$B$23=2,Assumptions!$D$21,0))),IF(Schedule_Inputs!$C$23="Launch",$C23*IF(23-Schedule_Inputs!$B$23=0,Assumptions!$B$22,IF(23-Schedule_Inputs!$B$23=1,Assumptions!$C$22,IF(23-Schedule_Inputs!$B$23=2,Assumptions!$D$22,IF(23-Schedule_Inputs!$B$23=3,Assumptions!$B$23,0)))),IF(Schedule_Inputs!$C$23="Office Setup",$C23*IF(23-Schedule_Inputs!$B$23=0,Assumptions!$B$24,IF(23-Schedule_Inputs!$B$23=1,Assumptions!$C$24,IF(23-Schedule_Inputs!$B$23=2,Assumptions!$D$24,0))),IF(OR(Schedule_Inputs!$C$23="Monthly",Schedule_Inputs!$C$23="Periodic"),IF(AND(23&gt;=Schedule_Inputs!$B$23,MOD(23-Schedule_Inputs!$B$23,Schedule_Inputs!$E$23)=0,(23-Schedule_Inputs!$B$23)/Schedule_Inputs!$E$23&lt;Schedule_Inputs!$D$23),$C23/Schedule_Inputs!$D$23,0),0))))</f>
        <v>0</v>
      </c>
      <c r="AB23" s="31">
        <f>IF(Schedule_Inputs!$C$23="Blueprint",$C23*IF(24-Schedule_Inputs!$B$23=0,Assumptions!$B$21,IF(24-Schedule_Inputs!$B$23=1,Assumptions!$C$21,IF(24-Schedule_Inputs!$B$23=2,Assumptions!$D$21,0))),IF(Schedule_Inputs!$C$23="Launch",$C23*IF(24-Schedule_Inputs!$B$23=0,Assumptions!$B$22,IF(24-Schedule_Inputs!$B$23=1,Assumptions!$C$22,IF(24-Schedule_Inputs!$B$23=2,Assumptions!$D$22,IF(24-Schedule_Inputs!$B$23=3,Assumptions!$B$23,0)))),IF(Schedule_Inputs!$C$23="Office Setup",$C23*IF(24-Schedule_Inputs!$B$23=0,Assumptions!$B$24,IF(24-Schedule_Inputs!$B$23=1,Assumptions!$C$24,IF(24-Schedule_Inputs!$B$23=2,Assumptions!$D$24,0))),IF(OR(Schedule_Inputs!$C$23="Monthly",Schedule_Inputs!$C$23="Periodic"),IF(AND(24&gt;=Schedule_Inputs!$B$23,MOD(24-Schedule_Inputs!$B$23,Schedule_Inputs!$E$23)=0,(24-Schedule_Inputs!$B$23)/Schedule_Inputs!$E$23&lt;Schedule_Inputs!$D$23),$C23/Schedule_Inputs!$D$23,0),0))))</f>
        <v>0</v>
      </c>
      <c r="AC23" s="31">
        <f>IF(Schedule_Inputs!$C$23="Blueprint",$C23*IF(25-Schedule_Inputs!$B$23=0,Assumptions!$B$21,IF(25-Schedule_Inputs!$B$23=1,Assumptions!$C$21,IF(25-Schedule_Inputs!$B$23=2,Assumptions!$D$21,0))),IF(Schedule_Inputs!$C$23="Launch",$C23*IF(25-Schedule_Inputs!$B$23=0,Assumptions!$B$22,IF(25-Schedule_Inputs!$B$23=1,Assumptions!$C$22,IF(25-Schedule_Inputs!$B$23=2,Assumptions!$D$22,IF(25-Schedule_Inputs!$B$23=3,Assumptions!$B$23,0)))),IF(Schedule_Inputs!$C$23="Office Setup",$C23*IF(25-Schedule_Inputs!$B$23=0,Assumptions!$B$24,IF(25-Schedule_Inputs!$B$23=1,Assumptions!$C$24,IF(25-Schedule_Inputs!$B$23=2,Assumptions!$D$24,0))),IF(OR(Schedule_Inputs!$C$23="Monthly",Schedule_Inputs!$C$23="Periodic"),IF(AND(25&gt;=Schedule_Inputs!$B$23,MOD(25-Schedule_Inputs!$B$23,Schedule_Inputs!$E$23)=0,(25-Schedule_Inputs!$B$23)/Schedule_Inputs!$E$23&lt;Schedule_Inputs!$D$23),$C23/Schedule_Inputs!$D$23,0),0))))</f>
        <v>0</v>
      </c>
      <c r="AD23" s="31">
        <f>IF(Schedule_Inputs!$C$23="Blueprint",$C23*IF(26-Schedule_Inputs!$B$23=0,Assumptions!$B$21,IF(26-Schedule_Inputs!$B$23=1,Assumptions!$C$21,IF(26-Schedule_Inputs!$B$23=2,Assumptions!$D$21,0))),IF(Schedule_Inputs!$C$23="Launch",$C23*IF(26-Schedule_Inputs!$B$23=0,Assumptions!$B$22,IF(26-Schedule_Inputs!$B$23=1,Assumptions!$C$22,IF(26-Schedule_Inputs!$B$23=2,Assumptions!$D$22,IF(26-Schedule_Inputs!$B$23=3,Assumptions!$B$23,0)))),IF(Schedule_Inputs!$C$23="Office Setup",$C23*IF(26-Schedule_Inputs!$B$23=0,Assumptions!$B$24,IF(26-Schedule_Inputs!$B$23=1,Assumptions!$C$24,IF(26-Schedule_Inputs!$B$23=2,Assumptions!$D$24,0))),IF(OR(Schedule_Inputs!$C$23="Monthly",Schedule_Inputs!$C$23="Periodic"),IF(AND(26&gt;=Schedule_Inputs!$B$23,MOD(26-Schedule_Inputs!$B$23,Schedule_Inputs!$E$23)=0,(26-Schedule_Inputs!$B$23)/Schedule_Inputs!$E$23&lt;Schedule_Inputs!$D$23),$C23/Schedule_Inputs!$D$23,0),0))))</f>
        <v>0</v>
      </c>
      <c r="AE23" s="31">
        <f>IF(Schedule_Inputs!$C$23="Blueprint",$C23*IF(27-Schedule_Inputs!$B$23=0,Assumptions!$B$21,IF(27-Schedule_Inputs!$B$23=1,Assumptions!$C$21,IF(27-Schedule_Inputs!$B$23=2,Assumptions!$D$21,0))),IF(Schedule_Inputs!$C$23="Launch",$C23*IF(27-Schedule_Inputs!$B$23=0,Assumptions!$B$22,IF(27-Schedule_Inputs!$B$23=1,Assumptions!$C$22,IF(27-Schedule_Inputs!$B$23=2,Assumptions!$D$22,IF(27-Schedule_Inputs!$B$23=3,Assumptions!$B$23,0)))),IF(Schedule_Inputs!$C$23="Office Setup",$C23*IF(27-Schedule_Inputs!$B$23=0,Assumptions!$B$24,IF(27-Schedule_Inputs!$B$23=1,Assumptions!$C$24,IF(27-Schedule_Inputs!$B$23=2,Assumptions!$D$24,0))),IF(OR(Schedule_Inputs!$C$23="Monthly",Schedule_Inputs!$C$23="Periodic"),IF(AND(27&gt;=Schedule_Inputs!$B$23,MOD(27-Schedule_Inputs!$B$23,Schedule_Inputs!$E$23)=0,(27-Schedule_Inputs!$B$23)/Schedule_Inputs!$E$23&lt;Schedule_Inputs!$D$23),$C23/Schedule_Inputs!$D$23,0),0))))</f>
        <v>0</v>
      </c>
      <c r="AF23" s="31">
        <f>IF(Schedule_Inputs!$C$23="Blueprint",$C23*IF(28-Schedule_Inputs!$B$23=0,Assumptions!$B$21,IF(28-Schedule_Inputs!$B$23=1,Assumptions!$C$21,IF(28-Schedule_Inputs!$B$23=2,Assumptions!$D$21,0))),IF(Schedule_Inputs!$C$23="Launch",$C23*IF(28-Schedule_Inputs!$B$23=0,Assumptions!$B$22,IF(28-Schedule_Inputs!$B$23=1,Assumptions!$C$22,IF(28-Schedule_Inputs!$B$23=2,Assumptions!$D$22,IF(28-Schedule_Inputs!$B$23=3,Assumptions!$B$23,0)))),IF(Schedule_Inputs!$C$23="Office Setup",$C23*IF(28-Schedule_Inputs!$B$23=0,Assumptions!$B$24,IF(28-Schedule_Inputs!$B$23=1,Assumptions!$C$24,IF(28-Schedule_Inputs!$B$23=2,Assumptions!$D$24,0))),IF(OR(Schedule_Inputs!$C$23="Monthly",Schedule_Inputs!$C$23="Periodic"),IF(AND(28&gt;=Schedule_Inputs!$B$23,MOD(28-Schedule_Inputs!$B$23,Schedule_Inputs!$E$23)=0,(28-Schedule_Inputs!$B$23)/Schedule_Inputs!$E$23&lt;Schedule_Inputs!$D$23),$C23/Schedule_Inputs!$D$23,0),0))))</f>
        <v>0</v>
      </c>
      <c r="AG23" s="31">
        <f>IF(Schedule_Inputs!$C$23="Blueprint",$C23*IF(29-Schedule_Inputs!$B$23=0,Assumptions!$B$21,IF(29-Schedule_Inputs!$B$23=1,Assumptions!$C$21,IF(29-Schedule_Inputs!$B$23=2,Assumptions!$D$21,0))),IF(Schedule_Inputs!$C$23="Launch",$C23*IF(29-Schedule_Inputs!$B$23=0,Assumptions!$B$22,IF(29-Schedule_Inputs!$B$23=1,Assumptions!$C$22,IF(29-Schedule_Inputs!$B$23=2,Assumptions!$D$22,IF(29-Schedule_Inputs!$B$23=3,Assumptions!$B$23,0)))),IF(Schedule_Inputs!$C$23="Office Setup",$C23*IF(29-Schedule_Inputs!$B$23=0,Assumptions!$B$24,IF(29-Schedule_Inputs!$B$23=1,Assumptions!$C$24,IF(29-Schedule_Inputs!$B$23=2,Assumptions!$D$24,0))),IF(OR(Schedule_Inputs!$C$23="Monthly",Schedule_Inputs!$C$23="Periodic"),IF(AND(29&gt;=Schedule_Inputs!$B$23,MOD(29-Schedule_Inputs!$B$23,Schedule_Inputs!$E$23)=0,(29-Schedule_Inputs!$B$23)/Schedule_Inputs!$E$23&lt;Schedule_Inputs!$D$23),$C23/Schedule_Inputs!$D$23,0),0))))</f>
        <v>0</v>
      </c>
      <c r="AH23" s="31">
        <f>IF(Schedule_Inputs!$C$23="Blueprint",$C23*IF(30-Schedule_Inputs!$B$23=0,Assumptions!$B$21,IF(30-Schedule_Inputs!$B$23=1,Assumptions!$C$21,IF(30-Schedule_Inputs!$B$23=2,Assumptions!$D$21,0))),IF(Schedule_Inputs!$C$23="Launch",$C23*IF(30-Schedule_Inputs!$B$23=0,Assumptions!$B$22,IF(30-Schedule_Inputs!$B$23=1,Assumptions!$C$22,IF(30-Schedule_Inputs!$B$23=2,Assumptions!$D$22,IF(30-Schedule_Inputs!$B$23=3,Assumptions!$B$23,0)))),IF(Schedule_Inputs!$C$23="Office Setup",$C23*IF(30-Schedule_Inputs!$B$23=0,Assumptions!$B$24,IF(30-Schedule_Inputs!$B$23=1,Assumptions!$C$24,IF(30-Schedule_Inputs!$B$23=2,Assumptions!$D$24,0))),IF(OR(Schedule_Inputs!$C$23="Monthly",Schedule_Inputs!$C$23="Periodic"),IF(AND(30&gt;=Schedule_Inputs!$B$23,MOD(30-Schedule_Inputs!$B$23,Schedule_Inputs!$E$23)=0,(30-Schedule_Inputs!$B$23)/Schedule_Inputs!$E$23&lt;Schedule_Inputs!$D$23),$C23/Schedule_Inputs!$D$23,0),0))))</f>
        <v>16500</v>
      </c>
      <c r="AI23" s="31">
        <f>IF(Schedule_Inputs!$C$23="Blueprint",$C23*IF(31-Schedule_Inputs!$B$23=0,Assumptions!$B$21,IF(31-Schedule_Inputs!$B$23=1,Assumptions!$C$21,IF(31-Schedule_Inputs!$B$23=2,Assumptions!$D$21,0))),IF(Schedule_Inputs!$C$23="Launch",$C23*IF(31-Schedule_Inputs!$B$23=0,Assumptions!$B$22,IF(31-Schedule_Inputs!$B$23=1,Assumptions!$C$22,IF(31-Schedule_Inputs!$B$23=2,Assumptions!$D$22,IF(31-Schedule_Inputs!$B$23=3,Assumptions!$B$23,0)))),IF(Schedule_Inputs!$C$23="Office Setup",$C23*IF(31-Schedule_Inputs!$B$23=0,Assumptions!$B$24,IF(31-Schedule_Inputs!$B$23=1,Assumptions!$C$24,IF(31-Schedule_Inputs!$B$23=2,Assumptions!$D$24,0))),IF(OR(Schedule_Inputs!$C$23="Monthly",Schedule_Inputs!$C$23="Periodic"),IF(AND(31&gt;=Schedule_Inputs!$B$23,MOD(31-Schedule_Inputs!$B$23,Schedule_Inputs!$E$23)=0,(31-Schedule_Inputs!$B$23)/Schedule_Inputs!$E$23&lt;Schedule_Inputs!$D$23),$C23/Schedule_Inputs!$D$23,0),0))))</f>
        <v>16500</v>
      </c>
      <c r="AJ23" s="31">
        <f>IF(Schedule_Inputs!$C$23="Blueprint",$C23*IF(32-Schedule_Inputs!$B$23=0,Assumptions!$B$21,IF(32-Schedule_Inputs!$B$23=1,Assumptions!$C$21,IF(32-Schedule_Inputs!$B$23=2,Assumptions!$D$21,0))),IF(Schedule_Inputs!$C$23="Launch",$C23*IF(32-Schedule_Inputs!$B$23=0,Assumptions!$B$22,IF(32-Schedule_Inputs!$B$23=1,Assumptions!$C$22,IF(32-Schedule_Inputs!$B$23=2,Assumptions!$D$22,IF(32-Schedule_Inputs!$B$23=3,Assumptions!$B$23,0)))),IF(Schedule_Inputs!$C$23="Office Setup",$C23*IF(32-Schedule_Inputs!$B$23=0,Assumptions!$B$24,IF(32-Schedule_Inputs!$B$23=1,Assumptions!$C$24,IF(32-Schedule_Inputs!$B$23=2,Assumptions!$D$24,0))),IF(OR(Schedule_Inputs!$C$23="Monthly",Schedule_Inputs!$C$23="Periodic"),IF(AND(32&gt;=Schedule_Inputs!$B$23,MOD(32-Schedule_Inputs!$B$23,Schedule_Inputs!$E$23)=0,(32-Schedule_Inputs!$B$23)/Schedule_Inputs!$E$23&lt;Schedule_Inputs!$D$23),$C23/Schedule_Inputs!$D$23,0),0))))</f>
        <v>16500</v>
      </c>
      <c r="AK23" s="31">
        <f>IF(Schedule_Inputs!$C$23="Blueprint",$C23*IF(33-Schedule_Inputs!$B$23=0,Assumptions!$B$21,IF(33-Schedule_Inputs!$B$23=1,Assumptions!$C$21,IF(33-Schedule_Inputs!$B$23=2,Assumptions!$D$21,0))),IF(Schedule_Inputs!$C$23="Launch",$C23*IF(33-Schedule_Inputs!$B$23=0,Assumptions!$B$22,IF(33-Schedule_Inputs!$B$23=1,Assumptions!$C$22,IF(33-Schedule_Inputs!$B$23=2,Assumptions!$D$22,IF(33-Schedule_Inputs!$B$23=3,Assumptions!$B$23,0)))),IF(Schedule_Inputs!$C$23="Office Setup",$C23*IF(33-Schedule_Inputs!$B$23=0,Assumptions!$B$24,IF(33-Schedule_Inputs!$B$23=1,Assumptions!$C$24,IF(33-Schedule_Inputs!$B$23=2,Assumptions!$D$24,0))),IF(OR(Schedule_Inputs!$C$23="Monthly",Schedule_Inputs!$C$23="Periodic"),IF(AND(33&gt;=Schedule_Inputs!$B$23,MOD(33-Schedule_Inputs!$B$23,Schedule_Inputs!$E$23)=0,(33-Schedule_Inputs!$B$23)/Schedule_Inputs!$E$23&lt;Schedule_Inputs!$D$23),$C23/Schedule_Inputs!$D$23,0),0))))</f>
        <v>5500</v>
      </c>
      <c r="AL23" s="31">
        <f>IF(Schedule_Inputs!$C$23="Blueprint",$C23*IF(34-Schedule_Inputs!$B$23=0,Assumptions!$B$21,IF(34-Schedule_Inputs!$B$23=1,Assumptions!$C$21,IF(34-Schedule_Inputs!$B$23=2,Assumptions!$D$21,0))),IF(Schedule_Inputs!$C$23="Launch",$C23*IF(34-Schedule_Inputs!$B$23=0,Assumptions!$B$22,IF(34-Schedule_Inputs!$B$23=1,Assumptions!$C$22,IF(34-Schedule_Inputs!$B$23=2,Assumptions!$D$22,IF(34-Schedule_Inputs!$B$23=3,Assumptions!$B$23,0)))),IF(Schedule_Inputs!$C$23="Office Setup",$C23*IF(34-Schedule_Inputs!$B$23=0,Assumptions!$B$24,IF(34-Schedule_Inputs!$B$23=1,Assumptions!$C$24,IF(34-Schedule_Inputs!$B$23=2,Assumptions!$D$24,0))),IF(OR(Schedule_Inputs!$C$23="Monthly",Schedule_Inputs!$C$23="Periodic"),IF(AND(34&gt;=Schedule_Inputs!$B$23,MOD(34-Schedule_Inputs!$B$23,Schedule_Inputs!$E$23)=0,(34-Schedule_Inputs!$B$23)/Schedule_Inputs!$E$23&lt;Schedule_Inputs!$D$23),$C23/Schedule_Inputs!$D$23,0),0))))</f>
        <v>0</v>
      </c>
      <c r="AM23" s="31">
        <f>IF(Schedule_Inputs!$C$23="Blueprint",$C23*IF(35-Schedule_Inputs!$B$23=0,Assumptions!$B$21,IF(35-Schedule_Inputs!$B$23=1,Assumptions!$C$21,IF(35-Schedule_Inputs!$B$23=2,Assumptions!$D$21,0))),IF(Schedule_Inputs!$C$23="Launch",$C23*IF(35-Schedule_Inputs!$B$23=0,Assumptions!$B$22,IF(35-Schedule_Inputs!$B$23=1,Assumptions!$C$22,IF(35-Schedule_Inputs!$B$23=2,Assumptions!$D$22,IF(35-Schedule_Inputs!$B$23=3,Assumptions!$B$23,0)))),IF(Schedule_Inputs!$C$23="Office Setup",$C23*IF(35-Schedule_Inputs!$B$23=0,Assumptions!$B$24,IF(35-Schedule_Inputs!$B$23=1,Assumptions!$C$24,IF(35-Schedule_Inputs!$B$23=2,Assumptions!$D$24,0))),IF(OR(Schedule_Inputs!$C$23="Monthly",Schedule_Inputs!$C$23="Periodic"),IF(AND(35&gt;=Schedule_Inputs!$B$23,MOD(35-Schedule_Inputs!$B$23,Schedule_Inputs!$E$23)=0,(35-Schedule_Inputs!$B$23)/Schedule_Inputs!$E$23&lt;Schedule_Inputs!$D$23),$C23/Schedule_Inputs!$D$23,0),0))))</f>
        <v>0</v>
      </c>
      <c r="AN23" s="31">
        <f>IF(Schedule_Inputs!$C$23="Blueprint",$C23*IF(36-Schedule_Inputs!$B$23=0,Assumptions!$B$21,IF(36-Schedule_Inputs!$B$23=1,Assumptions!$C$21,IF(36-Schedule_Inputs!$B$23=2,Assumptions!$D$21,0))),IF(Schedule_Inputs!$C$23="Launch",$C23*IF(36-Schedule_Inputs!$B$23=0,Assumptions!$B$22,IF(36-Schedule_Inputs!$B$23=1,Assumptions!$C$22,IF(36-Schedule_Inputs!$B$23=2,Assumptions!$D$22,IF(36-Schedule_Inputs!$B$23=3,Assumptions!$B$23,0)))),IF(Schedule_Inputs!$C$23="Office Setup",$C23*IF(36-Schedule_Inputs!$B$23=0,Assumptions!$B$24,IF(36-Schedule_Inputs!$B$23=1,Assumptions!$C$24,IF(36-Schedule_Inputs!$B$23=2,Assumptions!$D$24,0))),IF(OR(Schedule_Inputs!$C$23="Monthly",Schedule_Inputs!$C$23="Periodic"),IF(AND(36&gt;=Schedule_Inputs!$B$23,MOD(36-Schedule_Inputs!$B$23,Schedule_Inputs!$E$23)=0,(36-Schedule_Inputs!$B$23)/Schedule_Inputs!$E$23&lt;Schedule_Inputs!$D$23),$C23/Schedule_Inputs!$D$23,0),0))))</f>
        <v>0</v>
      </c>
    </row>
    <row r="24" spans="1:40">
      <c r="A24" s="29" t="s">
        <v>254</v>
      </c>
      <c r="B24" s="29">
        <v>3</v>
      </c>
      <c r="C24" s="30">
        <v>28000</v>
      </c>
      <c r="D24" s="31" t="s">
        <v>235</v>
      </c>
      <c r="E24" s="31">
        <f>IF(Schedule_Inputs!$C$24="Blueprint",$C24*IF(1-Schedule_Inputs!$B$24=0,Assumptions!$B$21,IF(1-Schedule_Inputs!$B$24=1,Assumptions!$C$21,IF(1-Schedule_Inputs!$B$24=2,Assumptions!$D$21,0))),IF(Schedule_Inputs!$C$24="Launch",$C24*IF(1-Schedule_Inputs!$B$24=0,Assumptions!$B$22,IF(1-Schedule_Inputs!$B$24=1,Assumptions!$C$22,IF(1-Schedule_Inputs!$B$24=2,Assumptions!$D$22,IF(1-Schedule_Inputs!$B$24=3,Assumptions!$B$23,0)))),IF(Schedule_Inputs!$C$24="Office Setup",$C24*IF(1-Schedule_Inputs!$B$24=0,Assumptions!$B$24,IF(1-Schedule_Inputs!$B$24=1,Assumptions!$C$24,IF(1-Schedule_Inputs!$B$24=2,Assumptions!$D$24,0))),IF(OR(Schedule_Inputs!$C$24="Monthly",Schedule_Inputs!$C$24="Periodic"),IF(AND(1&gt;=Schedule_Inputs!$B$24,MOD(1-Schedule_Inputs!$B$24,Schedule_Inputs!$E$24)=0,(1-Schedule_Inputs!$B$24)/Schedule_Inputs!$E$24&lt;Schedule_Inputs!$D$24),$C24/Schedule_Inputs!$D$24,0),0))))</f>
        <v>0</v>
      </c>
      <c r="F24" s="31">
        <f>IF(Schedule_Inputs!$C$24="Blueprint",$C24*IF(2-Schedule_Inputs!$B$24=0,Assumptions!$B$21,IF(2-Schedule_Inputs!$B$24=1,Assumptions!$C$21,IF(2-Schedule_Inputs!$B$24=2,Assumptions!$D$21,0))),IF(Schedule_Inputs!$C$24="Launch",$C24*IF(2-Schedule_Inputs!$B$24=0,Assumptions!$B$22,IF(2-Schedule_Inputs!$B$24=1,Assumptions!$C$22,IF(2-Schedule_Inputs!$B$24=2,Assumptions!$D$22,IF(2-Schedule_Inputs!$B$24=3,Assumptions!$B$23,0)))),IF(Schedule_Inputs!$C$24="Office Setup",$C24*IF(2-Schedule_Inputs!$B$24=0,Assumptions!$B$24,IF(2-Schedule_Inputs!$B$24=1,Assumptions!$C$24,IF(2-Schedule_Inputs!$B$24=2,Assumptions!$D$24,0))),IF(OR(Schedule_Inputs!$C$24="Monthly",Schedule_Inputs!$C$24="Periodic"),IF(AND(2&gt;=Schedule_Inputs!$B$24,MOD(2-Schedule_Inputs!$B$24,Schedule_Inputs!$E$24)=0,(2-Schedule_Inputs!$B$24)/Schedule_Inputs!$E$24&lt;Schedule_Inputs!$D$24),$C24/Schedule_Inputs!$D$24,0),0))))</f>
        <v>0</v>
      </c>
      <c r="G24" s="31">
        <f>IF(Schedule_Inputs!$C$24="Blueprint",$C24*IF(3-Schedule_Inputs!$B$24=0,Assumptions!$B$21,IF(3-Schedule_Inputs!$B$24=1,Assumptions!$C$21,IF(3-Schedule_Inputs!$B$24=2,Assumptions!$D$21,0))),IF(Schedule_Inputs!$C$24="Launch",$C24*IF(3-Schedule_Inputs!$B$24=0,Assumptions!$B$22,IF(3-Schedule_Inputs!$B$24=1,Assumptions!$C$22,IF(3-Schedule_Inputs!$B$24=2,Assumptions!$D$22,IF(3-Schedule_Inputs!$B$24=3,Assumptions!$B$23,0)))),IF(Schedule_Inputs!$C$24="Office Setup",$C24*IF(3-Schedule_Inputs!$B$24=0,Assumptions!$B$24,IF(3-Schedule_Inputs!$B$24=1,Assumptions!$C$24,IF(3-Schedule_Inputs!$B$24=2,Assumptions!$D$24,0))),IF(OR(Schedule_Inputs!$C$24="Monthly",Schedule_Inputs!$C$24="Periodic"),IF(AND(3&gt;=Schedule_Inputs!$B$24,MOD(3-Schedule_Inputs!$B$24,Schedule_Inputs!$E$24)=0,(3-Schedule_Inputs!$B$24)/Schedule_Inputs!$E$24&lt;Schedule_Inputs!$D$24),$C24/Schedule_Inputs!$D$24,0),0))))</f>
        <v>0</v>
      </c>
      <c r="H24" s="31">
        <f>IF(Schedule_Inputs!$C$24="Blueprint",$C24*IF(4-Schedule_Inputs!$B$24=0,Assumptions!$B$21,IF(4-Schedule_Inputs!$B$24=1,Assumptions!$C$21,IF(4-Schedule_Inputs!$B$24=2,Assumptions!$D$21,0))),IF(Schedule_Inputs!$C$24="Launch",$C24*IF(4-Schedule_Inputs!$B$24=0,Assumptions!$B$22,IF(4-Schedule_Inputs!$B$24=1,Assumptions!$C$22,IF(4-Schedule_Inputs!$B$24=2,Assumptions!$D$22,IF(4-Schedule_Inputs!$B$24=3,Assumptions!$B$23,0)))),IF(Schedule_Inputs!$C$24="Office Setup",$C24*IF(4-Schedule_Inputs!$B$24=0,Assumptions!$B$24,IF(4-Schedule_Inputs!$B$24=1,Assumptions!$C$24,IF(4-Schedule_Inputs!$B$24=2,Assumptions!$D$24,0))),IF(OR(Schedule_Inputs!$C$24="Monthly",Schedule_Inputs!$C$24="Periodic"),IF(AND(4&gt;=Schedule_Inputs!$B$24,MOD(4-Schedule_Inputs!$B$24,Schedule_Inputs!$E$24)=0,(4-Schedule_Inputs!$B$24)/Schedule_Inputs!$E$24&lt;Schedule_Inputs!$D$24),$C24/Schedule_Inputs!$D$24,0),0))))</f>
        <v>0</v>
      </c>
      <c r="I24" s="31">
        <f>IF(Schedule_Inputs!$C$24="Blueprint",$C24*IF(5-Schedule_Inputs!$B$24=0,Assumptions!$B$21,IF(5-Schedule_Inputs!$B$24=1,Assumptions!$C$21,IF(5-Schedule_Inputs!$B$24=2,Assumptions!$D$21,0))),IF(Schedule_Inputs!$C$24="Launch",$C24*IF(5-Schedule_Inputs!$B$24=0,Assumptions!$B$22,IF(5-Schedule_Inputs!$B$24=1,Assumptions!$C$22,IF(5-Schedule_Inputs!$B$24=2,Assumptions!$D$22,IF(5-Schedule_Inputs!$B$24=3,Assumptions!$B$23,0)))),IF(Schedule_Inputs!$C$24="Office Setup",$C24*IF(5-Schedule_Inputs!$B$24=0,Assumptions!$B$24,IF(5-Schedule_Inputs!$B$24=1,Assumptions!$C$24,IF(5-Schedule_Inputs!$B$24=2,Assumptions!$D$24,0))),IF(OR(Schedule_Inputs!$C$24="Monthly",Schedule_Inputs!$C$24="Periodic"),IF(AND(5&gt;=Schedule_Inputs!$B$24,MOD(5-Schedule_Inputs!$B$24,Schedule_Inputs!$E$24)=0,(5-Schedule_Inputs!$B$24)/Schedule_Inputs!$E$24&lt;Schedule_Inputs!$D$24),$C24/Schedule_Inputs!$D$24,0),0))))</f>
        <v>0</v>
      </c>
      <c r="J24" s="31">
        <f>IF(Schedule_Inputs!$C$24="Blueprint",$C24*IF(6-Schedule_Inputs!$B$24=0,Assumptions!$B$21,IF(6-Schedule_Inputs!$B$24=1,Assumptions!$C$21,IF(6-Schedule_Inputs!$B$24=2,Assumptions!$D$21,0))),IF(Schedule_Inputs!$C$24="Launch",$C24*IF(6-Schedule_Inputs!$B$24=0,Assumptions!$B$22,IF(6-Schedule_Inputs!$B$24=1,Assumptions!$C$22,IF(6-Schedule_Inputs!$B$24=2,Assumptions!$D$22,IF(6-Schedule_Inputs!$B$24=3,Assumptions!$B$23,0)))),IF(Schedule_Inputs!$C$24="Office Setup",$C24*IF(6-Schedule_Inputs!$B$24=0,Assumptions!$B$24,IF(6-Schedule_Inputs!$B$24=1,Assumptions!$C$24,IF(6-Schedule_Inputs!$B$24=2,Assumptions!$D$24,0))),IF(OR(Schedule_Inputs!$C$24="Monthly",Schedule_Inputs!$C$24="Periodic"),IF(AND(6&gt;=Schedule_Inputs!$B$24,MOD(6-Schedule_Inputs!$B$24,Schedule_Inputs!$E$24)=0,(6-Schedule_Inputs!$B$24)/Schedule_Inputs!$E$24&lt;Schedule_Inputs!$D$24),$C24/Schedule_Inputs!$D$24,0),0))))</f>
        <v>0</v>
      </c>
      <c r="K24" s="31">
        <f>IF(Schedule_Inputs!$C$24="Blueprint",$C24*IF(7-Schedule_Inputs!$B$24=0,Assumptions!$B$21,IF(7-Schedule_Inputs!$B$24=1,Assumptions!$C$21,IF(7-Schedule_Inputs!$B$24=2,Assumptions!$D$21,0))),IF(Schedule_Inputs!$C$24="Launch",$C24*IF(7-Schedule_Inputs!$B$24=0,Assumptions!$B$22,IF(7-Schedule_Inputs!$B$24=1,Assumptions!$C$22,IF(7-Schedule_Inputs!$B$24=2,Assumptions!$D$22,IF(7-Schedule_Inputs!$B$24=3,Assumptions!$B$23,0)))),IF(Schedule_Inputs!$C$24="Office Setup",$C24*IF(7-Schedule_Inputs!$B$24=0,Assumptions!$B$24,IF(7-Schedule_Inputs!$B$24=1,Assumptions!$C$24,IF(7-Schedule_Inputs!$B$24=2,Assumptions!$D$24,0))),IF(OR(Schedule_Inputs!$C$24="Monthly",Schedule_Inputs!$C$24="Periodic"),IF(AND(7&gt;=Schedule_Inputs!$B$24,MOD(7-Schedule_Inputs!$B$24,Schedule_Inputs!$E$24)=0,(7-Schedule_Inputs!$B$24)/Schedule_Inputs!$E$24&lt;Schedule_Inputs!$D$24),$C24/Schedule_Inputs!$D$24,0),0))))</f>
        <v>0</v>
      </c>
      <c r="L24" s="31">
        <f>IF(Schedule_Inputs!$C$24="Blueprint",$C24*IF(8-Schedule_Inputs!$B$24=0,Assumptions!$B$21,IF(8-Schedule_Inputs!$B$24=1,Assumptions!$C$21,IF(8-Schedule_Inputs!$B$24=2,Assumptions!$D$21,0))),IF(Schedule_Inputs!$C$24="Launch",$C24*IF(8-Schedule_Inputs!$B$24=0,Assumptions!$B$22,IF(8-Schedule_Inputs!$B$24=1,Assumptions!$C$22,IF(8-Schedule_Inputs!$B$24=2,Assumptions!$D$22,IF(8-Schedule_Inputs!$B$24=3,Assumptions!$B$23,0)))),IF(Schedule_Inputs!$C$24="Office Setup",$C24*IF(8-Schedule_Inputs!$B$24=0,Assumptions!$B$24,IF(8-Schedule_Inputs!$B$24=1,Assumptions!$C$24,IF(8-Schedule_Inputs!$B$24=2,Assumptions!$D$24,0))),IF(OR(Schedule_Inputs!$C$24="Monthly",Schedule_Inputs!$C$24="Periodic"),IF(AND(8&gt;=Schedule_Inputs!$B$24,MOD(8-Schedule_Inputs!$B$24,Schedule_Inputs!$E$24)=0,(8-Schedule_Inputs!$B$24)/Schedule_Inputs!$E$24&lt;Schedule_Inputs!$D$24),$C24/Schedule_Inputs!$D$24,0),0))))</f>
        <v>0</v>
      </c>
      <c r="M24" s="31">
        <f>IF(Schedule_Inputs!$C$24="Blueprint",$C24*IF(9-Schedule_Inputs!$B$24=0,Assumptions!$B$21,IF(9-Schedule_Inputs!$B$24=1,Assumptions!$C$21,IF(9-Schedule_Inputs!$B$24=2,Assumptions!$D$21,0))),IF(Schedule_Inputs!$C$24="Launch",$C24*IF(9-Schedule_Inputs!$B$24=0,Assumptions!$B$22,IF(9-Schedule_Inputs!$B$24=1,Assumptions!$C$22,IF(9-Schedule_Inputs!$B$24=2,Assumptions!$D$22,IF(9-Schedule_Inputs!$B$24=3,Assumptions!$B$23,0)))),IF(Schedule_Inputs!$C$24="Office Setup",$C24*IF(9-Schedule_Inputs!$B$24=0,Assumptions!$B$24,IF(9-Schedule_Inputs!$B$24=1,Assumptions!$C$24,IF(9-Schedule_Inputs!$B$24=2,Assumptions!$D$24,0))),IF(OR(Schedule_Inputs!$C$24="Monthly",Schedule_Inputs!$C$24="Periodic"),IF(AND(9&gt;=Schedule_Inputs!$B$24,MOD(9-Schedule_Inputs!$B$24,Schedule_Inputs!$E$24)=0,(9-Schedule_Inputs!$B$24)/Schedule_Inputs!$E$24&lt;Schedule_Inputs!$D$24),$C24/Schedule_Inputs!$D$24,0),0))))</f>
        <v>0</v>
      </c>
      <c r="N24" s="31">
        <f>IF(Schedule_Inputs!$C$24="Blueprint",$C24*IF(10-Schedule_Inputs!$B$24=0,Assumptions!$B$21,IF(10-Schedule_Inputs!$B$24=1,Assumptions!$C$21,IF(10-Schedule_Inputs!$B$24=2,Assumptions!$D$21,0))),IF(Schedule_Inputs!$C$24="Launch",$C24*IF(10-Schedule_Inputs!$B$24=0,Assumptions!$B$22,IF(10-Schedule_Inputs!$B$24=1,Assumptions!$C$22,IF(10-Schedule_Inputs!$B$24=2,Assumptions!$D$22,IF(10-Schedule_Inputs!$B$24=3,Assumptions!$B$23,0)))),IF(Schedule_Inputs!$C$24="Office Setup",$C24*IF(10-Schedule_Inputs!$B$24=0,Assumptions!$B$24,IF(10-Schedule_Inputs!$B$24=1,Assumptions!$C$24,IF(10-Schedule_Inputs!$B$24=2,Assumptions!$D$24,0))),IF(OR(Schedule_Inputs!$C$24="Monthly",Schedule_Inputs!$C$24="Periodic"),IF(AND(10&gt;=Schedule_Inputs!$B$24,MOD(10-Schedule_Inputs!$B$24,Schedule_Inputs!$E$24)=0,(10-Schedule_Inputs!$B$24)/Schedule_Inputs!$E$24&lt;Schedule_Inputs!$D$24),$C24/Schedule_Inputs!$D$24,0),0))))</f>
        <v>0</v>
      </c>
      <c r="O24" s="31">
        <f>IF(Schedule_Inputs!$C$24="Blueprint",$C24*IF(11-Schedule_Inputs!$B$24=0,Assumptions!$B$21,IF(11-Schedule_Inputs!$B$24=1,Assumptions!$C$21,IF(11-Schedule_Inputs!$B$24=2,Assumptions!$D$21,0))),IF(Schedule_Inputs!$C$24="Launch",$C24*IF(11-Schedule_Inputs!$B$24=0,Assumptions!$B$22,IF(11-Schedule_Inputs!$B$24=1,Assumptions!$C$22,IF(11-Schedule_Inputs!$B$24=2,Assumptions!$D$22,IF(11-Schedule_Inputs!$B$24=3,Assumptions!$B$23,0)))),IF(Schedule_Inputs!$C$24="Office Setup",$C24*IF(11-Schedule_Inputs!$B$24=0,Assumptions!$B$24,IF(11-Schedule_Inputs!$B$24=1,Assumptions!$C$24,IF(11-Schedule_Inputs!$B$24=2,Assumptions!$D$24,0))),IF(OR(Schedule_Inputs!$C$24="Monthly",Schedule_Inputs!$C$24="Periodic"),IF(AND(11&gt;=Schedule_Inputs!$B$24,MOD(11-Schedule_Inputs!$B$24,Schedule_Inputs!$E$24)=0,(11-Schedule_Inputs!$B$24)/Schedule_Inputs!$E$24&lt;Schedule_Inputs!$D$24),$C24/Schedule_Inputs!$D$24,0),0))))</f>
        <v>0</v>
      </c>
      <c r="P24" s="31">
        <f>IF(Schedule_Inputs!$C$24="Blueprint",$C24*IF(12-Schedule_Inputs!$B$24=0,Assumptions!$B$21,IF(12-Schedule_Inputs!$B$24=1,Assumptions!$C$21,IF(12-Schedule_Inputs!$B$24=2,Assumptions!$D$21,0))),IF(Schedule_Inputs!$C$24="Launch",$C24*IF(12-Schedule_Inputs!$B$24=0,Assumptions!$B$22,IF(12-Schedule_Inputs!$B$24=1,Assumptions!$C$22,IF(12-Schedule_Inputs!$B$24=2,Assumptions!$D$22,IF(12-Schedule_Inputs!$B$24=3,Assumptions!$B$23,0)))),IF(Schedule_Inputs!$C$24="Office Setup",$C24*IF(12-Schedule_Inputs!$B$24=0,Assumptions!$B$24,IF(12-Schedule_Inputs!$B$24=1,Assumptions!$C$24,IF(12-Schedule_Inputs!$B$24=2,Assumptions!$D$24,0))),IF(OR(Schedule_Inputs!$C$24="Monthly",Schedule_Inputs!$C$24="Periodic"),IF(AND(12&gt;=Schedule_Inputs!$B$24,MOD(12-Schedule_Inputs!$B$24,Schedule_Inputs!$E$24)=0,(12-Schedule_Inputs!$B$24)/Schedule_Inputs!$E$24&lt;Schedule_Inputs!$D$24),$C24/Schedule_Inputs!$D$24,0),0))))</f>
        <v>0</v>
      </c>
      <c r="Q24" s="31">
        <f>IF(Schedule_Inputs!$C$24="Blueprint",$C24*IF(13-Schedule_Inputs!$B$24=0,Assumptions!$B$21,IF(13-Schedule_Inputs!$B$24=1,Assumptions!$C$21,IF(13-Schedule_Inputs!$B$24=2,Assumptions!$D$21,0))),IF(Schedule_Inputs!$C$24="Launch",$C24*IF(13-Schedule_Inputs!$B$24=0,Assumptions!$B$22,IF(13-Schedule_Inputs!$B$24=1,Assumptions!$C$22,IF(13-Schedule_Inputs!$B$24=2,Assumptions!$D$22,IF(13-Schedule_Inputs!$B$24=3,Assumptions!$B$23,0)))),IF(Schedule_Inputs!$C$24="Office Setup",$C24*IF(13-Schedule_Inputs!$B$24=0,Assumptions!$B$24,IF(13-Schedule_Inputs!$B$24=1,Assumptions!$C$24,IF(13-Schedule_Inputs!$B$24=2,Assumptions!$D$24,0))),IF(OR(Schedule_Inputs!$C$24="Monthly",Schedule_Inputs!$C$24="Periodic"),IF(AND(13&gt;=Schedule_Inputs!$B$24,MOD(13-Schedule_Inputs!$B$24,Schedule_Inputs!$E$24)=0,(13-Schedule_Inputs!$B$24)/Schedule_Inputs!$E$24&lt;Schedule_Inputs!$D$24),$C24/Schedule_Inputs!$D$24,0),0))))</f>
        <v>0</v>
      </c>
      <c r="R24" s="31">
        <f>IF(Schedule_Inputs!$C$24="Blueprint",$C24*IF(14-Schedule_Inputs!$B$24=0,Assumptions!$B$21,IF(14-Schedule_Inputs!$B$24=1,Assumptions!$C$21,IF(14-Schedule_Inputs!$B$24=2,Assumptions!$D$21,0))),IF(Schedule_Inputs!$C$24="Launch",$C24*IF(14-Schedule_Inputs!$B$24=0,Assumptions!$B$22,IF(14-Schedule_Inputs!$B$24=1,Assumptions!$C$22,IF(14-Schedule_Inputs!$B$24=2,Assumptions!$D$22,IF(14-Schedule_Inputs!$B$24=3,Assumptions!$B$23,0)))),IF(Schedule_Inputs!$C$24="Office Setup",$C24*IF(14-Schedule_Inputs!$B$24=0,Assumptions!$B$24,IF(14-Schedule_Inputs!$B$24=1,Assumptions!$C$24,IF(14-Schedule_Inputs!$B$24=2,Assumptions!$D$24,0))),IF(OR(Schedule_Inputs!$C$24="Monthly",Schedule_Inputs!$C$24="Periodic"),IF(AND(14&gt;=Schedule_Inputs!$B$24,MOD(14-Schedule_Inputs!$B$24,Schedule_Inputs!$E$24)=0,(14-Schedule_Inputs!$B$24)/Schedule_Inputs!$E$24&lt;Schedule_Inputs!$D$24),$C24/Schedule_Inputs!$D$24,0),0))))</f>
        <v>0</v>
      </c>
      <c r="S24" s="31">
        <f>IF(Schedule_Inputs!$C$24="Blueprint",$C24*IF(15-Schedule_Inputs!$B$24=0,Assumptions!$B$21,IF(15-Schedule_Inputs!$B$24=1,Assumptions!$C$21,IF(15-Schedule_Inputs!$B$24=2,Assumptions!$D$21,0))),IF(Schedule_Inputs!$C$24="Launch",$C24*IF(15-Schedule_Inputs!$B$24=0,Assumptions!$B$22,IF(15-Schedule_Inputs!$B$24=1,Assumptions!$C$22,IF(15-Schedule_Inputs!$B$24=2,Assumptions!$D$22,IF(15-Schedule_Inputs!$B$24=3,Assumptions!$B$23,0)))),IF(Schedule_Inputs!$C$24="Office Setup",$C24*IF(15-Schedule_Inputs!$B$24=0,Assumptions!$B$24,IF(15-Schedule_Inputs!$B$24=1,Assumptions!$C$24,IF(15-Schedule_Inputs!$B$24=2,Assumptions!$D$24,0))),IF(OR(Schedule_Inputs!$C$24="Monthly",Schedule_Inputs!$C$24="Periodic"),IF(AND(15&gt;=Schedule_Inputs!$B$24,MOD(15-Schedule_Inputs!$B$24,Schedule_Inputs!$E$24)=0,(15-Schedule_Inputs!$B$24)/Schedule_Inputs!$E$24&lt;Schedule_Inputs!$D$24),$C24/Schedule_Inputs!$D$24,0),0))))</f>
        <v>0</v>
      </c>
      <c r="T24" s="31">
        <f>IF(Schedule_Inputs!$C$24="Blueprint",$C24*IF(16-Schedule_Inputs!$B$24=0,Assumptions!$B$21,IF(16-Schedule_Inputs!$B$24=1,Assumptions!$C$21,IF(16-Schedule_Inputs!$B$24=2,Assumptions!$D$21,0))),IF(Schedule_Inputs!$C$24="Launch",$C24*IF(16-Schedule_Inputs!$B$24=0,Assumptions!$B$22,IF(16-Schedule_Inputs!$B$24=1,Assumptions!$C$22,IF(16-Schedule_Inputs!$B$24=2,Assumptions!$D$22,IF(16-Schedule_Inputs!$B$24=3,Assumptions!$B$23,0)))),IF(Schedule_Inputs!$C$24="Office Setup",$C24*IF(16-Schedule_Inputs!$B$24=0,Assumptions!$B$24,IF(16-Schedule_Inputs!$B$24=1,Assumptions!$C$24,IF(16-Schedule_Inputs!$B$24=2,Assumptions!$D$24,0))),IF(OR(Schedule_Inputs!$C$24="Monthly",Schedule_Inputs!$C$24="Periodic"),IF(AND(16&gt;=Schedule_Inputs!$B$24,MOD(16-Schedule_Inputs!$B$24,Schedule_Inputs!$E$24)=0,(16-Schedule_Inputs!$B$24)/Schedule_Inputs!$E$24&lt;Schedule_Inputs!$D$24),$C24/Schedule_Inputs!$D$24,0),0))))</f>
        <v>0</v>
      </c>
      <c r="U24" s="31">
        <f>IF(Schedule_Inputs!$C$24="Blueprint",$C24*IF(17-Schedule_Inputs!$B$24=0,Assumptions!$B$21,IF(17-Schedule_Inputs!$B$24=1,Assumptions!$C$21,IF(17-Schedule_Inputs!$B$24=2,Assumptions!$D$21,0))),IF(Schedule_Inputs!$C$24="Launch",$C24*IF(17-Schedule_Inputs!$B$24=0,Assumptions!$B$22,IF(17-Schedule_Inputs!$B$24=1,Assumptions!$C$22,IF(17-Schedule_Inputs!$B$24=2,Assumptions!$D$22,IF(17-Schedule_Inputs!$B$24=3,Assumptions!$B$23,0)))),IF(Schedule_Inputs!$C$24="Office Setup",$C24*IF(17-Schedule_Inputs!$B$24=0,Assumptions!$B$24,IF(17-Schedule_Inputs!$B$24=1,Assumptions!$C$24,IF(17-Schedule_Inputs!$B$24=2,Assumptions!$D$24,0))),IF(OR(Schedule_Inputs!$C$24="Monthly",Schedule_Inputs!$C$24="Periodic"),IF(AND(17&gt;=Schedule_Inputs!$B$24,MOD(17-Schedule_Inputs!$B$24,Schedule_Inputs!$E$24)=0,(17-Schedule_Inputs!$B$24)/Schedule_Inputs!$E$24&lt;Schedule_Inputs!$D$24),$C24/Schedule_Inputs!$D$24,0),0))))</f>
        <v>0</v>
      </c>
      <c r="V24" s="31">
        <f>IF(Schedule_Inputs!$C$24="Blueprint",$C24*IF(18-Schedule_Inputs!$B$24=0,Assumptions!$B$21,IF(18-Schedule_Inputs!$B$24=1,Assumptions!$C$21,IF(18-Schedule_Inputs!$B$24=2,Assumptions!$D$21,0))),IF(Schedule_Inputs!$C$24="Launch",$C24*IF(18-Schedule_Inputs!$B$24=0,Assumptions!$B$22,IF(18-Schedule_Inputs!$B$24=1,Assumptions!$C$22,IF(18-Schedule_Inputs!$B$24=2,Assumptions!$D$22,IF(18-Schedule_Inputs!$B$24=3,Assumptions!$B$23,0)))),IF(Schedule_Inputs!$C$24="Office Setup",$C24*IF(18-Schedule_Inputs!$B$24=0,Assumptions!$B$24,IF(18-Schedule_Inputs!$B$24=1,Assumptions!$C$24,IF(18-Schedule_Inputs!$B$24=2,Assumptions!$D$24,0))),IF(OR(Schedule_Inputs!$C$24="Monthly",Schedule_Inputs!$C$24="Periodic"),IF(AND(18&gt;=Schedule_Inputs!$B$24,MOD(18-Schedule_Inputs!$B$24,Schedule_Inputs!$E$24)=0,(18-Schedule_Inputs!$B$24)/Schedule_Inputs!$E$24&lt;Schedule_Inputs!$D$24),$C24/Schedule_Inputs!$D$24,0),0))))</f>
        <v>0</v>
      </c>
      <c r="W24" s="31">
        <f>IF(Schedule_Inputs!$C$24="Blueprint",$C24*IF(19-Schedule_Inputs!$B$24=0,Assumptions!$B$21,IF(19-Schedule_Inputs!$B$24=1,Assumptions!$C$21,IF(19-Schedule_Inputs!$B$24=2,Assumptions!$D$21,0))),IF(Schedule_Inputs!$C$24="Launch",$C24*IF(19-Schedule_Inputs!$B$24=0,Assumptions!$B$22,IF(19-Schedule_Inputs!$B$24=1,Assumptions!$C$22,IF(19-Schedule_Inputs!$B$24=2,Assumptions!$D$22,IF(19-Schedule_Inputs!$B$24=3,Assumptions!$B$23,0)))),IF(Schedule_Inputs!$C$24="Office Setup",$C24*IF(19-Schedule_Inputs!$B$24=0,Assumptions!$B$24,IF(19-Schedule_Inputs!$B$24=1,Assumptions!$C$24,IF(19-Schedule_Inputs!$B$24=2,Assumptions!$D$24,0))),IF(OR(Schedule_Inputs!$C$24="Monthly",Schedule_Inputs!$C$24="Periodic"),IF(AND(19&gt;=Schedule_Inputs!$B$24,MOD(19-Schedule_Inputs!$B$24,Schedule_Inputs!$E$24)=0,(19-Schedule_Inputs!$B$24)/Schedule_Inputs!$E$24&lt;Schedule_Inputs!$D$24),$C24/Schedule_Inputs!$D$24,0),0))))</f>
        <v>0</v>
      </c>
      <c r="X24" s="31">
        <f>IF(Schedule_Inputs!$C$24="Blueprint",$C24*IF(20-Schedule_Inputs!$B$24=0,Assumptions!$B$21,IF(20-Schedule_Inputs!$B$24=1,Assumptions!$C$21,IF(20-Schedule_Inputs!$B$24=2,Assumptions!$D$21,0))),IF(Schedule_Inputs!$C$24="Launch",$C24*IF(20-Schedule_Inputs!$B$24=0,Assumptions!$B$22,IF(20-Schedule_Inputs!$B$24=1,Assumptions!$C$22,IF(20-Schedule_Inputs!$B$24=2,Assumptions!$D$22,IF(20-Schedule_Inputs!$B$24=3,Assumptions!$B$23,0)))),IF(Schedule_Inputs!$C$24="Office Setup",$C24*IF(20-Schedule_Inputs!$B$24=0,Assumptions!$B$24,IF(20-Schedule_Inputs!$B$24=1,Assumptions!$C$24,IF(20-Schedule_Inputs!$B$24=2,Assumptions!$D$24,0))),IF(OR(Schedule_Inputs!$C$24="Monthly",Schedule_Inputs!$C$24="Periodic"),IF(AND(20&gt;=Schedule_Inputs!$B$24,MOD(20-Schedule_Inputs!$B$24,Schedule_Inputs!$E$24)=0,(20-Schedule_Inputs!$B$24)/Schedule_Inputs!$E$24&lt;Schedule_Inputs!$D$24),$C24/Schedule_Inputs!$D$24,0),0))))</f>
        <v>0</v>
      </c>
      <c r="Y24" s="31">
        <f>IF(Schedule_Inputs!$C$24="Blueprint",$C24*IF(21-Schedule_Inputs!$B$24=0,Assumptions!$B$21,IF(21-Schedule_Inputs!$B$24=1,Assumptions!$C$21,IF(21-Schedule_Inputs!$B$24=2,Assumptions!$D$21,0))),IF(Schedule_Inputs!$C$24="Launch",$C24*IF(21-Schedule_Inputs!$B$24=0,Assumptions!$B$22,IF(21-Schedule_Inputs!$B$24=1,Assumptions!$C$22,IF(21-Schedule_Inputs!$B$24=2,Assumptions!$D$22,IF(21-Schedule_Inputs!$B$24=3,Assumptions!$B$23,0)))),IF(Schedule_Inputs!$C$24="Office Setup",$C24*IF(21-Schedule_Inputs!$B$24=0,Assumptions!$B$24,IF(21-Schedule_Inputs!$B$24=1,Assumptions!$C$24,IF(21-Schedule_Inputs!$B$24=2,Assumptions!$D$24,0))),IF(OR(Schedule_Inputs!$C$24="Monthly",Schedule_Inputs!$C$24="Periodic"),IF(AND(21&gt;=Schedule_Inputs!$B$24,MOD(21-Schedule_Inputs!$B$24,Schedule_Inputs!$E$24)=0,(21-Schedule_Inputs!$B$24)/Schedule_Inputs!$E$24&lt;Schedule_Inputs!$D$24),$C24/Schedule_Inputs!$D$24,0),0))))</f>
        <v>0</v>
      </c>
      <c r="Z24" s="31">
        <f>IF(Schedule_Inputs!$C$24="Blueprint",$C24*IF(22-Schedule_Inputs!$B$24=0,Assumptions!$B$21,IF(22-Schedule_Inputs!$B$24=1,Assumptions!$C$21,IF(22-Schedule_Inputs!$B$24=2,Assumptions!$D$21,0))),IF(Schedule_Inputs!$C$24="Launch",$C24*IF(22-Schedule_Inputs!$B$24=0,Assumptions!$B$22,IF(22-Schedule_Inputs!$B$24=1,Assumptions!$C$22,IF(22-Schedule_Inputs!$B$24=2,Assumptions!$D$22,IF(22-Schedule_Inputs!$B$24=3,Assumptions!$B$23,0)))),IF(Schedule_Inputs!$C$24="Office Setup",$C24*IF(22-Schedule_Inputs!$B$24=0,Assumptions!$B$24,IF(22-Schedule_Inputs!$B$24=1,Assumptions!$C$24,IF(22-Schedule_Inputs!$B$24=2,Assumptions!$D$24,0))),IF(OR(Schedule_Inputs!$C$24="Monthly",Schedule_Inputs!$C$24="Periodic"),IF(AND(22&gt;=Schedule_Inputs!$B$24,MOD(22-Schedule_Inputs!$B$24,Schedule_Inputs!$E$24)=0,(22-Schedule_Inputs!$B$24)/Schedule_Inputs!$E$24&lt;Schedule_Inputs!$D$24),$C24/Schedule_Inputs!$D$24,0),0))))</f>
        <v>0</v>
      </c>
      <c r="AA24" s="31">
        <f>IF(Schedule_Inputs!$C$24="Blueprint",$C24*IF(23-Schedule_Inputs!$B$24=0,Assumptions!$B$21,IF(23-Schedule_Inputs!$B$24=1,Assumptions!$C$21,IF(23-Schedule_Inputs!$B$24=2,Assumptions!$D$21,0))),IF(Schedule_Inputs!$C$24="Launch",$C24*IF(23-Schedule_Inputs!$B$24=0,Assumptions!$B$22,IF(23-Schedule_Inputs!$B$24=1,Assumptions!$C$22,IF(23-Schedule_Inputs!$B$24=2,Assumptions!$D$22,IF(23-Schedule_Inputs!$B$24=3,Assumptions!$B$23,0)))),IF(Schedule_Inputs!$C$24="Office Setup",$C24*IF(23-Schedule_Inputs!$B$24=0,Assumptions!$B$24,IF(23-Schedule_Inputs!$B$24=1,Assumptions!$C$24,IF(23-Schedule_Inputs!$B$24=2,Assumptions!$D$24,0))),IF(OR(Schedule_Inputs!$C$24="Monthly",Schedule_Inputs!$C$24="Periodic"),IF(AND(23&gt;=Schedule_Inputs!$B$24,MOD(23-Schedule_Inputs!$B$24,Schedule_Inputs!$E$24)=0,(23-Schedule_Inputs!$B$24)/Schedule_Inputs!$E$24&lt;Schedule_Inputs!$D$24),$C24/Schedule_Inputs!$D$24,0),0))))</f>
        <v>0</v>
      </c>
      <c r="AB24" s="31">
        <f>IF(Schedule_Inputs!$C$24="Blueprint",$C24*IF(24-Schedule_Inputs!$B$24=0,Assumptions!$B$21,IF(24-Schedule_Inputs!$B$24=1,Assumptions!$C$21,IF(24-Schedule_Inputs!$B$24=2,Assumptions!$D$21,0))),IF(Schedule_Inputs!$C$24="Launch",$C24*IF(24-Schedule_Inputs!$B$24=0,Assumptions!$B$22,IF(24-Schedule_Inputs!$B$24=1,Assumptions!$C$22,IF(24-Schedule_Inputs!$B$24=2,Assumptions!$D$22,IF(24-Schedule_Inputs!$B$24=3,Assumptions!$B$23,0)))),IF(Schedule_Inputs!$C$24="Office Setup",$C24*IF(24-Schedule_Inputs!$B$24=0,Assumptions!$B$24,IF(24-Schedule_Inputs!$B$24=1,Assumptions!$C$24,IF(24-Schedule_Inputs!$B$24=2,Assumptions!$D$24,0))),IF(OR(Schedule_Inputs!$C$24="Monthly",Schedule_Inputs!$C$24="Periodic"),IF(AND(24&gt;=Schedule_Inputs!$B$24,MOD(24-Schedule_Inputs!$B$24,Schedule_Inputs!$E$24)=0,(24-Schedule_Inputs!$B$24)/Schedule_Inputs!$E$24&lt;Schedule_Inputs!$D$24),$C24/Schedule_Inputs!$D$24,0),0))))</f>
        <v>0</v>
      </c>
      <c r="AC24" s="31">
        <f>IF(Schedule_Inputs!$C$24="Blueprint",$C24*IF(25-Schedule_Inputs!$B$24=0,Assumptions!$B$21,IF(25-Schedule_Inputs!$B$24=1,Assumptions!$C$21,IF(25-Schedule_Inputs!$B$24=2,Assumptions!$D$21,0))),IF(Schedule_Inputs!$C$24="Launch",$C24*IF(25-Schedule_Inputs!$B$24=0,Assumptions!$B$22,IF(25-Schedule_Inputs!$B$24=1,Assumptions!$C$22,IF(25-Schedule_Inputs!$B$24=2,Assumptions!$D$22,IF(25-Schedule_Inputs!$B$24=3,Assumptions!$B$23,0)))),IF(Schedule_Inputs!$C$24="Office Setup",$C24*IF(25-Schedule_Inputs!$B$24=0,Assumptions!$B$24,IF(25-Schedule_Inputs!$B$24=1,Assumptions!$C$24,IF(25-Schedule_Inputs!$B$24=2,Assumptions!$D$24,0))),IF(OR(Schedule_Inputs!$C$24="Monthly",Schedule_Inputs!$C$24="Periodic"),IF(AND(25&gt;=Schedule_Inputs!$B$24,MOD(25-Schedule_Inputs!$B$24,Schedule_Inputs!$E$24)=0,(25-Schedule_Inputs!$B$24)/Schedule_Inputs!$E$24&lt;Schedule_Inputs!$D$24),$C24/Schedule_Inputs!$D$24,0),0))))</f>
        <v>0</v>
      </c>
      <c r="AD24" s="31">
        <f>IF(Schedule_Inputs!$C$24="Blueprint",$C24*IF(26-Schedule_Inputs!$B$24=0,Assumptions!$B$21,IF(26-Schedule_Inputs!$B$24=1,Assumptions!$C$21,IF(26-Schedule_Inputs!$B$24=2,Assumptions!$D$21,0))),IF(Schedule_Inputs!$C$24="Launch",$C24*IF(26-Schedule_Inputs!$B$24=0,Assumptions!$B$22,IF(26-Schedule_Inputs!$B$24=1,Assumptions!$C$22,IF(26-Schedule_Inputs!$B$24=2,Assumptions!$D$22,IF(26-Schedule_Inputs!$B$24=3,Assumptions!$B$23,0)))),IF(Schedule_Inputs!$C$24="Office Setup",$C24*IF(26-Schedule_Inputs!$B$24=0,Assumptions!$B$24,IF(26-Schedule_Inputs!$B$24=1,Assumptions!$C$24,IF(26-Schedule_Inputs!$B$24=2,Assumptions!$D$24,0))),IF(OR(Schedule_Inputs!$C$24="Monthly",Schedule_Inputs!$C$24="Periodic"),IF(AND(26&gt;=Schedule_Inputs!$B$24,MOD(26-Schedule_Inputs!$B$24,Schedule_Inputs!$E$24)=0,(26-Schedule_Inputs!$B$24)/Schedule_Inputs!$E$24&lt;Schedule_Inputs!$D$24),$C24/Schedule_Inputs!$D$24,0),0))))</f>
        <v>0</v>
      </c>
      <c r="AE24" s="31">
        <f>IF(Schedule_Inputs!$C$24="Blueprint",$C24*IF(27-Schedule_Inputs!$B$24=0,Assumptions!$B$21,IF(27-Schedule_Inputs!$B$24=1,Assumptions!$C$21,IF(27-Schedule_Inputs!$B$24=2,Assumptions!$D$21,0))),IF(Schedule_Inputs!$C$24="Launch",$C24*IF(27-Schedule_Inputs!$B$24=0,Assumptions!$B$22,IF(27-Schedule_Inputs!$B$24=1,Assumptions!$C$22,IF(27-Schedule_Inputs!$B$24=2,Assumptions!$D$22,IF(27-Schedule_Inputs!$B$24=3,Assumptions!$B$23,0)))),IF(Schedule_Inputs!$C$24="Office Setup",$C24*IF(27-Schedule_Inputs!$B$24=0,Assumptions!$B$24,IF(27-Schedule_Inputs!$B$24=1,Assumptions!$C$24,IF(27-Schedule_Inputs!$B$24=2,Assumptions!$D$24,0))),IF(OR(Schedule_Inputs!$C$24="Monthly",Schedule_Inputs!$C$24="Periodic"),IF(AND(27&gt;=Schedule_Inputs!$B$24,MOD(27-Schedule_Inputs!$B$24,Schedule_Inputs!$E$24)=0,(27-Schedule_Inputs!$B$24)/Schedule_Inputs!$E$24&lt;Schedule_Inputs!$D$24),$C24/Schedule_Inputs!$D$24,0),0))))</f>
        <v>14000</v>
      </c>
      <c r="AF24" s="31">
        <f>IF(Schedule_Inputs!$C$24="Blueprint",$C24*IF(28-Schedule_Inputs!$B$24=0,Assumptions!$B$21,IF(28-Schedule_Inputs!$B$24=1,Assumptions!$C$21,IF(28-Schedule_Inputs!$B$24=2,Assumptions!$D$21,0))),IF(Schedule_Inputs!$C$24="Launch",$C24*IF(28-Schedule_Inputs!$B$24=0,Assumptions!$B$22,IF(28-Schedule_Inputs!$B$24=1,Assumptions!$C$22,IF(28-Schedule_Inputs!$B$24=2,Assumptions!$D$22,IF(28-Schedule_Inputs!$B$24=3,Assumptions!$B$23,0)))),IF(Schedule_Inputs!$C$24="Office Setup",$C24*IF(28-Schedule_Inputs!$B$24=0,Assumptions!$B$24,IF(28-Schedule_Inputs!$B$24=1,Assumptions!$C$24,IF(28-Schedule_Inputs!$B$24=2,Assumptions!$D$24,0))),IF(OR(Schedule_Inputs!$C$24="Monthly",Schedule_Inputs!$C$24="Periodic"),IF(AND(28&gt;=Schedule_Inputs!$B$24,MOD(28-Schedule_Inputs!$B$24,Schedule_Inputs!$E$24)=0,(28-Schedule_Inputs!$B$24)/Schedule_Inputs!$E$24&lt;Schedule_Inputs!$D$24),$C24/Schedule_Inputs!$D$24,0),0))))</f>
        <v>8400</v>
      </c>
      <c r="AG24" s="31">
        <f>IF(Schedule_Inputs!$C$24="Blueprint",$C24*IF(29-Schedule_Inputs!$B$24=0,Assumptions!$B$21,IF(29-Schedule_Inputs!$B$24=1,Assumptions!$C$21,IF(29-Schedule_Inputs!$B$24=2,Assumptions!$D$21,0))),IF(Schedule_Inputs!$C$24="Launch",$C24*IF(29-Schedule_Inputs!$B$24=0,Assumptions!$B$22,IF(29-Schedule_Inputs!$B$24=1,Assumptions!$C$22,IF(29-Schedule_Inputs!$B$24=2,Assumptions!$D$22,IF(29-Schedule_Inputs!$B$24=3,Assumptions!$B$23,0)))),IF(Schedule_Inputs!$C$24="Office Setup",$C24*IF(29-Schedule_Inputs!$B$24=0,Assumptions!$B$24,IF(29-Schedule_Inputs!$B$24=1,Assumptions!$C$24,IF(29-Schedule_Inputs!$B$24=2,Assumptions!$D$24,0))),IF(OR(Schedule_Inputs!$C$24="Monthly",Schedule_Inputs!$C$24="Periodic"),IF(AND(29&gt;=Schedule_Inputs!$B$24,MOD(29-Schedule_Inputs!$B$24,Schedule_Inputs!$E$24)=0,(29-Schedule_Inputs!$B$24)/Schedule_Inputs!$E$24&lt;Schedule_Inputs!$D$24),$C24/Schedule_Inputs!$D$24,0),0))))</f>
        <v>5600</v>
      </c>
      <c r="AH24" s="31">
        <f>IF(Schedule_Inputs!$C$24="Blueprint",$C24*IF(30-Schedule_Inputs!$B$24=0,Assumptions!$B$21,IF(30-Schedule_Inputs!$B$24=1,Assumptions!$C$21,IF(30-Schedule_Inputs!$B$24=2,Assumptions!$D$21,0))),IF(Schedule_Inputs!$C$24="Launch",$C24*IF(30-Schedule_Inputs!$B$24=0,Assumptions!$B$22,IF(30-Schedule_Inputs!$B$24=1,Assumptions!$C$22,IF(30-Schedule_Inputs!$B$24=2,Assumptions!$D$22,IF(30-Schedule_Inputs!$B$24=3,Assumptions!$B$23,0)))),IF(Schedule_Inputs!$C$24="Office Setup",$C24*IF(30-Schedule_Inputs!$B$24=0,Assumptions!$B$24,IF(30-Schedule_Inputs!$B$24=1,Assumptions!$C$24,IF(30-Schedule_Inputs!$B$24=2,Assumptions!$D$24,0))),IF(OR(Schedule_Inputs!$C$24="Monthly",Schedule_Inputs!$C$24="Periodic"),IF(AND(30&gt;=Schedule_Inputs!$B$24,MOD(30-Schedule_Inputs!$B$24,Schedule_Inputs!$E$24)=0,(30-Schedule_Inputs!$B$24)/Schedule_Inputs!$E$24&lt;Schedule_Inputs!$D$24),$C24/Schedule_Inputs!$D$24,0),0))))</f>
        <v>0</v>
      </c>
      <c r="AI24" s="31">
        <f>IF(Schedule_Inputs!$C$24="Blueprint",$C24*IF(31-Schedule_Inputs!$B$24=0,Assumptions!$B$21,IF(31-Schedule_Inputs!$B$24=1,Assumptions!$C$21,IF(31-Schedule_Inputs!$B$24=2,Assumptions!$D$21,0))),IF(Schedule_Inputs!$C$24="Launch",$C24*IF(31-Schedule_Inputs!$B$24=0,Assumptions!$B$22,IF(31-Schedule_Inputs!$B$24=1,Assumptions!$C$22,IF(31-Schedule_Inputs!$B$24=2,Assumptions!$D$22,IF(31-Schedule_Inputs!$B$24=3,Assumptions!$B$23,0)))),IF(Schedule_Inputs!$C$24="Office Setup",$C24*IF(31-Schedule_Inputs!$B$24=0,Assumptions!$B$24,IF(31-Schedule_Inputs!$B$24=1,Assumptions!$C$24,IF(31-Schedule_Inputs!$B$24=2,Assumptions!$D$24,0))),IF(OR(Schedule_Inputs!$C$24="Monthly",Schedule_Inputs!$C$24="Periodic"),IF(AND(31&gt;=Schedule_Inputs!$B$24,MOD(31-Schedule_Inputs!$B$24,Schedule_Inputs!$E$24)=0,(31-Schedule_Inputs!$B$24)/Schedule_Inputs!$E$24&lt;Schedule_Inputs!$D$24),$C24/Schedule_Inputs!$D$24,0),0))))</f>
        <v>0</v>
      </c>
      <c r="AJ24" s="31">
        <f>IF(Schedule_Inputs!$C$24="Blueprint",$C24*IF(32-Schedule_Inputs!$B$24=0,Assumptions!$B$21,IF(32-Schedule_Inputs!$B$24=1,Assumptions!$C$21,IF(32-Schedule_Inputs!$B$24=2,Assumptions!$D$21,0))),IF(Schedule_Inputs!$C$24="Launch",$C24*IF(32-Schedule_Inputs!$B$24=0,Assumptions!$B$22,IF(32-Schedule_Inputs!$B$24=1,Assumptions!$C$22,IF(32-Schedule_Inputs!$B$24=2,Assumptions!$D$22,IF(32-Schedule_Inputs!$B$24=3,Assumptions!$B$23,0)))),IF(Schedule_Inputs!$C$24="Office Setup",$C24*IF(32-Schedule_Inputs!$B$24=0,Assumptions!$B$24,IF(32-Schedule_Inputs!$B$24=1,Assumptions!$C$24,IF(32-Schedule_Inputs!$B$24=2,Assumptions!$D$24,0))),IF(OR(Schedule_Inputs!$C$24="Monthly",Schedule_Inputs!$C$24="Periodic"),IF(AND(32&gt;=Schedule_Inputs!$B$24,MOD(32-Schedule_Inputs!$B$24,Schedule_Inputs!$E$24)=0,(32-Schedule_Inputs!$B$24)/Schedule_Inputs!$E$24&lt;Schedule_Inputs!$D$24),$C24/Schedule_Inputs!$D$24,0),0))))</f>
        <v>0</v>
      </c>
      <c r="AK24" s="31">
        <f>IF(Schedule_Inputs!$C$24="Blueprint",$C24*IF(33-Schedule_Inputs!$B$24=0,Assumptions!$B$21,IF(33-Schedule_Inputs!$B$24=1,Assumptions!$C$21,IF(33-Schedule_Inputs!$B$24=2,Assumptions!$D$21,0))),IF(Schedule_Inputs!$C$24="Launch",$C24*IF(33-Schedule_Inputs!$B$24=0,Assumptions!$B$22,IF(33-Schedule_Inputs!$B$24=1,Assumptions!$C$22,IF(33-Schedule_Inputs!$B$24=2,Assumptions!$D$22,IF(33-Schedule_Inputs!$B$24=3,Assumptions!$B$23,0)))),IF(Schedule_Inputs!$C$24="Office Setup",$C24*IF(33-Schedule_Inputs!$B$24=0,Assumptions!$B$24,IF(33-Schedule_Inputs!$B$24=1,Assumptions!$C$24,IF(33-Schedule_Inputs!$B$24=2,Assumptions!$D$24,0))),IF(OR(Schedule_Inputs!$C$24="Monthly",Schedule_Inputs!$C$24="Periodic"),IF(AND(33&gt;=Schedule_Inputs!$B$24,MOD(33-Schedule_Inputs!$B$24,Schedule_Inputs!$E$24)=0,(33-Schedule_Inputs!$B$24)/Schedule_Inputs!$E$24&lt;Schedule_Inputs!$D$24),$C24/Schedule_Inputs!$D$24,0),0))))</f>
        <v>0</v>
      </c>
      <c r="AL24" s="31">
        <f>IF(Schedule_Inputs!$C$24="Blueprint",$C24*IF(34-Schedule_Inputs!$B$24=0,Assumptions!$B$21,IF(34-Schedule_Inputs!$B$24=1,Assumptions!$C$21,IF(34-Schedule_Inputs!$B$24=2,Assumptions!$D$21,0))),IF(Schedule_Inputs!$C$24="Launch",$C24*IF(34-Schedule_Inputs!$B$24=0,Assumptions!$B$22,IF(34-Schedule_Inputs!$B$24=1,Assumptions!$C$22,IF(34-Schedule_Inputs!$B$24=2,Assumptions!$D$22,IF(34-Schedule_Inputs!$B$24=3,Assumptions!$B$23,0)))),IF(Schedule_Inputs!$C$24="Office Setup",$C24*IF(34-Schedule_Inputs!$B$24=0,Assumptions!$B$24,IF(34-Schedule_Inputs!$B$24=1,Assumptions!$C$24,IF(34-Schedule_Inputs!$B$24=2,Assumptions!$D$24,0))),IF(OR(Schedule_Inputs!$C$24="Monthly",Schedule_Inputs!$C$24="Periodic"),IF(AND(34&gt;=Schedule_Inputs!$B$24,MOD(34-Schedule_Inputs!$B$24,Schedule_Inputs!$E$24)=0,(34-Schedule_Inputs!$B$24)/Schedule_Inputs!$E$24&lt;Schedule_Inputs!$D$24),$C24/Schedule_Inputs!$D$24,0),0))))</f>
        <v>0</v>
      </c>
      <c r="AM24" s="31">
        <f>IF(Schedule_Inputs!$C$24="Blueprint",$C24*IF(35-Schedule_Inputs!$B$24=0,Assumptions!$B$21,IF(35-Schedule_Inputs!$B$24=1,Assumptions!$C$21,IF(35-Schedule_Inputs!$B$24=2,Assumptions!$D$21,0))),IF(Schedule_Inputs!$C$24="Launch",$C24*IF(35-Schedule_Inputs!$B$24=0,Assumptions!$B$22,IF(35-Schedule_Inputs!$B$24=1,Assumptions!$C$22,IF(35-Schedule_Inputs!$B$24=2,Assumptions!$D$22,IF(35-Schedule_Inputs!$B$24=3,Assumptions!$B$23,0)))),IF(Schedule_Inputs!$C$24="Office Setup",$C24*IF(35-Schedule_Inputs!$B$24=0,Assumptions!$B$24,IF(35-Schedule_Inputs!$B$24=1,Assumptions!$C$24,IF(35-Schedule_Inputs!$B$24=2,Assumptions!$D$24,0))),IF(OR(Schedule_Inputs!$C$24="Monthly",Schedule_Inputs!$C$24="Periodic"),IF(AND(35&gt;=Schedule_Inputs!$B$24,MOD(35-Schedule_Inputs!$B$24,Schedule_Inputs!$E$24)=0,(35-Schedule_Inputs!$B$24)/Schedule_Inputs!$E$24&lt;Schedule_Inputs!$D$24),$C24/Schedule_Inputs!$D$24,0),0))))</f>
        <v>0</v>
      </c>
      <c r="AN24" s="31">
        <f>IF(Schedule_Inputs!$C$24="Blueprint",$C24*IF(36-Schedule_Inputs!$B$24=0,Assumptions!$B$21,IF(36-Schedule_Inputs!$B$24=1,Assumptions!$C$21,IF(36-Schedule_Inputs!$B$24=2,Assumptions!$D$21,0))),IF(Schedule_Inputs!$C$24="Launch",$C24*IF(36-Schedule_Inputs!$B$24=0,Assumptions!$B$22,IF(36-Schedule_Inputs!$B$24=1,Assumptions!$C$22,IF(36-Schedule_Inputs!$B$24=2,Assumptions!$D$22,IF(36-Schedule_Inputs!$B$24=3,Assumptions!$B$23,0)))),IF(Schedule_Inputs!$C$24="Office Setup",$C24*IF(36-Schedule_Inputs!$B$24=0,Assumptions!$B$24,IF(36-Schedule_Inputs!$B$24=1,Assumptions!$C$24,IF(36-Schedule_Inputs!$B$24=2,Assumptions!$D$24,0))),IF(OR(Schedule_Inputs!$C$24="Monthly",Schedule_Inputs!$C$24="Periodic"),IF(AND(36&gt;=Schedule_Inputs!$B$24,MOD(36-Schedule_Inputs!$B$24,Schedule_Inputs!$E$24)=0,(36-Schedule_Inputs!$B$24)/Schedule_Inputs!$E$24&lt;Schedule_Inputs!$D$24),$C24/Schedule_Inputs!$D$24,0),0))))</f>
        <v>0</v>
      </c>
    </row>
    <row r="25" spans="1:40">
      <c r="A25" s="29" t="s">
        <v>255</v>
      </c>
      <c r="B25" s="29">
        <v>3</v>
      </c>
      <c r="C25" s="30">
        <v>28000</v>
      </c>
      <c r="D25" s="31" t="s">
        <v>235</v>
      </c>
      <c r="E25" s="31">
        <f>IF(Schedule_Inputs!$C$25="Blueprint",$C25*IF(1-Schedule_Inputs!$B$25=0,Assumptions!$B$21,IF(1-Schedule_Inputs!$B$25=1,Assumptions!$C$21,IF(1-Schedule_Inputs!$B$25=2,Assumptions!$D$21,0))),IF(Schedule_Inputs!$C$25="Launch",$C25*IF(1-Schedule_Inputs!$B$25=0,Assumptions!$B$22,IF(1-Schedule_Inputs!$B$25=1,Assumptions!$C$22,IF(1-Schedule_Inputs!$B$25=2,Assumptions!$D$22,IF(1-Schedule_Inputs!$B$25=3,Assumptions!$B$23,0)))),IF(Schedule_Inputs!$C$25="Office Setup",$C25*IF(1-Schedule_Inputs!$B$25=0,Assumptions!$B$24,IF(1-Schedule_Inputs!$B$25=1,Assumptions!$C$24,IF(1-Schedule_Inputs!$B$25=2,Assumptions!$D$24,0))),IF(OR(Schedule_Inputs!$C$25="Monthly",Schedule_Inputs!$C$25="Periodic"),IF(AND(1&gt;=Schedule_Inputs!$B$25,MOD(1-Schedule_Inputs!$B$25,Schedule_Inputs!$E$25)=0,(1-Schedule_Inputs!$B$25)/Schedule_Inputs!$E$25&lt;Schedule_Inputs!$D$25),$C25/Schedule_Inputs!$D$25,0),0))))</f>
        <v>0</v>
      </c>
      <c r="F25" s="31">
        <f>IF(Schedule_Inputs!$C$25="Blueprint",$C25*IF(2-Schedule_Inputs!$B$25=0,Assumptions!$B$21,IF(2-Schedule_Inputs!$B$25=1,Assumptions!$C$21,IF(2-Schedule_Inputs!$B$25=2,Assumptions!$D$21,0))),IF(Schedule_Inputs!$C$25="Launch",$C25*IF(2-Schedule_Inputs!$B$25=0,Assumptions!$B$22,IF(2-Schedule_Inputs!$B$25=1,Assumptions!$C$22,IF(2-Schedule_Inputs!$B$25=2,Assumptions!$D$22,IF(2-Schedule_Inputs!$B$25=3,Assumptions!$B$23,0)))),IF(Schedule_Inputs!$C$25="Office Setup",$C25*IF(2-Schedule_Inputs!$B$25=0,Assumptions!$B$24,IF(2-Schedule_Inputs!$B$25=1,Assumptions!$C$24,IF(2-Schedule_Inputs!$B$25=2,Assumptions!$D$24,0))),IF(OR(Schedule_Inputs!$C$25="Monthly",Schedule_Inputs!$C$25="Periodic"),IF(AND(2&gt;=Schedule_Inputs!$B$25,MOD(2-Schedule_Inputs!$B$25,Schedule_Inputs!$E$25)=0,(2-Schedule_Inputs!$B$25)/Schedule_Inputs!$E$25&lt;Schedule_Inputs!$D$25),$C25/Schedule_Inputs!$D$25,0),0))))</f>
        <v>0</v>
      </c>
      <c r="G25" s="31">
        <f>IF(Schedule_Inputs!$C$25="Blueprint",$C25*IF(3-Schedule_Inputs!$B$25=0,Assumptions!$B$21,IF(3-Schedule_Inputs!$B$25=1,Assumptions!$C$21,IF(3-Schedule_Inputs!$B$25=2,Assumptions!$D$21,0))),IF(Schedule_Inputs!$C$25="Launch",$C25*IF(3-Schedule_Inputs!$B$25=0,Assumptions!$B$22,IF(3-Schedule_Inputs!$B$25=1,Assumptions!$C$22,IF(3-Schedule_Inputs!$B$25=2,Assumptions!$D$22,IF(3-Schedule_Inputs!$B$25=3,Assumptions!$B$23,0)))),IF(Schedule_Inputs!$C$25="Office Setup",$C25*IF(3-Schedule_Inputs!$B$25=0,Assumptions!$B$24,IF(3-Schedule_Inputs!$B$25=1,Assumptions!$C$24,IF(3-Schedule_Inputs!$B$25=2,Assumptions!$D$24,0))),IF(OR(Schedule_Inputs!$C$25="Monthly",Schedule_Inputs!$C$25="Periodic"),IF(AND(3&gt;=Schedule_Inputs!$B$25,MOD(3-Schedule_Inputs!$B$25,Schedule_Inputs!$E$25)=0,(3-Schedule_Inputs!$B$25)/Schedule_Inputs!$E$25&lt;Schedule_Inputs!$D$25),$C25/Schedule_Inputs!$D$25,0),0))))</f>
        <v>0</v>
      </c>
      <c r="H25" s="31">
        <f>IF(Schedule_Inputs!$C$25="Blueprint",$C25*IF(4-Schedule_Inputs!$B$25=0,Assumptions!$B$21,IF(4-Schedule_Inputs!$B$25=1,Assumptions!$C$21,IF(4-Schedule_Inputs!$B$25=2,Assumptions!$D$21,0))),IF(Schedule_Inputs!$C$25="Launch",$C25*IF(4-Schedule_Inputs!$B$25=0,Assumptions!$B$22,IF(4-Schedule_Inputs!$B$25=1,Assumptions!$C$22,IF(4-Schedule_Inputs!$B$25=2,Assumptions!$D$22,IF(4-Schedule_Inputs!$B$25=3,Assumptions!$B$23,0)))),IF(Schedule_Inputs!$C$25="Office Setup",$C25*IF(4-Schedule_Inputs!$B$25=0,Assumptions!$B$24,IF(4-Schedule_Inputs!$B$25=1,Assumptions!$C$24,IF(4-Schedule_Inputs!$B$25=2,Assumptions!$D$24,0))),IF(OR(Schedule_Inputs!$C$25="Monthly",Schedule_Inputs!$C$25="Periodic"),IF(AND(4&gt;=Schedule_Inputs!$B$25,MOD(4-Schedule_Inputs!$B$25,Schedule_Inputs!$E$25)=0,(4-Schedule_Inputs!$B$25)/Schedule_Inputs!$E$25&lt;Schedule_Inputs!$D$25),$C25/Schedule_Inputs!$D$25,0),0))))</f>
        <v>0</v>
      </c>
      <c r="I25" s="31">
        <f>IF(Schedule_Inputs!$C$25="Blueprint",$C25*IF(5-Schedule_Inputs!$B$25=0,Assumptions!$B$21,IF(5-Schedule_Inputs!$B$25=1,Assumptions!$C$21,IF(5-Schedule_Inputs!$B$25=2,Assumptions!$D$21,0))),IF(Schedule_Inputs!$C$25="Launch",$C25*IF(5-Schedule_Inputs!$B$25=0,Assumptions!$B$22,IF(5-Schedule_Inputs!$B$25=1,Assumptions!$C$22,IF(5-Schedule_Inputs!$B$25=2,Assumptions!$D$22,IF(5-Schedule_Inputs!$B$25=3,Assumptions!$B$23,0)))),IF(Schedule_Inputs!$C$25="Office Setup",$C25*IF(5-Schedule_Inputs!$B$25=0,Assumptions!$B$24,IF(5-Schedule_Inputs!$B$25=1,Assumptions!$C$24,IF(5-Schedule_Inputs!$B$25=2,Assumptions!$D$24,0))),IF(OR(Schedule_Inputs!$C$25="Monthly",Schedule_Inputs!$C$25="Periodic"),IF(AND(5&gt;=Schedule_Inputs!$B$25,MOD(5-Schedule_Inputs!$B$25,Schedule_Inputs!$E$25)=0,(5-Schedule_Inputs!$B$25)/Schedule_Inputs!$E$25&lt;Schedule_Inputs!$D$25),$C25/Schedule_Inputs!$D$25,0),0))))</f>
        <v>0</v>
      </c>
      <c r="J25" s="31">
        <f>IF(Schedule_Inputs!$C$25="Blueprint",$C25*IF(6-Schedule_Inputs!$B$25=0,Assumptions!$B$21,IF(6-Schedule_Inputs!$B$25=1,Assumptions!$C$21,IF(6-Schedule_Inputs!$B$25=2,Assumptions!$D$21,0))),IF(Schedule_Inputs!$C$25="Launch",$C25*IF(6-Schedule_Inputs!$B$25=0,Assumptions!$B$22,IF(6-Schedule_Inputs!$B$25=1,Assumptions!$C$22,IF(6-Schedule_Inputs!$B$25=2,Assumptions!$D$22,IF(6-Schedule_Inputs!$B$25=3,Assumptions!$B$23,0)))),IF(Schedule_Inputs!$C$25="Office Setup",$C25*IF(6-Schedule_Inputs!$B$25=0,Assumptions!$B$24,IF(6-Schedule_Inputs!$B$25=1,Assumptions!$C$24,IF(6-Schedule_Inputs!$B$25=2,Assumptions!$D$24,0))),IF(OR(Schedule_Inputs!$C$25="Monthly",Schedule_Inputs!$C$25="Periodic"),IF(AND(6&gt;=Schedule_Inputs!$B$25,MOD(6-Schedule_Inputs!$B$25,Schedule_Inputs!$E$25)=0,(6-Schedule_Inputs!$B$25)/Schedule_Inputs!$E$25&lt;Schedule_Inputs!$D$25),$C25/Schedule_Inputs!$D$25,0),0))))</f>
        <v>0</v>
      </c>
      <c r="K25" s="31">
        <f>IF(Schedule_Inputs!$C$25="Blueprint",$C25*IF(7-Schedule_Inputs!$B$25=0,Assumptions!$B$21,IF(7-Schedule_Inputs!$B$25=1,Assumptions!$C$21,IF(7-Schedule_Inputs!$B$25=2,Assumptions!$D$21,0))),IF(Schedule_Inputs!$C$25="Launch",$C25*IF(7-Schedule_Inputs!$B$25=0,Assumptions!$B$22,IF(7-Schedule_Inputs!$B$25=1,Assumptions!$C$22,IF(7-Schedule_Inputs!$B$25=2,Assumptions!$D$22,IF(7-Schedule_Inputs!$B$25=3,Assumptions!$B$23,0)))),IF(Schedule_Inputs!$C$25="Office Setup",$C25*IF(7-Schedule_Inputs!$B$25=0,Assumptions!$B$24,IF(7-Schedule_Inputs!$B$25=1,Assumptions!$C$24,IF(7-Schedule_Inputs!$B$25=2,Assumptions!$D$24,0))),IF(OR(Schedule_Inputs!$C$25="Monthly",Schedule_Inputs!$C$25="Periodic"),IF(AND(7&gt;=Schedule_Inputs!$B$25,MOD(7-Schedule_Inputs!$B$25,Schedule_Inputs!$E$25)=0,(7-Schedule_Inputs!$B$25)/Schedule_Inputs!$E$25&lt;Schedule_Inputs!$D$25),$C25/Schedule_Inputs!$D$25,0),0))))</f>
        <v>0</v>
      </c>
      <c r="L25" s="31">
        <f>IF(Schedule_Inputs!$C$25="Blueprint",$C25*IF(8-Schedule_Inputs!$B$25=0,Assumptions!$B$21,IF(8-Schedule_Inputs!$B$25=1,Assumptions!$C$21,IF(8-Schedule_Inputs!$B$25=2,Assumptions!$D$21,0))),IF(Schedule_Inputs!$C$25="Launch",$C25*IF(8-Schedule_Inputs!$B$25=0,Assumptions!$B$22,IF(8-Schedule_Inputs!$B$25=1,Assumptions!$C$22,IF(8-Schedule_Inputs!$B$25=2,Assumptions!$D$22,IF(8-Schedule_Inputs!$B$25=3,Assumptions!$B$23,0)))),IF(Schedule_Inputs!$C$25="Office Setup",$C25*IF(8-Schedule_Inputs!$B$25=0,Assumptions!$B$24,IF(8-Schedule_Inputs!$B$25=1,Assumptions!$C$24,IF(8-Schedule_Inputs!$B$25=2,Assumptions!$D$24,0))),IF(OR(Schedule_Inputs!$C$25="Monthly",Schedule_Inputs!$C$25="Periodic"),IF(AND(8&gt;=Schedule_Inputs!$B$25,MOD(8-Schedule_Inputs!$B$25,Schedule_Inputs!$E$25)=0,(8-Schedule_Inputs!$B$25)/Schedule_Inputs!$E$25&lt;Schedule_Inputs!$D$25),$C25/Schedule_Inputs!$D$25,0),0))))</f>
        <v>0</v>
      </c>
      <c r="M25" s="31">
        <f>IF(Schedule_Inputs!$C$25="Blueprint",$C25*IF(9-Schedule_Inputs!$B$25=0,Assumptions!$B$21,IF(9-Schedule_Inputs!$B$25=1,Assumptions!$C$21,IF(9-Schedule_Inputs!$B$25=2,Assumptions!$D$21,0))),IF(Schedule_Inputs!$C$25="Launch",$C25*IF(9-Schedule_Inputs!$B$25=0,Assumptions!$B$22,IF(9-Schedule_Inputs!$B$25=1,Assumptions!$C$22,IF(9-Schedule_Inputs!$B$25=2,Assumptions!$D$22,IF(9-Schedule_Inputs!$B$25=3,Assumptions!$B$23,0)))),IF(Schedule_Inputs!$C$25="Office Setup",$C25*IF(9-Schedule_Inputs!$B$25=0,Assumptions!$B$24,IF(9-Schedule_Inputs!$B$25=1,Assumptions!$C$24,IF(9-Schedule_Inputs!$B$25=2,Assumptions!$D$24,0))),IF(OR(Schedule_Inputs!$C$25="Monthly",Schedule_Inputs!$C$25="Periodic"),IF(AND(9&gt;=Schedule_Inputs!$B$25,MOD(9-Schedule_Inputs!$B$25,Schedule_Inputs!$E$25)=0,(9-Schedule_Inputs!$B$25)/Schedule_Inputs!$E$25&lt;Schedule_Inputs!$D$25),$C25/Schedule_Inputs!$D$25,0),0))))</f>
        <v>0</v>
      </c>
      <c r="N25" s="31">
        <f>IF(Schedule_Inputs!$C$25="Blueprint",$C25*IF(10-Schedule_Inputs!$B$25=0,Assumptions!$B$21,IF(10-Schedule_Inputs!$B$25=1,Assumptions!$C$21,IF(10-Schedule_Inputs!$B$25=2,Assumptions!$D$21,0))),IF(Schedule_Inputs!$C$25="Launch",$C25*IF(10-Schedule_Inputs!$B$25=0,Assumptions!$B$22,IF(10-Schedule_Inputs!$B$25=1,Assumptions!$C$22,IF(10-Schedule_Inputs!$B$25=2,Assumptions!$D$22,IF(10-Schedule_Inputs!$B$25=3,Assumptions!$B$23,0)))),IF(Schedule_Inputs!$C$25="Office Setup",$C25*IF(10-Schedule_Inputs!$B$25=0,Assumptions!$B$24,IF(10-Schedule_Inputs!$B$25=1,Assumptions!$C$24,IF(10-Schedule_Inputs!$B$25=2,Assumptions!$D$24,0))),IF(OR(Schedule_Inputs!$C$25="Monthly",Schedule_Inputs!$C$25="Periodic"),IF(AND(10&gt;=Schedule_Inputs!$B$25,MOD(10-Schedule_Inputs!$B$25,Schedule_Inputs!$E$25)=0,(10-Schedule_Inputs!$B$25)/Schedule_Inputs!$E$25&lt;Schedule_Inputs!$D$25),$C25/Schedule_Inputs!$D$25,0),0))))</f>
        <v>0</v>
      </c>
      <c r="O25" s="31">
        <f>IF(Schedule_Inputs!$C$25="Blueprint",$C25*IF(11-Schedule_Inputs!$B$25=0,Assumptions!$B$21,IF(11-Schedule_Inputs!$B$25=1,Assumptions!$C$21,IF(11-Schedule_Inputs!$B$25=2,Assumptions!$D$21,0))),IF(Schedule_Inputs!$C$25="Launch",$C25*IF(11-Schedule_Inputs!$B$25=0,Assumptions!$B$22,IF(11-Schedule_Inputs!$B$25=1,Assumptions!$C$22,IF(11-Schedule_Inputs!$B$25=2,Assumptions!$D$22,IF(11-Schedule_Inputs!$B$25=3,Assumptions!$B$23,0)))),IF(Schedule_Inputs!$C$25="Office Setup",$C25*IF(11-Schedule_Inputs!$B$25=0,Assumptions!$B$24,IF(11-Schedule_Inputs!$B$25=1,Assumptions!$C$24,IF(11-Schedule_Inputs!$B$25=2,Assumptions!$D$24,0))),IF(OR(Schedule_Inputs!$C$25="Monthly",Schedule_Inputs!$C$25="Periodic"),IF(AND(11&gt;=Schedule_Inputs!$B$25,MOD(11-Schedule_Inputs!$B$25,Schedule_Inputs!$E$25)=0,(11-Schedule_Inputs!$B$25)/Schedule_Inputs!$E$25&lt;Schedule_Inputs!$D$25),$C25/Schedule_Inputs!$D$25,0),0))))</f>
        <v>0</v>
      </c>
      <c r="P25" s="31">
        <f>IF(Schedule_Inputs!$C$25="Blueprint",$C25*IF(12-Schedule_Inputs!$B$25=0,Assumptions!$B$21,IF(12-Schedule_Inputs!$B$25=1,Assumptions!$C$21,IF(12-Schedule_Inputs!$B$25=2,Assumptions!$D$21,0))),IF(Schedule_Inputs!$C$25="Launch",$C25*IF(12-Schedule_Inputs!$B$25=0,Assumptions!$B$22,IF(12-Schedule_Inputs!$B$25=1,Assumptions!$C$22,IF(12-Schedule_Inputs!$B$25=2,Assumptions!$D$22,IF(12-Schedule_Inputs!$B$25=3,Assumptions!$B$23,0)))),IF(Schedule_Inputs!$C$25="Office Setup",$C25*IF(12-Schedule_Inputs!$B$25=0,Assumptions!$B$24,IF(12-Schedule_Inputs!$B$25=1,Assumptions!$C$24,IF(12-Schedule_Inputs!$B$25=2,Assumptions!$D$24,0))),IF(OR(Schedule_Inputs!$C$25="Monthly",Schedule_Inputs!$C$25="Periodic"),IF(AND(12&gt;=Schedule_Inputs!$B$25,MOD(12-Schedule_Inputs!$B$25,Schedule_Inputs!$E$25)=0,(12-Schedule_Inputs!$B$25)/Schedule_Inputs!$E$25&lt;Schedule_Inputs!$D$25),$C25/Schedule_Inputs!$D$25,0),0))))</f>
        <v>0</v>
      </c>
      <c r="Q25" s="31">
        <f>IF(Schedule_Inputs!$C$25="Blueprint",$C25*IF(13-Schedule_Inputs!$B$25=0,Assumptions!$B$21,IF(13-Schedule_Inputs!$B$25=1,Assumptions!$C$21,IF(13-Schedule_Inputs!$B$25=2,Assumptions!$D$21,0))),IF(Schedule_Inputs!$C$25="Launch",$C25*IF(13-Schedule_Inputs!$B$25=0,Assumptions!$B$22,IF(13-Schedule_Inputs!$B$25=1,Assumptions!$C$22,IF(13-Schedule_Inputs!$B$25=2,Assumptions!$D$22,IF(13-Schedule_Inputs!$B$25=3,Assumptions!$B$23,0)))),IF(Schedule_Inputs!$C$25="Office Setup",$C25*IF(13-Schedule_Inputs!$B$25=0,Assumptions!$B$24,IF(13-Schedule_Inputs!$B$25=1,Assumptions!$C$24,IF(13-Schedule_Inputs!$B$25=2,Assumptions!$D$24,0))),IF(OR(Schedule_Inputs!$C$25="Monthly",Schedule_Inputs!$C$25="Periodic"),IF(AND(13&gt;=Schedule_Inputs!$B$25,MOD(13-Schedule_Inputs!$B$25,Schedule_Inputs!$E$25)=0,(13-Schedule_Inputs!$B$25)/Schedule_Inputs!$E$25&lt;Schedule_Inputs!$D$25),$C25/Schedule_Inputs!$D$25,0),0))))</f>
        <v>0</v>
      </c>
      <c r="R25" s="31">
        <f>IF(Schedule_Inputs!$C$25="Blueprint",$C25*IF(14-Schedule_Inputs!$B$25=0,Assumptions!$B$21,IF(14-Schedule_Inputs!$B$25=1,Assumptions!$C$21,IF(14-Schedule_Inputs!$B$25=2,Assumptions!$D$21,0))),IF(Schedule_Inputs!$C$25="Launch",$C25*IF(14-Schedule_Inputs!$B$25=0,Assumptions!$B$22,IF(14-Schedule_Inputs!$B$25=1,Assumptions!$C$22,IF(14-Schedule_Inputs!$B$25=2,Assumptions!$D$22,IF(14-Schedule_Inputs!$B$25=3,Assumptions!$B$23,0)))),IF(Schedule_Inputs!$C$25="Office Setup",$C25*IF(14-Schedule_Inputs!$B$25=0,Assumptions!$B$24,IF(14-Schedule_Inputs!$B$25=1,Assumptions!$C$24,IF(14-Schedule_Inputs!$B$25=2,Assumptions!$D$24,0))),IF(OR(Schedule_Inputs!$C$25="Monthly",Schedule_Inputs!$C$25="Periodic"),IF(AND(14&gt;=Schedule_Inputs!$B$25,MOD(14-Schedule_Inputs!$B$25,Schedule_Inputs!$E$25)=0,(14-Schedule_Inputs!$B$25)/Schedule_Inputs!$E$25&lt;Schedule_Inputs!$D$25),$C25/Schedule_Inputs!$D$25,0),0))))</f>
        <v>0</v>
      </c>
      <c r="S25" s="31">
        <f>IF(Schedule_Inputs!$C$25="Blueprint",$C25*IF(15-Schedule_Inputs!$B$25=0,Assumptions!$B$21,IF(15-Schedule_Inputs!$B$25=1,Assumptions!$C$21,IF(15-Schedule_Inputs!$B$25=2,Assumptions!$D$21,0))),IF(Schedule_Inputs!$C$25="Launch",$C25*IF(15-Schedule_Inputs!$B$25=0,Assumptions!$B$22,IF(15-Schedule_Inputs!$B$25=1,Assumptions!$C$22,IF(15-Schedule_Inputs!$B$25=2,Assumptions!$D$22,IF(15-Schedule_Inputs!$B$25=3,Assumptions!$B$23,0)))),IF(Schedule_Inputs!$C$25="Office Setup",$C25*IF(15-Schedule_Inputs!$B$25=0,Assumptions!$B$24,IF(15-Schedule_Inputs!$B$25=1,Assumptions!$C$24,IF(15-Schedule_Inputs!$B$25=2,Assumptions!$D$24,0))),IF(OR(Schedule_Inputs!$C$25="Monthly",Schedule_Inputs!$C$25="Periodic"),IF(AND(15&gt;=Schedule_Inputs!$B$25,MOD(15-Schedule_Inputs!$B$25,Schedule_Inputs!$E$25)=0,(15-Schedule_Inputs!$B$25)/Schedule_Inputs!$E$25&lt;Schedule_Inputs!$D$25),$C25/Schedule_Inputs!$D$25,0),0))))</f>
        <v>0</v>
      </c>
      <c r="T25" s="31">
        <f>IF(Schedule_Inputs!$C$25="Blueprint",$C25*IF(16-Schedule_Inputs!$B$25=0,Assumptions!$B$21,IF(16-Schedule_Inputs!$B$25=1,Assumptions!$C$21,IF(16-Schedule_Inputs!$B$25=2,Assumptions!$D$21,0))),IF(Schedule_Inputs!$C$25="Launch",$C25*IF(16-Schedule_Inputs!$B$25=0,Assumptions!$B$22,IF(16-Schedule_Inputs!$B$25=1,Assumptions!$C$22,IF(16-Schedule_Inputs!$B$25=2,Assumptions!$D$22,IF(16-Schedule_Inputs!$B$25=3,Assumptions!$B$23,0)))),IF(Schedule_Inputs!$C$25="Office Setup",$C25*IF(16-Schedule_Inputs!$B$25=0,Assumptions!$B$24,IF(16-Schedule_Inputs!$B$25=1,Assumptions!$C$24,IF(16-Schedule_Inputs!$B$25=2,Assumptions!$D$24,0))),IF(OR(Schedule_Inputs!$C$25="Monthly",Schedule_Inputs!$C$25="Periodic"),IF(AND(16&gt;=Schedule_Inputs!$B$25,MOD(16-Schedule_Inputs!$B$25,Schedule_Inputs!$E$25)=0,(16-Schedule_Inputs!$B$25)/Schedule_Inputs!$E$25&lt;Schedule_Inputs!$D$25),$C25/Schedule_Inputs!$D$25,0),0))))</f>
        <v>0</v>
      </c>
      <c r="U25" s="31">
        <f>IF(Schedule_Inputs!$C$25="Blueprint",$C25*IF(17-Schedule_Inputs!$B$25=0,Assumptions!$B$21,IF(17-Schedule_Inputs!$B$25=1,Assumptions!$C$21,IF(17-Schedule_Inputs!$B$25=2,Assumptions!$D$21,0))),IF(Schedule_Inputs!$C$25="Launch",$C25*IF(17-Schedule_Inputs!$B$25=0,Assumptions!$B$22,IF(17-Schedule_Inputs!$B$25=1,Assumptions!$C$22,IF(17-Schedule_Inputs!$B$25=2,Assumptions!$D$22,IF(17-Schedule_Inputs!$B$25=3,Assumptions!$B$23,0)))),IF(Schedule_Inputs!$C$25="Office Setup",$C25*IF(17-Schedule_Inputs!$B$25=0,Assumptions!$B$24,IF(17-Schedule_Inputs!$B$25=1,Assumptions!$C$24,IF(17-Schedule_Inputs!$B$25=2,Assumptions!$D$24,0))),IF(OR(Schedule_Inputs!$C$25="Monthly",Schedule_Inputs!$C$25="Periodic"),IF(AND(17&gt;=Schedule_Inputs!$B$25,MOD(17-Schedule_Inputs!$B$25,Schedule_Inputs!$E$25)=0,(17-Schedule_Inputs!$B$25)/Schedule_Inputs!$E$25&lt;Schedule_Inputs!$D$25),$C25/Schedule_Inputs!$D$25,0),0))))</f>
        <v>0</v>
      </c>
      <c r="V25" s="31">
        <f>IF(Schedule_Inputs!$C$25="Blueprint",$C25*IF(18-Schedule_Inputs!$B$25=0,Assumptions!$B$21,IF(18-Schedule_Inputs!$B$25=1,Assumptions!$C$21,IF(18-Schedule_Inputs!$B$25=2,Assumptions!$D$21,0))),IF(Schedule_Inputs!$C$25="Launch",$C25*IF(18-Schedule_Inputs!$B$25=0,Assumptions!$B$22,IF(18-Schedule_Inputs!$B$25=1,Assumptions!$C$22,IF(18-Schedule_Inputs!$B$25=2,Assumptions!$D$22,IF(18-Schedule_Inputs!$B$25=3,Assumptions!$B$23,0)))),IF(Schedule_Inputs!$C$25="Office Setup",$C25*IF(18-Schedule_Inputs!$B$25=0,Assumptions!$B$24,IF(18-Schedule_Inputs!$B$25=1,Assumptions!$C$24,IF(18-Schedule_Inputs!$B$25=2,Assumptions!$D$24,0))),IF(OR(Schedule_Inputs!$C$25="Monthly",Schedule_Inputs!$C$25="Periodic"),IF(AND(18&gt;=Schedule_Inputs!$B$25,MOD(18-Schedule_Inputs!$B$25,Schedule_Inputs!$E$25)=0,(18-Schedule_Inputs!$B$25)/Schedule_Inputs!$E$25&lt;Schedule_Inputs!$D$25),$C25/Schedule_Inputs!$D$25,0),0))))</f>
        <v>0</v>
      </c>
      <c r="W25" s="31">
        <f>IF(Schedule_Inputs!$C$25="Blueprint",$C25*IF(19-Schedule_Inputs!$B$25=0,Assumptions!$B$21,IF(19-Schedule_Inputs!$B$25=1,Assumptions!$C$21,IF(19-Schedule_Inputs!$B$25=2,Assumptions!$D$21,0))),IF(Schedule_Inputs!$C$25="Launch",$C25*IF(19-Schedule_Inputs!$B$25=0,Assumptions!$B$22,IF(19-Schedule_Inputs!$B$25=1,Assumptions!$C$22,IF(19-Schedule_Inputs!$B$25=2,Assumptions!$D$22,IF(19-Schedule_Inputs!$B$25=3,Assumptions!$B$23,0)))),IF(Schedule_Inputs!$C$25="Office Setup",$C25*IF(19-Schedule_Inputs!$B$25=0,Assumptions!$B$24,IF(19-Schedule_Inputs!$B$25=1,Assumptions!$C$24,IF(19-Schedule_Inputs!$B$25=2,Assumptions!$D$24,0))),IF(OR(Schedule_Inputs!$C$25="Monthly",Schedule_Inputs!$C$25="Periodic"),IF(AND(19&gt;=Schedule_Inputs!$B$25,MOD(19-Schedule_Inputs!$B$25,Schedule_Inputs!$E$25)=0,(19-Schedule_Inputs!$B$25)/Schedule_Inputs!$E$25&lt;Schedule_Inputs!$D$25),$C25/Schedule_Inputs!$D$25,0),0))))</f>
        <v>0</v>
      </c>
      <c r="X25" s="31">
        <f>IF(Schedule_Inputs!$C$25="Blueprint",$C25*IF(20-Schedule_Inputs!$B$25=0,Assumptions!$B$21,IF(20-Schedule_Inputs!$B$25=1,Assumptions!$C$21,IF(20-Schedule_Inputs!$B$25=2,Assumptions!$D$21,0))),IF(Schedule_Inputs!$C$25="Launch",$C25*IF(20-Schedule_Inputs!$B$25=0,Assumptions!$B$22,IF(20-Schedule_Inputs!$B$25=1,Assumptions!$C$22,IF(20-Schedule_Inputs!$B$25=2,Assumptions!$D$22,IF(20-Schedule_Inputs!$B$25=3,Assumptions!$B$23,0)))),IF(Schedule_Inputs!$C$25="Office Setup",$C25*IF(20-Schedule_Inputs!$B$25=0,Assumptions!$B$24,IF(20-Schedule_Inputs!$B$25=1,Assumptions!$C$24,IF(20-Schedule_Inputs!$B$25=2,Assumptions!$D$24,0))),IF(OR(Schedule_Inputs!$C$25="Monthly",Schedule_Inputs!$C$25="Periodic"),IF(AND(20&gt;=Schedule_Inputs!$B$25,MOD(20-Schedule_Inputs!$B$25,Schedule_Inputs!$E$25)=0,(20-Schedule_Inputs!$B$25)/Schedule_Inputs!$E$25&lt;Schedule_Inputs!$D$25),$C25/Schedule_Inputs!$D$25,0),0))))</f>
        <v>0</v>
      </c>
      <c r="Y25" s="31">
        <f>IF(Schedule_Inputs!$C$25="Blueprint",$C25*IF(21-Schedule_Inputs!$B$25=0,Assumptions!$B$21,IF(21-Schedule_Inputs!$B$25=1,Assumptions!$C$21,IF(21-Schedule_Inputs!$B$25=2,Assumptions!$D$21,0))),IF(Schedule_Inputs!$C$25="Launch",$C25*IF(21-Schedule_Inputs!$B$25=0,Assumptions!$B$22,IF(21-Schedule_Inputs!$B$25=1,Assumptions!$C$22,IF(21-Schedule_Inputs!$B$25=2,Assumptions!$D$22,IF(21-Schedule_Inputs!$B$25=3,Assumptions!$B$23,0)))),IF(Schedule_Inputs!$C$25="Office Setup",$C25*IF(21-Schedule_Inputs!$B$25=0,Assumptions!$B$24,IF(21-Schedule_Inputs!$B$25=1,Assumptions!$C$24,IF(21-Schedule_Inputs!$B$25=2,Assumptions!$D$24,0))),IF(OR(Schedule_Inputs!$C$25="Monthly",Schedule_Inputs!$C$25="Periodic"),IF(AND(21&gt;=Schedule_Inputs!$B$25,MOD(21-Schedule_Inputs!$B$25,Schedule_Inputs!$E$25)=0,(21-Schedule_Inputs!$B$25)/Schedule_Inputs!$E$25&lt;Schedule_Inputs!$D$25),$C25/Schedule_Inputs!$D$25,0),0))))</f>
        <v>0</v>
      </c>
      <c r="Z25" s="31">
        <f>IF(Schedule_Inputs!$C$25="Blueprint",$C25*IF(22-Schedule_Inputs!$B$25=0,Assumptions!$B$21,IF(22-Schedule_Inputs!$B$25=1,Assumptions!$C$21,IF(22-Schedule_Inputs!$B$25=2,Assumptions!$D$21,0))),IF(Schedule_Inputs!$C$25="Launch",$C25*IF(22-Schedule_Inputs!$B$25=0,Assumptions!$B$22,IF(22-Schedule_Inputs!$B$25=1,Assumptions!$C$22,IF(22-Schedule_Inputs!$B$25=2,Assumptions!$D$22,IF(22-Schedule_Inputs!$B$25=3,Assumptions!$B$23,0)))),IF(Schedule_Inputs!$C$25="Office Setup",$C25*IF(22-Schedule_Inputs!$B$25=0,Assumptions!$B$24,IF(22-Schedule_Inputs!$B$25=1,Assumptions!$C$24,IF(22-Schedule_Inputs!$B$25=2,Assumptions!$D$24,0))),IF(OR(Schedule_Inputs!$C$25="Monthly",Schedule_Inputs!$C$25="Periodic"),IF(AND(22&gt;=Schedule_Inputs!$B$25,MOD(22-Schedule_Inputs!$B$25,Schedule_Inputs!$E$25)=0,(22-Schedule_Inputs!$B$25)/Schedule_Inputs!$E$25&lt;Schedule_Inputs!$D$25),$C25/Schedule_Inputs!$D$25,0),0))))</f>
        <v>0</v>
      </c>
      <c r="AA25" s="31">
        <f>IF(Schedule_Inputs!$C$25="Blueprint",$C25*IF(23-Schedule_Inputs!$B$25=0,Assumptions!$B$21,IF(23-Schedule_Inputs!$B$25=1,Assumptions!$C$21,IF(23-Schedule_Inputs!$B$25=2,Assumptions!$D$21,0))),IF(Schedule_Inputs!$C$25="Launch",$C25*IF(23-Schedule_Inputs!$B$25=0,Assumptions!$B$22,IF(23-Schedule_Inputs!$B$25=1,Assumptions!$C$22,IF(23-Schedule_Inputs!$B$25=2,Assumptions!$D$22,IF(23-Schedule_Inputs!$B$25=3,Assumptions!$B$23,0)))),IF(Schedule_Inputs!$C$25="Office Setup",$C25*IF(23-Schedule_Inputs!$B$25=0,Assumptions!$B$24,IF(23-Schedule_Inputs!$B$25=1,Assumptions!$C$24,IF(23-Schedule_Inputs!$B$25=2,Assumptions!$D$24,0))),IF(OR(Schedule_Inputs!$C$25="Monthly",Schedule_Inputs!$C$25="Periodic"),IF(AND(23&gt;=Schedule_Inputs!$B$25,MOD(23-Schedule_Inputs!$B$25,Schedule_Inputs!$E$25)=0,(23-Schedule_Inputs!$B$25)/Schedule_Inputs!$E$25&lt;Schedule_Inputs!$D$25),$C25/Schedule_Inputs!$D$25,0),0))))</f>
        <v>0</v>
      </c>
      <c r="AB25" s="31">
        <f>IF(Schedule_Inputs!$C$25="Blueprint",$C25*IF(24-Schedule_Inputs!$B$25=0,Assumptions!$B$21,IF(24-Schedule_Inputs!$B$25=1,Assumptions!$C$21,IF(24-Schedule_Inputs!$B$25=2,Assumptions!$D$21,0))),IF(Schedule_Inputs!$C$25="Launch",$C25*IF(24-Schedule_Inputs!$B$25=0,Assumptions!$B$22,IF(24-Schedule_Inputs!$B$25=1,Assumptions!$C$22,IF(24-Schedule_Inputs!$B$25=2,Assumptions!$D$22,IF(24-Schedule_Inputs!$B$25=3,Assumptions!$B$23,0)))),IF(Schedule_Inputs!$C$25="Office Setup",$C25*IF(24-Schedule_Inputs!$B$25=0,Assumptions!$B$24,IF(24-Schedule_Inputs!$B$25=1,Assumptions!$C$24,IF(24-Schedule_Inputs!$B$25=2,Assumptions!$D$24,0))),IF(OR(Schedule_Inputs!$C$25="Monthly",Schedule_Inputs!$C$25="Periodic"),IF(AND(24&gt;=Schedule_Inputs!$B$25,MOD(24-Schedule_Inputs!$B$25,Schedule_Inputs!$E$25)=0,(24-Schedule_Inputs!$B$25)/Schedule_Inputs!$E$25&lt;Schedule_Inputs!$D$25),$C25/Schedule_Inputs!$D$25,0),0))))</f>
        <v>0</v>
      </c>
      <c r="AC25" s="31">
        <f>IF(Schedule_Inputs!$C$25="Blueprint",$C25*IF(25-Schedule_Inputs!$B$25=0,Assumptions!$B$21,IF(25-Schedule_Inputs!$B$25=1,Assumptions!$C$21,IF(25-Schedule_Inputs!$B$25=2,Assumptions!$D$21,0))),IF(Schedule_Inputs!$C$25="Launch",$C25*IF(25-Schedule_Inputs!$B$25=0,Assumptions!$B$22,IF(25-Schedule_Inputs!$B$25=1,Assumptions!$C$22,IF(25-Schedule_Inputs!$B$25=2,Assumptions!$D$22,IF(25-Schedule_Inputs!$B$25=3,Assumptions!$B$23,0)))),IF(Schedule_Inputs!$C$25="Office Setup",$C25*IF(25-Schedule_Inputs!$B$25=0,Assumptions!$B$24,IF(25-Schedule_Inputs!$B$25=1,Assumptions!$C$24,IF(25-Schedule_Inputs!$B$25=2,Assumptions!$D$24,0))),IF(OR(Schedule_Inputs!$C$25="Monthly",Schedule_Inputs!$C$25="Periodic"),IF(AND(25&gt;=Schedule_Inputs!$B$25,MOD(25-Schedule_Inputs!$B$25,Schedule_Inputs!$E$25)=0,(25-Schedule_Inputs!$B$25)/Schedule_Inputs!$E$25&lt;Schedule_Inputs!$D$25),$C25/Schedule_Inputs!$D$25,0),0))))</f>
        <v>0</v>
      </c>
      <c r="AD25" s="31">
        <f>IF(Schedule_Inputs!$C$25="Blueprint",$C25*IF(26-Schedule_Inputs!$B$25=0,Assumptions!$B$21,IF(26-Schedule_Inputs!$B$25=1,Assumptions!$C$21,IF(26-Schedule_Inputs!$B$25=2,Assumptions!$D$21,0))),IF(Schedule_Inputs!$C$25="Launch",$C25*IF(26-Schedule_Inputs!$B$25=0,Assumptions!$B$22,IF(26-Schedule_Inputs!$B$25=1,Assumptions!$C$22,IF(26-Schedule_Inputs!$B$25=2,Assumptions!$D$22,IF(26-Schedule_Inputs!$B$25=3,Assumptions!$B$23,0)))),IF(Schedule_Inputs!$C$25="Office Setup",$C25*IF(26-Schedule_Inputs!$B$25=0,Assumptions!$B$24,IF(26-Schedule_Inputs!$B$25=1,Assumptions!$C$24,IF(26-Schedule_Inputs!$B$25=2,Assumptions!$D$24,0))),IF(OR(Schedule_Inputs!$C$25="Monthly",Schedule_Inputs!$C$25="Periodic"),IF(AND(26&gt;=Schedule_Inputs!$B$25,MOD(26-Schedule_Inputs!$B$25,Schedule_Inputs!$E$25)=0,(26-Schedule_Inputs!$B$25)/Schedule_Inputs!$E$25&lt;Schedule_Inputs!$D$25),$C25/Schedule_Inputs!$D$25,0),0))))</f>
        <v>0</v>
      </c>
      <c r="AE25" s="31">
        <f>IF(Schedule_Inputs!$C$25="Blueprint",$C25*IF(27-Schedule_Inputs!$B$25=0,Assumptions!$B$21,IF(27-Schedule_Inputs!$B$25=1,Assumptions!$C$21,IF(27-Schedule_Inputs!$B$25=2,Assumptions!$D$21,0))),IF(Schedule_Inputs!$C$25="Launch",$C25*IF(27-Schedule_Inputs!$B$25=0,Assumptions!$B$22,IF(27-Schedule_Inputs!$B$25=1,Assumptions!$C$22,IF(27-Schedule_Inputs!$B$25=2,Assumptions!$D$22,IF(27-Schedule_Inputs!$B$25=3,Assumptions!$B$23,0)))),IF(Schedule_Inputs!$C$25="Office Setup",$C25*IF(27-Schedule_Inputs!$B$25=0,Assumptions!$B$24,IF(27-Schedule_Inputs!$B$25=1,Assumptions!$C$24,IF(27-Schedule_Inputs!$B$25=2,Assumptions!$D$24,0))),IF(OR(Schedule_Inputs!$C$25="Monthly",Schedule_Inputs!$C$25="Periodic"),IF(AND(27&gt;=Schedule_Inputs!$B$25,MOD(27-Schedule_Inputs!$B$25,Schedule_Inputs!$E$25)=0,(27-Schedule_Inputs!$B$25)/Schedule_Inputs!$E$25&lt;Schedule_Inputs!$D$25),$C25/Schedule_Inputs!$D$25,0),0))))</f>
        <v>0</v>
      </c>
      <c r="AF25" s="31">
        <f>IF(Schedule_Inputs!$C$25="Blueprint",$C25*IF(28-Schedule_Inputs!$B$25=0,Assumptions!$B$21,IF(28-Schedule_Inputs!$B$25=1,Assumptions!$C$21,IF(28-Schedule_Inputs!$B$25=2,Assumptions!$D$21,0))),IF(Schedule_Inputs!$C$25="Launch",$C25*IF(28-Schedule_Inputs!$B$25=0,Assumptions!$B$22,IF(28-Schedule_Inputs!$B$25=1,Assumptions!$C$22,IF(28-Schedule_Inputs!$B$25=2,Assumptions!$D$22,IF(28-Schedule_Inputs!$B$25=3,Assumptions!$B$23,0)))),IF(Schedule_Inputs!$C$25="Office Setup",$C25*IF(28-Schedule_Inputs!$B$25=0,Assumptions!$B$24,IF(28-Schedule_Inputs!$B$25=1,Assumptions!$C$24,IF(28-Schedule_Inputs!$B$25=2,Assumptions!$D$24,0))),IF(OR(Schedule_Inputs!$C$25="Monthly",Schedule_Inputs!$C$25="Periodic"),IF(AND(28&gt;=Schedule_Inputs!$B$25,MOD(28-Schedule_Inputs!$B$25,Schedule_Inputs!$E$25)=0,(28-Schedule_Inputs!$B$25)/Schedule_Inputs!$E$25&lt;Schedule_Inputs!$D$25),$C25/Schedule_Inputs!$D$25,0),0))))</f>
        <v>0</v>
      </c>
      <c r="AG25" s="31">
        <f>IF(Schedule_Inputs!$C$25="Blueprint",$C25*IF(29-Schedule_Inputs!$B$25=0,Assumptions!$B$21,IF(29-Schedule_Inputs!$B$25=1,Assumptions!$C$21,IF(29-Schedule_Inputs!$B$25=2,Assumptions!$D$21,0))),IF(Schedule_Inputs!$C$25="Launch",$C25*IF(29-Schedule_Inputs!$B$25=0,Assumptions!$B$22,IF(29-Schedule_Inputs!$B$25=1,Assumptions!$C$22,IF(29-Schedule_Inputs!$B$25=2,Assumptions!$D$22,IF(29-Schedule_Inputs!$B$25=3,Assumptions!$B$23,0)))),IF(Schedule_Inputs!$C$25="Office Setup",$C25*IF(29-Schedule_Inputs!$B$25=0,Assumptions!$B$24,IF(29-Schedule_Inputs!$B$25=1,Assumptions!$C$24,IF(29-Schedule_Inputs!$B$25=2,Assumptions!$D$24,0))),IF(OR(Schedule_Inputs!$C$25="Monthly",Schedule_Inputs!$C$25="Periodic"),IF(AND(29&gt;=Schedule_Inputs!$B$25,MOD(29-Schedule_Inputs!$B$25,Schedule_Inputs!$E$25)=0,(29-Schedule_Inputs!$B$25)/Schedule_Inputs!$E$25&lt;Schedule_Inputs!$D$25),$C25/Schedule_Inputs!$D$25,0),0))))</f>
        <v>0</v>
      </c>
      <c r="AH25" s="31">
        <f>IF(Schedule_Inputs!$C$25="Blueprint",$C25*IF(30-Schedule_Inputs!$B$25=0,Assumptions!$B$21,IF(30-Schedule_Inputs!$B$25=1,Assumptions!$C$21,IF(30-Schedule_Inputs!$B$25=2,Assumptions!$D$21,0))),IF(Schedule_Inputs!$C$25="Launch",$C25*IF(30-Schedule_Inputs!$B$25=0,Assumptions!$B$22,IF(30-Schedule_Inputs!$B$25=1,Assumptions!$C$22,IF(30-Schedule_Inputs!$B$25=2,Assumptions!$D$22,IF(30-Schedule_Inputs!$B$25=3,Assumptions!$B$23,0)))),IF(Schedule_Inputs!$C$25="Office Setup",$C25*IF(30-Schedule_Inputs!$B$25=0,Assumptions!$B$24,IF(30-Schedule_Inputs!$B$25=1,Assumptions!$C$24,IF(30-Schedule_Inputs!$B$25=2,Assumptions!$D$24,0))),IF(OR(Schedule_Inputs!$C$25="Monthly",Schedule_Inputs!$C$25="Periodic"),IF(AND(30&gt;=Schedule_Inputs!$B$25,MOD(30-Schedule_Inputs!$B$25,Schedule_Inputs!$E$25)=0,(30-Schedule_Inputs!$B$25)/Schedule_Inputs!$E$25&lt;Schedule_Inputs!$D$25),$C25/Schedule_Inputs!$D$25,0),0))))</f>
        <v>0</v>
      </c>
      <c r="AI25" s="31">
        <f>IF(Schedule_Inputs!$C$25="Blueprint",$C25*IF(31-Schedule_Inputs!$B$25=0,Assumptions!$B$21,IF(31-Schedule_Inputs!$B$25=1,Assumptions!$C$21,IF(31-Schedule_Inputs!$B$25=2,Assumptions!$D$21,0))),IF(Schedule_Inputs!$C$25="Launch",$C25*IF(31-Schedule_Inputs!$B$25=0,Assumptions!$B$22,IF(31-Schedule_Inputs!$B$25=1,Assumptions!$C$22,IF(31-Schedule_Inputs!$B$25=2,Assumptions!$D$22,IF(31-Schedule_Inputs!$B$25=3,Assumptions!$B$23,0)))),IF(Schedule_Inputs!$C$25="Office Setup",$C25*IF(31-Schedule_Inputs!$B$25=0,Assumptions!$B$24,IF(31-Schedule_Inputs!$B$25=1,Assumptions!$C$24,IF(31-Schedule_Inputs!$B$25=2,Assumptions!$D$24,0))),IF(OR(Schedule_Inputs!$C$25="Monthly",Schedule_Inputs!$C$25="Periodic"),IF(AND(31&gt;=Schedule_Inputs!$B$25,MOD(31-Schedule_Inputs!$B$25,Schedule_Inputs!$E$25)=0,(31-Schedule_Inputs!$B$25)/Schedule_Inputs!$E$25&lt;Schedule_Inputs!$D$25),$C25/Schedule_Inputs!$D$25,0),0))))</f>
        <v>0</v>
      </c>
      <c r="AJ25" s="31">
        <f>IF(Schedule_Inputs!$C$25="Blueprint",$C25*IF(32-Schedule_Inputs!$B$25=0,Assumptions!$B$21,IF(32-Schedule_Inputs!$B$25=1,Assumptions!$C$21,IF(32-Schedule_Inputs!$B$25=2,Assumptions!$D$21,0))),IF(Schedule_Inputs!$C$25="Launch",$C25*IF(32-Schedule_Inputs!$B$25=0,Assumptions!$B$22,IF(32-Schedule_Inputs!$B$25=1,Assumptions!$C$22,IF(32-Schedule_Inputs!$B$25=2,Assumptions!$D$22,IF(32-Schedule_Inputs!$B$25=3,Assumptions!$B$23,0)))),IF(Schedule_Inputs!$C$25="Office Setup",$C25*IF(32-Schedule_Inputs!$B$25=0,Assumptions!$B$24,IF(32-Schedule_Inputs!$B$25=1,Assumptions!$C$24,IF(32-Schedule_Inputs!$B$25=2,Assumptions!$D$24,0))),IF(OR(Schedule_Inputs!$C$25="Monthly",Schedule_Inputs!$C$25="Periodic"),IF(AND(32&gt;=Schedule_Inputs!$B$25,MOD(32-Schedule_Inputs!$B$25,Schedule_Inputs!$E$25)=0,(32-Schedule_Inputs!$B$25)/Schedule_Inputs!$E$25&lt;Schedule_Inputs!$D$25),$C25/Schedule_Inputs!$D$25,0),0))))</f>
        <v>14000</v>
      </c>
      <c r="AK25" s="31">
        <f>IF(Schedule_Inputs!$C$25="Blueprint",$C25*IF(33-Schedule_Inputs!$B$25=0,Assumptions!$B$21,IF(33-Schedule_Inputs!$B$25=1,Assumptions!$C$21,IF(33-Schedule_Inputs!$B$25=2,Assumptions!$D$21,0))),IF(Schedule_Inputs!$C$25="Launch",$C25*IF(33-Schedule_Inputs!$B$25=0,Assumptions!$B$22,IF(33-Schedule_Inputs!$B$25=1,Assumptions!$C$22,IF(33-Schedule_Inputs!$B$25=2,Assumptions!$D$22,IF(33-Schedule_Inputs!$B$25=3,Assumptions!$B$23,0)))),IF(Schedule_Inputs!$C$25="Office Setup",$C25*IF(33-Schedule_Inputs!$B$25=0,Assumptions!$B$24,IF(33-Schedule_Inputs!$B$25=1,Assumptions!$C$24,IF(33-Schedule_Inputs!$B$25=2,Assumptions!$D$24,0))),IF(OR(Schedule_Inputs!$C$25="Monthly",Schedule_Inputs!$C$25="Periodic"),IF(AND(33&gt;=Schedule_Inputs!$B$25,MOD(33-Schedule_Inputs!$B$25,Schedule_Inputs!$E$25)=0,(33-Schedule_Inputs!$B$25)/Schedule_Inputs!$E$25&lt;Schedule_Inputs!$D$25),$C25/Schedule_Inputs!$D$25,0),0))))</f>
        <v>8400</v>
      </c>
      <c r="AL25" s="31">
        <f>IF(Schedule_Inputs!$C$25="Blueprint",$C25*IF(34-Schedule_Inputs!$B$25=0,Assumptions!$B$21,IF(34-Schedule_Inputs!$B$25=1,Assumptions!$C$21,IF(34-Schedule_Inputs!$B$25=2,Assumptions!$D$21,0))),IF(Schedule_Inputs!$C$25="Launch",$C25*IF(34-Schedule_Inputs!$B$25=0,Assumptions!$B$22,IF(34-Schedule_Inputs!$B$25=1,Assumptions!$C$22,IF(34-Schedule_Inputs!$B$25=2,Assumptions!$D$22,IF(34-Schedule_Inputs!$B$25=3,Assumptions!$B$23,0)))),IF(Schedule_Inputs!$C$25="Office Setup",$C25*IF(34-Schedule_Inputs!$B$25=0,Assumptions!$B$24,IF(34-Schedule_Inputs!$B$25=1,Assumptions!$C$24,IF(34-Schedule_Inputs!$B$25=2,Assumptions!$D$24,0))),IF(OR(Schedule_Inputs!$C$25="Monthly",Schedule_Inputs!$C$25="Periodic"),IF(AND(34&gt;=Schedule_Inputs!$B$25,MOD(34-Schedule_Inputs!$B$25,Schedule_Inputs!$E$25)=0,(34-Schedule_Inputs!$B$25)/Schedule_Inputs!$E$25&lt;Schedule_Inputs!$D$25),$C25/Schedule_Inputs!$D$25,0),0))))</f>
        <v>5600</v>
      </c>
      <c r="AM25" s="31">
        <f>IF(Schedule_Inputs!$C$25="Blueprint",$C25*IF(35-Schedule_Inputs!$B$25=0,Assumptions!$B$21,IF(35-Schedule_Inputs!$B$25=1,Assumptions!$C$21,IF(35-Schedule_Inputs!$B$25=2,Assumptions!$D$21,0))),IF(Schedule_Inputs!$C$25="Launch",$C25*IF(35-Schedule_Inputs!$B$25=0,Assumptions!$B$22,IF(35-Schedule_Inputs!$B$25=1,Assumptions!$C$22,IF(35-Schedule_Inputs!$B$25=2,Assumptions!$D$22,IF(35-Schedule_Inputs!$B$25=3,Assumptions!$B$23,0)))),IF(Schedule_Inputs!$C$25="Office Setup",$C25*IF(35-Schedule_Inputs!$B$25=0,Assumptions!$B$24,IF(35-Schedule_Inputs!$B$25=1,Assumptions!$C$24,IF(35-Schedule_Inputs!$B$25=2,Assumptions!$D$24,0))),IF(OR(Schedule_Inputs!$C$25="Monthly",Schedule_Inputs!$C$25="Periodic"),IF(AND(35&gt;=Schedule_Inputs!$B$25,MOD(35-Schedule_Inputs!$B$25,Schedule_Inputs!$E$25)=0,(35-Schedule_Inputs!$B$25)/Schedule_Inputs!$E$25&lt;Schedule_Inputs!$D$25),$C25/Schedule_Inputs!$D$25,0),0))))</f>
        <v>0</v>
      </c>
      <c r="AN25" s="31">
        <f>IF(Schedule_Inputs!$C$25="Blueprint",$C25*IF(36-Schedule_Inputs!$B$25=0,Assumptions!$B$21,IF(36-Schedule_Inputs!$B$25=1,Assumptions!$C$21,IF(36-Schedule_Inputs!$B$25=2,Assumptions!$D$21,0))),IF(Schedule_Inputs!$C$25="Launch",$C25*IF(36-Schedule_Inputs!$B$25=0,Assumptions!$B$22,IF(36-Schedule_Inputs!$B$25=1,Assumptions!$C$22,IF(36-Schedule_Inputs!$B$25=2,Assumptions!$D$22,IF(36-Schedule_Inputs!$B$25=3,Assumptions!$B$23,0)))),IF(Schedule_Inputs!$C$25="Office Setup",$C25*IF(36-Schedule_Inputs!$B$25=0,Assumptions!$B$24,IF(36-Schedule_Inputs!$B$25=1,Assumptions!$C$24,IF(36-Schedule_Inputs!$B$25=2,Assumptions!$D$24,0))),IF(OR(Schedule_Inputs!$C$25="Monthly",Schedule_Inputs!$C$25="Periodic"),IF(AND(36&gt;=Schedule_Inputs!$B$25,MOD(36-Schedule_Inputs!$B$25,Schedule_Inputs!$E$25)=0,(36-Schedule_Inputs!$B$25)/Schedule_Inputs!$E$25&lt;Schedule_Inputs!$D$25),$C25/Schedule_Inputs!$D$25,0),0))))</f>
        <v>0</v>
      </c>
    </row>
    <row r="26" spans="1:40">
      <c r="A26" s="29" t="s">
        <v>256</v>
      </c>
      <c r="B26" s="29">
        <v>3</v>
      </c>
      <c r="C26" s="30">
        <v>144000</v>
      </c>
      <c r="D26" s="31" t="s">
        <v>237</v>
      </c>
      <c r="E26" s="31">
        <f>IF(Schedule_Inputs!$C$26="Blueprint",$C26*IF(1-Schedule_Inputs!$B$26=0,Assumptions!$B$21,IF(1-Schedule_Inputs!$B$26=1,Assumptions!$C$21,IF(1-Schedule_Inputs!$B$26=2,Assumptions!$D$21,0))),IF(Schedule_Inputs!$C$26="Launch",$C26*IF(1-Schedule_Inputs!$B$26=0,Assumptions!$B$22,IF(1-Schedule_Inputs!$B$26=1,Assumptions!$C$22,IF(1-Schedule_Inputs!$B$26=2,Assumptions!$D$22,IF(1-Schedule_Inputs!$B$26=3,Assumptions!$B$23,0)))),IF(Schedule_Inputs!$C$26="Office Setup",$C26*IF(1-Schedule_Inputs!$B$26=0,Assumptions!$B$24,IF(1-Schedule_Inputs!$B$26=1,Assumptions!$C$24,IF(1-Schedule_Inputs!$B$26=2,Assumptions!$D$24,0))),IF(OR(Schedule_Inputs!$C$26="Monthly",Schedule_Inputs!$C$26="Periodic"),IF(AND(1&gt;=Schedule_Inputs!$B$26,MOD(1-Schedule_Inputs!$B$26,Schedule_Inputs!$E$26)=0,(1-Schedule_Inputs!$B$26)/Schedule_Inputs!$E$26&lt;Schedule_Inputs!$D$26),$C26/Schedule_Inputs!$D$26,0),0))))</f>
        <v>0</v>
      </c>
      <c r="F26" s="31">
        <f>IF(Schedule_Inputs!$C$26="Blueprint",$C26*IF(2-Schedule_Inputs!$B$26=0,Assumptions!$B$21,IF(2-Schedule_Inputs!$B$26=1,Assumptions!$C$21,IF(2-Schedule_Inputs!$B$26=2,Assumptions!$D$21,0))),IF(Schedule_Inputs!$C$26="Launch",$C26*IF(2-Schedule_Inputs!$B$26=0,Assumptions!$B$22,IF(2-Schedule_Inputs!$B$26=1,Assumptions!$C$22,IF(2-Schedule_Inputs!$B$26=2,Assumptions!$D$22,IF(2-Schedule_Inputs!$B$26=3,Assumptions!$B$23,0)))),IF(Schedule_Inputs!$C$26="Office Setup",$C26*IF(2-Schedule_Inputs!$B$26=0,Assumptions!$B$24,IF(2-Schedule_Inputs!$B$26=1,Assumptions!$C$24,IF(2-Schedule_Inputs!$B$26=2,Assumptions!$D$24,0))),IF(OR(Schedule_Inputs!$C$26="Monthly",Schedule_Inputs!$C$26="Periodic"),IF(AND(2&gt;=Schedule_Inputs!$B$26,MOD(2-Schedule_Inputs!$B$26,Schedule_Inputs!$E$26)=0,(2-Schedule_Inputs!$B$26)/Schedule_Inputs!$E$26&lt;Schedule_Inputs!$D$26),$C26/Schedule_Inputs!$D$26,0),0))))</f>
        <v>0</v>
      </c>
      <c r="G26" s="31">
        <f>IF(Schedule_Inputs!$C$26="Blueprint",$C26*IF(3-Schedule_Inputs!$B$26=0,Assumptions!$B$21,IF(3-Schedule_Inputs!$B$26=1,Assumptions!$C$21,IF(3-Schedule_Inputs!$B$26=2,Assumptions!$D$21,0))),IF(Schedule_Inputs!$C$26="Launch",$C26*IF(3-Schedule_Inputs!$B$26=0,Assumptions!$B$22,IF(3-Schedule_Inputs!$B$26=1,Assumptions!$C$22,IF(3-Schedule_Inputs!$B$26=2,Assumptions!$D$22,IF(3-Schedule_Inputs!$B$26=3,Assumptions!$B$23,0)))),IF(Schedule_Inputs!$C$26="Office Setup",$C26*IF(3-Schedule_Inputs!$B$26=0,Assumptions!$B$24,IF(3-Schedule_Inputs!$B$26=1,Assumptions!$C$24,IF(3-Schedule_Inputs!$B$26=2,Assumptions!$D$24,0))),IF(OR(Schedule_Inputs!$C$26="Monthly",Schedule_Inputs!$C$26="Periodic"),IF(AND(3&gt;=Schedule_Inputs!$B$26,MOD(3-Schedule_Inputs!$B$26,Schedule_Inputs!$E$26)=0,(3-Schedule_Inputs!$B$26)/Schedule_Inputs!$E$26&lt;Schedule_Inputs!$D$26),$C26/Schedule_Inputs!$D$26,0),0))))</f>
        <v>0</v>
      </c>
      <c r="H26" s="31">
        <f>IF(Schedule_Inputs!$C$26="Blueprint",$C26*IF(4-Schedule_Inputs!$B$26=0,Assumptions!$B$21,IF(4-Schedule_Inputs!$B$26=1,Assumptions!$C$21,IF(4-Schedule_Inputs!$B$26=2,Assumptions!$D$21,0))),IF(Schedule_Inputs!$C$26="Launch",$C26*IF(4-Schedule_Inputs!$B$26=0,Assumptions!$B$22,IF(4-Schedule_Inputs!$B$26=1,Assumptions!$C$22,IF(4-Schedule_Inputs!$B$26=2,Assumptions!$D$22,IF(4-Schedule_Inputs!$B$26=3,Assumptions!$B$23,0)))),IF(Schedule_Inputs!$C$26="Office Setup",$C26*IF(4-Schedule_Inputs!$B$26=0,Assumptions!$B$24,IF(4-Schedule_Inputs!$B$26=1,Assumptions!$C$24,IF(4-Schedule_Inputs!$B$26=2,Assumptions!$D$24,0))),IF(OR(Schedule_Inputs!$C$26="Monthly",Schedule_Inputs!$C$26="Periodic"),IF(AND(4&gt;=Schedule_Inputs!$B$26,MOD(4-Schedule_Inputs!$B$26,Schedule_Inputs!$E$26)=0,(4-Schedule_Inputs!$B$26)/Schedule_Inputs!$E$26&lt;Schedule_Inputs!$D$26),$C26/Schedule_Inputs!$D$26,0),0))))</f>
        <v>0</v>
      </c>
      <c r="I26" s="31">
        <f>IF(Schedule_Inputs!$C$26="Blueprint",$C26*IF(5-Schedule_Inputs!$B$26=0,Assumptions!$B$21,IF(5-Schedule_Inputs!$B$26=1,Assumptions!$C$21,IF(5-Schedule_Inputs!$B$26=2,Assumptions!$D$21,0))),IF(Schedule_Inputs!$C$26="Launch",$C26*IF(5-Schedule_Inputs!$B$26=0,Assumptions!$B$22,IF(5-Schedule_Inputs!$B$26=1,Assumptions!$C$22,IF(5-Schedule_Inputs!$B$26=2,Assumptions!$D$22,IF(5-Schedule_Inputs!$B$26=3,Assumptions!$B$23,0)))),IF(Schedule_Inputs!$C$26="Office Setup",$C26*IF(5-Schedule_Inputs!$B$26=0,Assumptions!$B$24,IF(5-Schedule_Inputs!$B$26=1,Assumptions!$C$24,IF(5-Schedule_Inputs!$B$26=2,Assumptions!$D$24,0))),IF(OR(Schedule_Inputs!$C$26="Monthly",Schedule_Inputs!$C$26="Periodic"),IF(AND(5&gt;=Schedule_Inputs!$B$26,MOD(5-Schedule_Inputs!$B$26,Schedule_Inputs!$E$26)=0,(5-Schedule_Inputs!$B$26)/Schedule_Inputs!$E$26&lt;Schedule_Inputs!$D$26),$C26/Schedule_Inputs!$D$26,0),0))))</f>
        <v>0</v>
      </c>
      <c r="J26" s="31">
        <f>IF(Schedule_Inputs!$C$26="Blueprint",$C26*IF(6-Schedule_Inputs!$B$26=0,Assumptions!$B$21,IF(6-Schedule_Inputs!$B$26=1,Assumptions!$C$21,IF(6-Schedule_Inputs!$B$26=2,Assumptions!$D$21,0))),IF(Schedule_Inputs!$C$26="Launch",$C26*IF(6-Schedule_Inputs!$B$26=0,Assumptions!$B$22,IF(6-Schedule_Inputs!$B$26=1,Assumptions!$C$22,IF(6-Schedule_Inputs!$B$26=2,Assumptions!$D$22,IF(6-Schedule_Inputs!$B$26=3,Assumptions!$B$23,0)))),IF(Schedule_Inputs!$C$26="Office Setup",$C26*IF(6-Schedule_Inputs!$B$26=0,Assumptions!$B$24,IF(6-Schedule_Inputs!$B$26=1,Assumptions!$C$24,IF(6-Schedule_Inputs!$B$26=2,Assumptions!$D$24,0))),IF(OR(Schedule_Inputs!$C$26="Monthly",Schedule_Inputs!$C$26="Periodic"),IF(AND(6&gt;=Schedule_Inputs!$B$26,MOD(6-Schedule_Inputs!$B$26,Schedule_Inputs!$E$26)=0,(6-Schedule_Inputs!$B$26)/Schedule_Inputs!$E$26&lt;Schedule_Inputs!$D$26),$C26/Schedule_Inputs!$D$26,0),0))))</f>
        <v>0</v>
      </c>
      <c r="K26" s="31">
        <f>IF(Schedule_Inputs!$C$26="Blueprint",$C26*IF(7-Schedule_Inputs!$B$26=0,Assumptions!$B$21,IF(7-Schedule_Inputs!$B$26=1,Assumptions!$C$21,IF(7-Schedule_Inputs!$B$26=2,Assumptions!$D$21,0))),IF(Schedule_Inputs!$C$26="Launch",$C26*IF(7-Schedule_Inputs!$B$26=0,Assumptions!$B$22,IF(7-Schedule_Inputs!$B$26=1,Assumptions!$C$22,IF(7-Schedule_Inputs!$B$26=2,Assumptions!$D$22,IF(7-Schedule_Inputs!$B$26=3,Assumptions!$B$23,0)))),IF(Schedule_Inputs!$C$26="Office Setup",$C26*IF(7-Schedule_Inputs!$B$26=0,Assumptions!$B$24,IF(7-Schedule_Inputs!$B$26=1,Assumptions!$C$24,IF(7-Schedule_Inputs!$B$26=2,Assumptions!$D$24,0))),IF(OR(Schedule_Inputs!$C$26="Monthly",Schedule_Inputs!$C$26="Periodic"),IF(AND(7&gt;=Schedule_Inputs!$B$26,MOD(7-Schedule_Inputs!$B$26,Schedule_Inputs!$E$26)=0,(7-Schedule_Inputs!$B$26)/Schedule_Inputs!$E$26&lt;Schedule_Inputs!$D$26),$C26/Schedule_Inputs!$D$26,0),0))))</f>
        <v>0</v>
      </c>
      <c r="L26" s="31">
        <f>IF(Schedule_Inputs!$C$26="Blueprint",$C26*IF(8-Schedule_Inputs!$B$26=0,Assumptions!$B$21,IF(8-Schedule_Inputs!$B$26=1,Assumptions!$C$21,IF(8-Schedule_Inputs!$B$26=2,Assumptions!$D$21,0))),IF(Schedule_Inputs!$C$26="Launch",$C26*IF(8-Schedule_Inputs!$B$26=0,Assumptions!$B$22,IF(8-Schedule_Inputs!$B$26=1,Assumptions!$C$22,IF(8-Schedule_Inputs!$B$26=2,Assumptions!$D$22,IF(8-Schedule_Inputs!$B$26=3,Assumptions!$B$23,0)))),IF(Schedule_Inputs!$C$26="Office Setup",$C26*IF(8-Schedule_Inputs!$B$26=0,Assumptions!$B$24,IF(8-Schedule_Inputs!$B$26=1,Assumptions!$C$24,IF(8-Schedule_Inputs!$B$26=2,Assumptions!$D$24,0))),IF(OR(Schedule_Inputs!$C$26="Monthly",Schedule_Inputs!$C$26="Periodic"),IF(AND(8&gt;=Schedule_Inputs!$B$26,MOD(8-Schedule_Inputs!$B$26,Schedule_Inputs!$E$26)=0,(8-Schedule_Inputs!$B$26)/Schedule_Inputs!$E$26&lt;Schedule_Inputs!$D$26),$C26/Schedule_Inputs!$D$26,0),0))))</f>
        <v>0</v>
      </c>
      <c r="M26" s="31">
        <f>IF(Schedule_Inputs!$C$26="Blueprint",$C26*IF(9-Schedule_Inputs!$B$26=0,Assumptions!$B$21,IF(9-Schedule_Inputs!$B$26=1,Assumptions!$C$21,IF(9-Schedule_Inputs!$B$26=2,Assumptions!$D$21,0))),IF(Schedule_Inputs!$C$26="Launch",$C26*IF(9-Schedule_Inputs!$B$26=0,Assumptions!$B$22,IF(9-Schedule_Inputs!$B$26=1,Assumptions!$C$22,IF(9-Schedule_Inputs!$B$26=2,Assumptions!$D$22,IF(9-Schedule_Inputs!$B$26=3,Assumptions!$B$23,0)))),IF(Schedule_Inputs!$C$26="Office Setup",$C26*IF(9-Schedule_Inputs!$B$26=0,Assumptions!$B$24,IF(9-Schedule_Inputs!$B$26=1,Assumptions!$C$24,IF(9-Schedule_Inputs!$B$26=2,Assumptions!$D$24,0))),IF(OR(Schedule_Inputs!$C$26="Monthly",Schedule_Inputs!$C$26="Periodic"),IF(AND(9&gt;=Schedule_Inputs!$B$26,MOD(9-Schedule_Inputs!$B$26,Schedule_Inputs!$E$26)=0,(9-Schedule_Inputs!$B$26)/Schedule_Inputs!$E$26&lt;Schedule_Inputs!$D$26),$C26/Schedule_Inputs!$D$26,0),0))))</f>
        <v>0</v>
      </c>
      <c r="N26" s="31">
        <f>IF(Schedule_Inputs!$C$26="Blueprint",$C26*IF(10-Schedule_Inputs!$B$26=0,Assumptions!$B$21,IF(10-Schedule_Inputs!$B$26=1,Assumptions!$C$21,IF(10-Schedule_Inputs!$B$26=2,Assumptions!$D$21,0))),IF(Schedule_Inputs!$C$26="Launch",$C26*IF(10-Schedule_Inputs!$B$26=0,Assumptions!$B$22,IF(10-Schedule_Inputs!$B$26=1,Assumptions!$C$22,IF(10-Schedule_Inputs!$B$26=2,Assumptions!$D$22,IF(10-Schedule_Inputs!$B$26=3,Assumptions!$B$23,0)))),IF(Schedule_Inputs!$C$26="Office Setup",$C26*IF(10-Schedule_Inputs!$B$26=0,Assumptions!$B$24,IF(10-Schedule_Inputs!$B$26=1,Assumptions!$C$24,IF(10-Schedule_Inputs!$B$26=2,Assumptions!$D$24,0))),IF(OR(Schedule_Inputs!$C$26="Monthly",Schedule_Inputs!$C$26="Periodic"),IF(AND(10&gt;=Schedule_Inputs!$B$26,MOD(10-Schedule_Inputs!$B$26,Schedule_Inputs!$E$26)=0,(10-Schedule_Inputs!$B$26)/Schedule_Inputs!$E$26&lt;Schedule_Inputs!$D$26),$C26/Schedule_Inputs!$D$26,0),0))))</f>
        <v>0</v>
      </c>
      <c r="O26" s="31">
        <f>IF(Schedule_Inputs!$C$26="Blueprint",$C26*IF(11-Schedule_Inputs!$B$26=0,Assumptions!$B$21,IF(11-Schedule_Inputs!$B$26=1,Assumptions!$C$21,IF(11-Schedule_Inputs!$B$26=2,Assumptions!$D$21,0))),IF(Schedule_Inputs!$C$26="Launch",$C26*IF(11-Schedule_Inputs!$B$26=0,Assumptions!$B$22,IF(11-Schedule_Inputs!$B$26=1,Assumptions!$C$22,IF(11-Schedule_Inputs!$B$26=2,Assumptions!$D$22,IF(11-Schedule_Inputs!$B$26=3,Assumptions!$B$23,0)))),IF(Schedule_Inputs!$C$26="Office Setup",$C26*IF(11-Schedule_Inputs!$B$26=0,Assumptions!$B$24,IF(11-Schedule_Inputs!$B$26=1,Assumptions!$C$24,IF(11-Schedule_Inputs!$B$26=2,Assumptions!$D$24,0))),IF(OR(Schedule_Inputs!$C$26="Monthly",Schedule_Inputs!$C$26="Periodic"),IF(AND(11&gt;=Schedule_Inputs!$B$26,MOD(11-Schedule_Inputs!$B$26,Schedule_Inputs!$E$26)=0,(11-Schedule_Inputs!$B$26)/Schedule_Inputs!$E$26&lt;Schedule_Inputs!$D$26),$C26/Schedule_Inputs!$D$26,0),0))))</f>
        <v>0</v>
      </c>
      <c r="P26" s="31">
        <f>IF(Schedule_Inputs!$C$26="Blueprint",$C26*IF(12-Schedule_Inputs!$B$26=0,Assumptions!$B$21,IF(12-Schedule_Inputs!$B$26=1,Assumptions!$C$21,IF(12-Schedule_Inputs!$B$26=2,Assumptions!$D$21,0))),IF(Schedule_Inputs!$C$26="Launch",$C26*IF(12-Schedule_Inputs!$B$26=0,Assumptions!$B$22,IF(12-Schedule_Inputs!$B$26=1,Assumptions!$C$22,IF(12-Schedule_Inputs!$B$26=2,Assumptions!$D$22,IF(12-Schedule_Inputs!$B$26=3,Assumptions!$B$23,0)))),IF(Schedule_Inputs!$C$26="Office Setup",$C26*IF(12-Schedule_Inputs!$B$26=0,Assumptions!$B$24,IF(12-Schedule_Inputs!$B$26=1,Assumptions!$C$24,IF(12-Schedule_Inputs!$B$26=2,Assumptions!$D$24,0))),IF(OR(Schedule_Inputs!$C$26="Monthly",Schedule_Inputs!$C$26="Periodic"),IF(AND(12&gt;=Schedule_Inputs!$B$26,MOD(12-Schedule_Inputs!$B$26,Schedule_Inputs!$E$26)=0,(12-Schedule_Inputs!$B$26)/Schedule_Inputs!$E$26&lt;Schedule_Inputs!$D$26),$C26/Schedule_Inputs!$D$26,0),0))))</f>
        <v>0</v>
      </c>
      <c r="Q26" s="31">
        <f>IF(Schedule_Inputs!$C$26="Blueprint",$C26*IF(13-Schedule_Inputs!$B$26=0,Assumptions!$B$21,IF(13-Schedule_Inputs!$B$26=1,Assumptions!$C$21,IF(13-Schedule_Inputs!$B$26=2,Assumptions!$D$21,0))),IF(Schedule_Inputs!$C$26="Launch",$C26*IF(13-Schedule_Inputs!$B$26=0,Assumptions!$B$22,IF(13-Schedule_Inputs!$B$26=1,Assumptions!$C$22,IF(13-Schedule_Inputs!$B$26=2,Assumptions!$D$22,IF(13-Schedule_Inputs!$B$26=3,Assumptions!$B$23,0)))),IF(Schedule_Inputs!$C$26="Office Setup",$C26*IF(13-Schedule_Inputs!$B$26=0,Assumptions!$B$24,IF(13-Schedule_Inputs!$B$26=1,Assumptions!$C$24,IF(13-Schedule_Inputs!$B$26=2,Assumptions!$D$24,0))),IF(OR(Schedule_Inputs!$C$26="Monthly",Schedule_Inputs!$C$26="Periodic"),IF(AND(13&gt;=Schedule_Inputs!$B$26,MOD(13-Schedule_Inputs!$B$26,Schedule_Inputs!$E$26)=0,(13-Schedule_Inputs!$B$26)/Schedule_Inputs!$E$26&lt;Schedule_Inputs!$D$26),$C26/Schedule_Inputs!$D$26,0),0))))</f>
        <v>0</v>
      </c>
      <c r="R26" s="31">
        <f>IF(Schedule_Inputs!$C$26="Blueprint",$C26*IF(14-Schedule_Inputs!$B$26=0,Assumptions!$B$21,IF(14-Schedule_Inputs!$B$26=1,Assumptions!$C$21,IF(14-Schedule_Inputs!$B$26=2,Assumptions!$D$21,0))),IF(Schedule_Inputs!$C$26="Launch",$C26*IF(14-Schedule_Inputs!$B$26=0,Assumptions!$B$22,IF(14-Schedule_Inputs!$B$26=1,Assumptions!$C$22,IF(14-Schedule_Inputs!$B$26=2,Assumptions!$D$22,IF(14-Schedule_Inputs!$B$26=3,Assumptions!$B$23,0)))),IF(Schedule_Inputs!$C$26="Office Setup",$C26*IF(14-Schedule_Inputs!$B$26=0,Assumptions!$B$24,IF(14-Schedule_Inputs!$B$26=1,Assumptions!$C$24,IF(14-Schedule_Inputs!$B$26=2,Assumptions!$D$24,0))),IF(OR(Schedule_Inputs!$C$26="Monthly",Schedule_Inputs!$C$26="Periodic"),IF(AND(14&gt;=Schedule_Inputs!$B$26,MOD(14-Schedule_Inputs!$B$26,Schedule_Inputs!$E$26)=0,(14-Schedule_Inputs!$B$26)/Schedule_Inputs!$E$26&lt;Schedule_Inputs!$D$26),$C26/Schedule_Inputs!$D$26,0),0))))</f>
        <v>0</v>
      </c>
      <c r="S26" s="31">
        <f>IF(Schedule_Inputs!$C$26="Blueprint",$C26*IF(15-Schedule_Inputs!$B$26=0,Assumptions!$B$21,IF(15-Schedule_Inputs!$B$26=1,Assumptions!$C$21,IF(15-Schedule_Inputs!$B$26=2,Assumptions!$D$21,0))),IF(Schedule_Inputs!$C$26="Launch",$C26*IF(15-Schedule_Inputs!$B$26=0,Assumptions!$B$22,IF(15-Schedule_Inputs!$B$26=1,Assumptions!$C$22,IF(15-Schedule_Inputs!$B$26=2,Assumptions!$D$22,IF(15-Schedule_Inputs!$B$26=3,Assumptions!$B$23,0)))),IF(Schedule_Inputs!$C$26="Office Setup",$C26*IF(15-Schedule_Inputs!$B$26=0,Assumptions!$B$24,IF(15-Schedule_Inputs!$B$26=1,Assumptions!$C$24,IF(15-Schedule_Inputs!$B$26=2,Assumptions!$D$24,0))),IF(OR(Schedule_Inputs!$C$26="Monthly",Schedule_Inputs!$C$26="Periodic"),IF(AND(15&gt;=Schedule_Inputs!$B$26,MOD(15-Schedule_Inputs!$B$26,Schedule_Inputs!$E$26)=0,(15-Schedule_Inputs!$B$26)/Schedule_Inputs!$E$26&lt;Schedule_Inputs!$D$26),$C26/Schedule_Inputs!$D$26,0),0))))</f>
        <v>0</v>
      </c>
      <c r="T26" s="31">
        <f>IF(Schedule_Inputs!$C$26="Blueprint",$C26*IF(16-Schedule_Inputs!$B$26=0,Assumptions!$B$21,IF(16-Schedule_Inputs!$B$26=1,Assumptions!$C$21,IF(16-Schedule_Inputs!$B$26=2,Assumptions!$D$21,0))),IF(Schedule_Inputs!$C$26="Launch",$C26*IF(16-Schedule_Inputs!$B$26=0,Assumptions!$B$22,IF(16-Schedule_Inputs!$B$26=1,Assumptions!$C$22,IF(16-Schedule_Inputs!$B$26=2,Assumptions!$D$22,IF(16-Schedule_Inputs!$B$26=3,Assumptions!$B$23,0)))),IF(Schedule_Inputs!$C$26="Office Setup",$C26*IF(16-Schedule_Inputs!$B$26=0,Assumptions!$B$24,IF(16-Schedule_Inputs!$B$26=1,Assumptions!$C$24,IF(16-Schedule_Inputs!$B$26=2,Assumptions!$D$24,0))),IF(OR(Schedule_Inputs!$C$26="Monthly",Schedule_Inputs!$C$26="Periodic"),IF(AND(16&gt;=Schedule_Inputs!$B$26,MOD(16-Schedule_Inputs!$B$26,Schedule_Inputs!$E$26)=0,(16-Schedule_Inputs!$B$26)/Schedule_Inputs!$E$26&lt;Schedule_Inputs!$D$26),$C26/Schedule_Inputs!$D$26,0),0))))</f>
        <v>0</v>
      </c>
      <c r="U26" s="31">
        <f>IF(Schedule_Inputs!$C$26="Blueprint",$C26*IF(17-Schedule_Inputs!$B$26=0,Assumptions!$B$21,IF(17-Schedule_Inputs!$B$26=1,Assumptions!$C$21,IF(17-Schedule_Inputs!$B$26=2,Assumptions!$D$21,0))),IF(Schedule_Inputs!$C$26="Launch",$C26*IF(17-Schedule_Inputs!$B$26=0,Assumptions!$B$22,IF(17-Schedule_Inputs!$B$26=1,Assumptions!$C$22,IF(17-Schedule_Inputs!$B$26=2,Assumptions!$D$22,IF(17-Schedule_Inputs!$B$26=3,Assumptions!$B$23,0)))),IF(Schedule_Inputs!$C$26="Office Setup",$C26*IF(17-Schedule_Inputs!$B$26=0,Assumptions!$B$24,IF(17-Schedule_Inputs!$B$26=1,Assumptions!$C$24,IF(17-Schedule_Inputs!$B$26=2,Assumptions!$D$24,0))),IF(OR(Schedule_Inputs!$C$26="Monthly",Schedule_Inputs!$C$26="Periodic"),IF(AND(17&gt;=Schedule_Inputs!$B$26,MOD(17-Schedule_Inputs!$B$26,Schedule_Inputs!$E$26)=0,(17-Schedule_Inputs!$B$26)/Schedule_Inputs!$E$26&lt;Schedule_Inputs!$D$26),$C26/Schedule_Inputs!$D$26,0),0))))</f>
        <v>0</v>
      </c>
      <c r="V26" s="31">
        <f>IF(Schedule_Inputs!$C$26="Blueprint",$C26*IF(18-Schedule_Inputs!$B$26=0,Assumptions!$B$21,IF(18-Schedule_Inputs!$B$26=1,Assumptions!$C$21,IF(18-Schedule_Inputs!$B$26=2,Assumptions!$D$21,0))),IF(Schedule_Inputs!$C$26="Launch",$C26*IF(18-Schedule_Inputs!$B$26=0,Assumptions!$B$22,IF(18-Schedule_Inputs!$B$26=1,Assumptions!$C$22,IF(18-Schedule_Inputs!$B$26=2,Assumptions!$D$22,IF(18-Schedule_Inputs!$B$26=3,Assumptions!$B$23,0)))),IF(Schedule_Inputs!$C$26="Office Setup",$C26*IF(18-Schedule_Inputs!$B$26=0,Assumptions!$B$24,IF(18-Schedule_Inputs!$B$26=1,Assumptions!$C$24,IF(18-Schedule_Inputs!$B$26=2,Assumptions!$D$24,0))),IF(OR(Schedule_Inputs!$C$26="Monthly",Schedule_Inputs!$C$26="Periodic"),IF(AND(18&gt;=Schedule_Inputs!$B$26,MOD(18-Schedule_Inputs!$B$26,Schedule_Inputs!$E$26)=0,(18-Schedule_Inputs!$B$26)/Schedule_Inputs!$E$26&lt;Schedule_Inputs!$D$26),$C26/Schedule_Inputs!$D$26,0),0))))</f>
        <v>0</v>
      </c>
      <c r="W26" s="31">
        <f>IF(Schedule_Inputs!$C$26="Blueprint",$C26*IF(19-Schedule_Inputs!$B$26=0,Assumptions!$B$21,IF(19-Schedule_Inputs!$B$26=1,Assumptions!$C$21,IF(19-Schedule_Inputs!$B$26=2,Assumptions!$D$21,0))),IF(Schedule_Inputs!$C$26="Launch",$C26*IF(19-Schedule_Inputs!$B$26=0,Assumptions!$B$22,IF(19-Schedule_Inputs!$B$26=1,Assumptions!$C$22,IF(19-Schedule_Inputs!$B$26=2,Assumptions!$D$22,IF(19-Schedule_Inputs!$B$26=3,Assumptions!$B$23,0)))),IF(Schedule_Inputs!$C$26="Office Setup",$C26*IF(19-Schedule_Inputs!$B$26=0,Assumptions!$B$24,IF(19-Schedule_Inputs!$B$26=1,Assumptions!$C$24,IF(19-Schedule_Inputs!$B$26=2,Assumptions!$D$24,0))),IF(OR(Schedule_Inputs!$C$26="Monthly",Schedule_Inputs!$C$26="Periodic"),IF(AND(19&gt;=Schedule_Inputs!$B$26,MOD(19-Schedule_Inputs!$B$26,Schedule_Inputs!$E$26)=0,(19-Schedule_Inputs!$B$26)/Schedule_Inputs!$E$26&lt;Schedule_Inputs!$D$26),$C26/Schedule_Inputs!$D$26,0),0))))</f>
        <v>0</v>
      </c>
      <c r="X26" s="31">
        <f>IF(Schedule_Inputs!$C$26="Blueprint",$C26*IF(20-Schedule_Inputs!$B$26=0,Assumptions!$B$21,IF(20-Schedule_Inputs!$B$26=1,Assumptions!$C$21,IF(20-Schedule_Inputs!$B$26=2,Assumptions!$D$21,0))),IF(Schedule_Inputs!$C$26="Launch",$C26*IF(20-Schedule_Inputs!$B$26=0,Assumptions!$B$22,IF(20-Schedule_Inputs!$B$26=1,Assumptions!$C$22,IF(20-Schedule_Inputs!$B$26=2,Assumptions!$D$22,IF(20-Schedule_Inputs!$B$26=3,Assumptions!$B$23,0)))),IF(Schedule_Inputs!$C$26="Office Setup",$C26*IF(20-Schedule_Inputs!$B$26=0,Assumptions!$B$24,IF(20-Schedule_Inputs!$B$26=1,Assumptions!$C$24,IF(20-Schedule_Inputs!$B$26=2,Assumptions!$D$24,0))),IF(OR(Schedule_Inputs!$C$26="Monthly",Schedule_Inputs!$C$26="Periodic"),IF(AND(20&gt;=Schedule_Inputs!$B$26,MOD(20-Schedule_Inputs!$B$26,Schedule_Inputs!$E$26)=0,(20-Schedule_Inputs!$B$26)/Schedule_Inputs!$E$26&lt;Schedule_Inputs!$D$26),$C26/Schedule_Inputs!$D$26,0),0))))</f>
        <v>0</v>
      </c>
      <c r="Y26" s="31">
        <f>IF(Schedule_Inputs!$C$26="Blueprint",$C26*IF(21-Schedule_Inputs!$B$26=0,Assumptions!$B$21,IF(21-Schedule_Inputs!$B$26=1,Assumptions!$C$21,IF(21-Schedule_Inputs!$B$26=2,Assumptions!$D$21,0))),IF(Schedule_Inputs!$C$26="Launch",$C26*IF(21-Schedule_Inputs!$B$26=0,Assumptions!$B$22,IF(21-Schedule_Inputs!$B$26=1,Assumptions!$C$22,IF(21-Schedule_Inputs!$B$26=2,Assumptions!$D$22,IF(21-Schedule_Inputs!$B$26=3,Assumptions!$B$23,0)))),IF(Schedule_Inputs!$C$26="Office Setup",$C26*IF(21-Schedule_Inputs!$B$26=0,Assumptions!$B$24,IF(21-Schedule_Inputs!$B$26=1,Assumptions!$C$24,IF(21-Schedule_Inputs!$B$26=2,Assumptions!$D$24,0))),IF(OR(Schedule_Inputs!$C$26="Monthly",Schedule_Inputs!$C$26="Periodic"),IF(AND(21&gt;=Schedule_Inputs!$B$26,MOD(21-Schedule_Inputs!$B$26,Schedule_Inputs!$E$26)=0,(21-Schedule_Inputs!$B$26)/Schedule_Inputs!$E$26&lt;Schedule_Inputs!$D$26),$C26/Schedule_Inputs!$D$26,0),0))))</f>
        <v>0</v>
      </c>
      <c r="Z26" s="31">
        <f>IF(Schedule_Inputs!$C$26="Blueprint",$C26*IF(22-Schedule_Inputs!$B$26=0,Assumptions!$B$21,IF(22-Schedule_Inputs!$B$26=1,Assumptions!$C$21,IF(22-Schedule_Inputs!$B$26=2,Assumptions!$D$21,0))),IF(Schedule_Inputs!$C$26="Launch",$C26*IF(22-Schedule_Inputs!$B$26=0,Assumptions!$B$22,IF(22-Schedule_Inputs!$B$26=1,Assumptions!$C$22,IF(22-Schedule_Inputs!$B$26=2,Assumptions!$D$22,IF(22-Schedule_Inputs!$B$26=3,Assumptions!$B$23,0)))),IF(Schedule_Inputs!$C$26="Office Setup",$C26*IF(22-Schedule_Inputs!$B$26=0,Assumptions!$B$24,IF(22-Schedule_Inputs!$B$26=1,Assumptions!$C$24,IF(22-Schedule_Inputs!$B$26=2,Assumptions!$D$24,0))),IF(OR(Schedule_Inputs!$C$26="Monthly",Schedule_Inputs!$C$26="Periodic"),IF(AND(22&gt;=Schedule_Inputs!$B$26,MOD(22-Schedule_Inputs!$B$26,Schedule_Inputs!$E$26)=0,(22-Schedule_Inputs!$B$26)/Schedule_Inputs!$E$26&lt;Schedule_Inputs!$D$26),$C26/Schedule_Inputs!$D$26,0),0))))</f>
        <v>0</v>
      </c>
      <c r="AA26" s="31">
        <f>IF(Schedule_Inputs!$C$26="Blueprint",$C26*IF(23-Schedule_Inputs!$B$26=0,Assumptions!$B$21,IF(23-Schedule_Inputs!$B$26=1,Assumptions!$C$21,IF(23-Schedule_Inputs!$B$26=2,Assumptions!$D$21,0))),IF(Schedule_Inputs!$C$26="Launch",$C26*IF(23-Schedule_Inputs!$B$26=0,Assumptions!$B$22,IF(23-Schedule_Inputs!$B$26=1,Assumptions!$C$22,IF(23-Schedule_Inputs!$B$26=2,Assumptions!$D$22,IF(23-Schedule_Inputs!$B$26=3,Assumptions!$B$23,0)))),IF(Schedule_Inputs!$C$26="Office Setup",$C26*IF(23-Schedule_Inputs!$B$26=0,Assumptions!$B$24,IF(23-Schedule_Inputs!$B$26=1,Assumptions!$C$24,IF(23-Schedule_Inputs!$B$26=2,Assumptions!$D$24,0))),IF(OR(Schedule_Inputs!$C$26="Monthly",Schedule_Inputs!$C$26="Periodic"),IF(AND(23&gt;=Schedule_Inputs!$B$26,MOD(23-Schedule_Inputs!$B$26,Schedule_Inputs!$E$26)=0,(23-Schedule_Inputs!$B$26)/Schedule_Inputs!$E$26&lt;Schedule_Inputs!$D$26),$C26/Schedule_Inputs!$D$26,0),0))))</f>
        <v>0</v>
      </c>
      <c r="AB26" s="31">
        <f>IF(Schedule_Inputs!$C$26="Blueprint",$C26*IF(24-Schedule_Inputs!$B$26=0,Assumptions!$B$21,IF(24-Schedule_Inputs!$B$26=1,Assumptions!$C$21,IF(24-Schedule_Inputs!$B$26=2,Assumptions!$D$21,0))),IF(Schedule_Inputs!$C$26="Launch",$C26*IF(24-Schedule_Inputs!$B$26=0,Assumptions!$B$22,IF(24-Schedule_Inputs!$B$26=1,Assumptions!$C$22,IF(24-Schedule_Inputs!$B$26=2,Assumptions!$D$22,IF(24-Schedule_Inputs!$B$26=3,Assumptions!$B$23,0)))),IF(Schedule_Inputs!$C$26="Office Setup",$C26*IF(24-Schedule_Inputs!$B$26=0,Assumptions!$B$24,IF(24-Schedule_Inputs!$B$26=1,Assumptions!$C$24,IF(24-Schedule_Inputs!$B$26=2,Assumptions!$D$24,0))),IF(OR(Schedule_Inputs!$C$26="Monthly",Schedule_Inputs!$C$26="Periodic"),IF(AND(24&gt;=Schedule_Inputs!$B$26,MOD(24-Schedule_Inputs!$B$26,Schedule_Inputs!$E$26)=0,(24-Schedule_Inputs!$B$26)/Schedule_Inputs!$E$26&lt;Schedule_Inputs!$D$26),$C26/Schedule_Inputs!$D$26,0),0))))</f>
        <v>0</v>
      </c>
      <c r="AC26" s="31">
        <f>IF(Schedule_Inputs!$C$26="Blueprint",$C26*IF(25-Schedule_Inputs!$B$26=0,Assumptions!$B$21,IF(25-Schedule_Inputs!$B$26=1,Assumptions!$C$21,IF(25-Schedule_Inputs!$B$26=2,Assumptions!$D$21,0))),IF(Schedule_Inputs!$C$26="Launch",$C26*IF(25-Schedule_Inputs!$B$26=0,Assumptions!$B$22,IF(25-Schedule_Inputs!$B$26=1,Assumptions!$C$22,IF(25-Schedule_Inputs!$B$26=2,Assumptions!$D$22,IF(25-Schedule_Inputs!$B$26=3,Assumptions!$B$23,0)))),IF(Schedule_Inputs!$C$26="Office Setup",$C26*IF(25-Schedule_Inputs!$B$26=0,Assumptions!$B$24,IF(25-Schedule_Inputs!$B$26=1,Assumptions!$C$24,IF(25-Schedule_Inputs!$B$26=2,Assumptions!$D$24,0))),IF(OR(Schedule_Inputs!$C$26="Monthly",Schedule_Inputs!$C$26="Periodic"),IF(AND(25&gt;=Schedule_Inputs!$B$26,MOD(25-Schedule_Inputs!$B$26,Schedule_Inputs!$E$26)=0,(25-Schedule_Inputs!$B$26)/Schedule_Inputs!$E$26&lt;Schedule_Inputs!$D$26),$C26/Schedule_Inputs!$D$26,0),0))))</f>
        <v>12000</v>
      </c>
      <c r="AD26" s="31">
        <f>IF(Schedule_Inputs!$C$26="Blueprint",$C26*IF(26-Schedule_Inputs!$B$26=0,Assumptions!$B$21,IF(26-Schedule_Inputs!$B$26=1,Assumptions!$C$21,IF(26-Schedule_Inputs!$B$26=2,Assumptions!$D$21,0))),IF(Schedule_Inputs!$C$26="Launch",$C26*IF(26-Schedule_Inputs!$B$26=0,Assumptions!$B$22,IF(26-Schedule_Inputs!$B$26=1,Assumptions!$C$22,IF(26-Schedule_Inputs!$B$26=2,Assumptions!$D$22,IF(26-Schedule_Inputs!$B$26=3,Assumptions!$B$23,0)))),IF(Schedule_Inputs!$C$26="Office Setup",$C26*IF(26-Schedule_Inputs!$B$26=0,Assumptions!$B$24,IF(26-Schedule_Inputs!$B$26=1,Assumptions!$C$24,IF(26-Schedule_Inputs!$B$26=2,Assumptions!$D$24,0))),IF(OR(Schedule_Inputs!$C$26="Monthly",Schedule_Inputs!$C$26="Periodic"),IF(AND(26&gt;=Schedule_Inputs!$B$26,MOD(26-Schedule_Inputs!$B$26,Schedule_Inputs!$E$26)=0,(26-Schedule_Inputs!$B$26)/Schedule_Inputs!$E$26&lt;Schedule_Inputs!$D$26),$C26/Schedule_Inputs!$D$26,0),0))))</f>
        <v>12000</v>
      </c>
      <c r="AE26" s="31">
        <f>IF(Schedule_Inputs!$C$26="Blueprint",$C26*IF(27-Schedule_Inputs!$B$26=0,Assumptions!$B$21,IF(27-Schedule_Inputs!$B$26=1,Assumptions!$C$21,IF(27-Schedule_Inputs!$B$26=2,Assumptions!$D$21,0))),IF(Schedule_Inputs!$C$26="Launch",$C26*IF(27-Schedule_Inputs!$B$26=0,Assumptions!$B$22,IF(27-Schedule_Inputs!$B$26=1,Assumptions!$C$22,IF(27-Schedule_Inputs!$B$26=2,Assumptions!$D$22,IF(27-Schedule_Inputs!$B$26=3,Assumptions!$B$23,0)))),IF(Schedule_Inputs!$C$26="Office Setup",$C26*IF(27-Schedule_Inputs!$B$26=0,Assumptions!$B$24,IF(27-Schedule_Inputs!$B$26=1,Assumptions!$C$24,IF(27-Schedule_Inputs!$B$26=2,Assumptions!$D$24,0))),IF(OR(Schedule_Inputs!$C$26="Monthly",Schedule_Inputs!$C$26="Periodic"),IF(AND(27&gt;=Schedule_Inputs!$B$26,MOD(27-Schedule_Inputs!$B$26,Schedule_Inputs!$E$26)=0,(27-Schedule_Inputs!$B$26)/Schedule_Inputs!$E$26&lt;Schedule_Inputs!$D$26),$C26/Schedule_Inputs!$D$26,0),0))))</f>
        <v>12000</v>
      </c>
      <c r="AF26" s="31">
        <f>IF(Schedule_Inputs!$C$26="Blueprint",$C26*IF(28-Schedule_Inputs!$B$26=0,Assumptions!$B$21,IF(28-Schedule_Inputs!$B$26=1,Assumptions!$C$21,IF(28-Schedule_Inputs!$B$26=2,Assumptions!$D$21,0))),IF(Schedule_Inputs!$C$26="Launch",$C26*IF(28-Schedule_Inputs!$B$26=0,Assumptions!$B$22,IF(28-Schedule_Inputs!$B$26=1,Assumptions!$C$22,IF(28-Schedule_Inputs!$B$26=2,Assumptions!$D$22,IF(28-Schedule_Inputs!$B$26=3,Assumptions!$B$23,0)))),IF(Schedule_Inputs!$C$26="Office Setup",$C26*IF(28-Schedule_Inputs!$B$26=0,Assumptions!$B$24,IF(28-Schedule_Inputs!$B$26=1,Assumptions!$C$24,IF(28-Schedule_Inputs!$B$26=2,Assumptions!$D$24,0))),IF(OR(Schedule_Inputs!$C$26="Monthly",Schedule_Inputs!$C$26="Periodic"),IF(AND(28&gt;=Schedule_Inputs!$B$26,MOD(28-Schedule_Inputs!$B$26,Schedule_Inputs!$E$26)=0,(28-Schedule_Inputs!$B$26)/Schedule_Inputs!$E$26&lt;Schedule_Inputs!$D$26),$C26/Schedule_Inputs!$D$26,0),0))))</f>
        <v>12000</v>
      </c>
      <c r="AG26" s="31">
        <f>IF(Schedule_Inputs!$C$26="Blueprint",$C26*IF(29-Schedule_Inputs!$B$26=0,Assumptions!$B$21,IF(29-Schedule_Inputs!$B$26=1,Assumptions!$C$21,IF(29-Schedule_Inputs!$B$26=2,Assumptions!$D$21,0))),IF(Schedule_Inputs!$C$26="Launch",$C26*IF(29-Schedule_Inputs!$B$26=0,Assumptions!$B$22,IF(29-Schedule_Inputs!$B$26=1,Assumptions!$C$22,IF(29-Schedule_Inputs!$B$26=2,Assumptions!$D$22,IF(29-Schedule_Inputs!$B$26=3,Assumptions!$B$23,0)))),IF(Schedule_Inputs!$C$26="Office Setup",$C26*IF(29-Schedule_Inputs!$B$26=0,Assumptions!$B$24,IF(29-Schedule_Inputs!$B$26=1,Assumptions!$C$24,IF(29-Schedule_Inputs!$B$26=2,Assumptions!$D$24,0))),IF(OR(Schedule_Inputs!$C$26="Monthly",Schedule_Inputs!$C$26="Periodic"),IF(AND(29&gt;=Schedule_Inputs!$B$26,MOD(29-Schedule_Inputs!$B$26,Schedule_Inputs!$E$26)=0,(29-Schedule_Inputs!$B$26)/Schedule_Inputs!$E$26&lt;Schedule_Inputs!$D$26),$C26/Schedule_Inputs!$D$26,0),0))))</f>
        <v>12000</v>
      </c>
      <c r="AH26" s="31">
        <f>IF(Schedule_Inputs!$C$26="Blueprint",$C26*IF(30-Schedule_Inputs!$B$26=0,Assumptions!$B$21,IF(30-Schedule_Inputs!$B$26=1,Assumptions!$C$21,IF(30-Schedule_Inputs!$B$26=2,Assumptions!$D$21,0))),IF(Schedule_Inputs!$C$26="Launch",$C26*IF(30-Schedule_Inputs!$B$26=0,Assumptions!$B$22,IF(30-Schedule_Inputs!$B$26=1,Assumptions!$C$22,IF(30-Schedule_Inputs!$B$26=2,Assumptions!$D$22,IF(30-Schedule_Inputs!$B$26=3,Assumptions!$B$23,0)))),IF(Schedule_Inputs!$C$26="Office Setup",$C26*IF(30-Schedule_Inputs!$B$26=0,Assumptions!$B$24,IF(30-Schedule_Inputs!$B$26=1,Assumptions!$C$24,IF(30-Schedule_Inputs!$B$26=2,Assumptions!$D$24,0))),IF(OR(Schedule_Inputs!$C$26="Monthly",Schedule_Inputs!$C$26="Periodic"),IF(AND(30&gt;=Schedule_Inputs!$B$26,MOD(30-Schedule_Inputs!$B$26,Schedule_Inputs!$E$26)=0,(30-Schedule_Inputs!$B$26)/Schedule_Inputs!$E$26&lt;Schedule_Inputs!$D$26),$C26/Schedule_Inputs!$D$26,0),0))))</f>
        <v>12000</v>
      </c>
      <c r="AI26" s="31">
        <f>IF(Schedule_Inputs!$C$26="Blueprint",$C26*IF(31-Schedule_Inputs!$B$26=0,Assumptions!$B$21,IF(31-Schedule_Inputs!$B$26=1,Assumptions!$C$21,IF(31-Schedule_Inputs!$B$26=2,Assumptions!$D$21,0))),IF(Schedule_Inputs!$C$26="Launch",$C26*IF(31-Schedule_Inputs!$B$26=0,Assumptions!$B$22,IF(31-Schedule_Inputs!$B$26=1,Assumptions!$C$22,IF(31-Schedule_Inputs!$B$26=2,Assumptions!$D$22,IF(31-Schedule_Inputs!$B$26=3,Assumptions!$B$23,0)))),IF(Schedule_Inputs!$C$26="Office Setup",$C26*IF(31-Schedule_Inputs!$B$26=0,Assumptions!$B$24,IF(31-Schedule_Inputs!$B$26=1,Assumptions!$C$24,IF(31-Schedule_Inputs!$B$26=2,Assumptions!$D$24,0))),IF(OR(Schedule_Inputs!$C$26="Monthly",Schedule_Inputs!$C$26="Periodic"),IF(AND(31&gt;=Schedule_Inputs!$B$26,MOD(31-Schedule_Inputs!$B$26,Schedule_Inputs!$E$26)=0,(31-Schedule_Inputs!$B$26)/Schedule_Inputs!$E$26&lt;Schedule_Inputs!$D$26),$C26/Schedule_Inputs!$D$26,0),0))))</f>
        <v>12000</v>
      </c>
      <c r="AJ26" s="31">
        <f>IF(Schedule_Inputs!$C$26="Blueprint",$C26*IF(32-Schedule_Inputs!$B$26=0,Assumptions!$B$21,IF(32-Schedule_Inputs!$B$26=1,Assumptions!$C$21,IF(32-Schedule_Inputs!$B$26=2,Assumptions!$D$21,0))),IF(Schedule_Inputs!$C$26="Launch",$C26*IF(32-Schedule_Inputs!$B$26=0,Assumptions!$B$22,IF(32-Schedule_Inputs!$B$26=1,Assumptions!$C$22,IF(32-Schedule_Inputs!$B$26=2,Assumptions!$D$22,IF(32-Schedule_Inputs!$B$26=3,Assumptions!$B$23,0)))),IF(Schedule_Inputs!$C$26="Office Setup",$C26*IF(32-Schedule_Inputs!$B$26=0,Assumptions!$B$24,IF(32-Schedule_Inputs!$B$26=1,Assumptions!$C$24,IF(32-Schedule_Inputs!$B$26=2,Assumptions!$D$24,0))),IF(OR(Schedule_Inputs!$C$26="Monthly",Schedule_Inputs!$C$26="Periodic"),IF(AND(32&gt;=Schedule_Inputs!$B$26,MOD(32-Schedule_Inputs!$B$26,Schedule_Inputs!$E$26)=0,(32-Schedule_Inputs!$B$26)/Schedule_Inputs!$E$26&lt;Schedule_Inputs!$D$26),$C26/Schedule_Inputs!$D$26,0),0))))</f>
        <v>12000</v>
      </c>
      <c r="AK26" s="31">
        <f>IF(Schedule_Inputs!$C$26="Blueprint",$C26*IF(33-Schedule_Inputs!$B$26=0,Assumptions!$B$21,IF(33-Schedule_Inputs!$B$26=1,Assumptions!$C$21,IF(33-Schedule_Inputs!$B$26=2,Assumptions!$D$21,0))),IF(Schedule_Inputs!$C$26="Launch",$C26*IF(33-Schedule_Inputs!$B$26=0,Assumptions!$B$22,IF(33-Schedule_Inputs!$B$26=1,Assumptions!$C$22,IF(33-Schedule_Inputs!$B$26=2,Assumptions!$D$22,IF(33-Schedule_Inputs!$B$26=3,Assumptions!$B$23,0)))),IF(Schedule_Inputs!$C$26="Office Setup",$C26*IF(33-Schedule_Inputs!$B$26=0,Assumptions!$B$24,IF(33-Schedule_Inputs!$B$26=1,Assumptions!$C$24,IF(33-Schedule_Inputs!$B$26=2,Assumptions!$D$24,0))),IF(OR(Schedule_Inputs!$C$26="Monthly",Schedule_Inputs!$C$26="Periodic"),IF(AND(33&gt;=Schedule_Inputs!$B$26,MOD(33-Schedule_Inputs!$B$26,Schedule_Inputs!$E$26)=0,(33-Schedule_Inputs!$B$26)/Schedule_Inputs!$E$26&lt;Schedule_Inputs!$D$26),$C26/Schedule_Inputs!$D$26,0),0))))</f>
        <v>12000</v>
      </c>
      <c r="AL26" s="31">
        <f>IF(Schedule_Inputs!$C$26="Blueprint",$C26*IF(34-Schedule_Inputs!$B$26=0,Assumptions!$B$21,IF(34-Schedule_Inputs!$B$26=1,Assumptions!$C$21,IF(34-Schedule_Inputs!$B$26=2,Assumptions!$D$21,0))),IF(Schedule_Inputs!$C$26="Launch",$C26*IF(34-Schedule_Inputs!$B$26=0,Assumptions!$B$22,IF(34-Schedule_Inputs!$B$26=1,Assumptions!$C$22,IF(34-Schedule_Inputs!$B$26=2,Assumptions!$D$22,IF(34-Schedule_Inputs!$B$26=3,Assumptions!$B$23,0)))),IF(Schedule_Inputs!$C$26="Office Setup",$C26*IF(34-Schedule_Inputs!$B$26=0,Assumptions!$B$24,IF(34-Schedule_Inputs!$B$26=1,Assumptions!$C$24,IF(34-Schedule_Inputs!$B$26=2,Assumptions!$D$24,0))),IF(OR(Schedule_Inputs!$C$26="Monthly",Schedule_Inputs!$C$26="Periodic"),IF(AND(34&gt;=Schedule_Inputs!$B$26,MOD(34-Schedule_Inputs!$B$26,Schedule_Inputs!$E$26)=0,(34-Schedule_Inputs!$B$26)/Schedule_Inputs!$E$26&lt;Schedule_Inputs!$D$26),$C26/Schedule_Inputs!$D$26,0),0))))</f>
        <v>12000</v>
      </c>
      <c r="AM26" s="31">
        <f>IF(Schedule_Inputs!$C$26="Blueprint",$C26*IF(35-Schedule_Inputs!$B$26=0,Assumptions!$B$21,IF(35-Schedule_Inputs!$B$26=1,Assumptions!$C$21,IF(35-Schedule_Inputs!$B$26=2,Assumptions!$D$21,0))),IF(Schedule_Inputs!$C$26="Launch",$C26*IF(35-Schedule_Inputs!$B$26=0,Assumptions!$B$22,IF(35-Schedule_Inputs!$B$26=1,Assumptions!$C$22,IF(35-Schedule_Inputs!$B$26=2,Assumptions!$D$22,IF(35-Schedule_Inputs!$B$26=3,Assumptions!$B$23,0)))),IF(Schedule_Inputs!$C$26="Office Setup",$C26*IF(35-Schedule_Inputs!$B$26=0,Assumptions!$B$24,IF(35-Schedule_Inputs!$B$26=1,Assumptions!$C$24,IF(35-Schedule_Inputs!$B$26=2,Assumptions!$D$24,0))),IF(OR(Schedule_Inputs!$C$26="Monthly",Schedule_Inputs!$C$26="Periodic"),IF(AND(35&gt;=Schedule_Inputs!$B$26,MOD(35-Schedule_Inputs!$B$26,Schedule_Inputs!$E$26)=0,(35-Schedule_Inputs!$B$26)/Schedule_Inputs!$E$26&lt;Schedule_Inputs!$D$26),$C26/Schedule_Inputs!$D$26,0),0))))</f>
        <v>12000</v>
      </c>
      <c r="AN26" s="31">
        <f>IF(Schedule_Inputs!$C$26="Blueprint",$C26*IF(36-Schedule_Inputs!$B$26=0,Assumptions!$B$21,IF(36-Schedule_Inputs!$B$26=1,Assumptions!$C$21,IF(36-Schedule_Inputs!$B$26=2,Assumptions!$D$21,0))),IF(Schedule_Inputs!$C$26="Launch",$C26*IF(36-Schedule_Inputs!$B$26=0,Assumptions!$B$22,IF(36-Schedule_Inputs!$B$26=1,Assumptions!$C$22,IF(36-Schedule_Inputs!$B$26=2,Assumptions!$D$22,IF(36-Schedule_Inputs!$B$26=3,Assumptions!$B$23,0)))),IF(Schedule_Inputs!$C$26="Office Setup",$C26*IF(36-Schedule_Inputs!$B$26=0,Assumptions!$B$24,IF(36-Schedule_Inputs!$B$26=1,Assumptions!$C$24,IF(36-Schedule_Inputs!$B$26=2,Assumptions!$D$24,0))),IF(OR(Schedule_Inputs!$C$26="Monthly",Schedule_Inputs!$C$26="Periodic"),IF(AND(36&gt;=Schedule_Inputs!$B$26,MOD(36-Schedule_Inputs!$B$26,Schedule_Inputs!$E$26)=0,(36-Schedule_Inputs!$B$26)/Schedule_Inputs!$E$26&lt;Schedule_Inputs!$D$26),$C26/Schedule_Inputs!$D$26,0),0))))</f>
        <v>12000</v>
      </c>
    </row>
    <row r="27" spans="1:40">
      <c r="A27" s="29" t="s">
        <v>257</v>
      </c>
      <c r="B27" s="29">
        <v>3</v>
      </c>
      <c r="C27" s="30">
        <v>48000</v>
      </c>
      <c r="D27" s="31" t="s">
        <v>239</v>
      </c>
      <c r="E27" s="31">
        <f>IF(Schedule_Inputs!$C$27="Blueprint",$C27*IF(1-Schedule_Inputs!$B$27=0,Assumptions!$B$21,IF(1-Schedule_Inputs!$B$27=1,Assumptions!$C$21,IF(1-Schedule_Inputs!$B$27=2,Assumptions!$D$21,0))),IF(Schedule_Inputs!$C$27="Launch",$C27*IF(1-Schedule_Inputs!$B$27=0,Assumptions!$B$22,IF(1-Schedule_Inputs!$B$27=1,Assumptions!$C$22,IF(1-Schedule_Inputs!$B$27=2,Assumptions!$D$22,IF(1-Schedule_Inputs!$B$27=3,Assumptions!$B$23,0)))),IF(Schedule_Inputs!$C$27="Office Setup",$C27*IF(1-Schedule_Inputs!$B$27=0,Assumptions!$B$24,IF(1-Schedule_Inputs!$B$27=1,Assumptions!$C$24,IF(1-Schedule_Inputs!$B$27=2,Assumptions!$D$24,0))),IF(OR(Schedule_Inputs!$C$27="Monthly",Schedule_Inputs!$C$27="Periodic"),IF(AND(1&gt;=Schedule_Inputs!$B$27,MOD(1-Schedule_Inputs!$B$27,Schedule_Inputs!$E$27)=0,(1-Schedule_Inputs!$B$27)/Schedule_Inputs!$E$27&lt;Schedule_Inputs!$D$27),$C27/Schedule_Inputs!$D$27,0),0))))</f>
        <v>0</v>
      </c>
      <c r="F27" s="31">
        <f>IF(Schedule_Inputs!$C$27="Blueprint",$C27*IF(2-Schedule_Inputs!$B$27=0,Assumptions!$B$21,IF(2-Schedule_Inputs!$B$27=1,Assumptions!$C$21,IF(2-Schedule_Inputs!$B$27=2,Assumptions!$D$21,0))),IF(Schedule_Inputs!$C$27="Launch",$C27*IF(2-Schedule_Inputs!$B$27=0,Assumptions!$B$22,IF(2-Schedule_Inputs!$B$27=1,Assumptions!$C$22,IF(2-Schedule_Inputs!$B$27=2,Assumptions!$D$22,IF(2-Schedule_Inputs!$B$27=3,Assumptions!$B$23,0)))),IF(Schedule_Inputs!$C$27="Office Setup",$C27*IF(2-Schedule_Inputs!$B$27=0,Assumptions!$B$24,IF(2-Schedule_Inputs!$B$27=1,Assumptions!$C$24,IF(2-Schedule_Inputs!$B$27=2,Assumptions!$D$24,0))),IF(OR(Schedule_Inputs!$C$27="Monthly",Schedule_Inputs!$C$27="Periodic"),IF(AND(2&gt;=Schedule_Inputs!$B$27,MOD(2-Schedule_Inputs!$B$27,Schedule_Inputs!$E$27)=0,(2-Schedule_Inputs!$B$27)/Schedule_Inputs!$E$27&lt;Schedule_Inputs!$D$27),$C27/Schedule_Inputs!$D$27,0),0))))</f>
        <v>0</v>
      </c>
      <c r="G27" s="31">
        <f>IF(Schedule_Inputs!$C$27="Blueprint",$C27*IF(3-Schedule_Inputs!$B$27=0,Assumptions!$B$21,IF(3-Schedule_Inputs!$B$27=1,Assumptions!$C$21,IF(3-Schedule_Inputs!$B$27=2,Assumptions!$D$21,0))),IF(Schedule_Inputs!$C$27="Launch",$C27*IF(3-Schedule_Inputs!$B$27=0,Assumptions!$B$22,IF(3-Schedule_Inputs!$B$27=1,Assumptions!$C$22,IF(3-Schedule_Inputs!$B$27=2,Assumptions!$D$22,IF(3-Schedule_Inputs!$B$27=3,Assumptions!$B$23,0)))),IF(Schedule_Inputs!$C$27="Office Setup",$C27*IF(3-Schedule_Inputs!$B$27=0,Assumptions!$B$24,IF(3-Schedule_Inputs!$B$27=1,Assumptions!$C$24,IF(3-Schedule_Inputs!$B$27=2,Assumptions!$D$24,0))),IF(OR(Schedule_Inputs!$C$27="Monthly",Schedule_Inputs!$C$27="Periodic"),IF(AND(3&gt;=Schedule_Inputs!$B$27,MOD(3-Schedule_Inputs!$B$27,Schedule_Inputs!$E$27)=0,(3-Schedule_Inputs!$B$27)/Schedule_Inputs!$E$27&lt;Schedule_Inputs!$D$27),$C27/Schedule_Inputs!$D$27,0),0))))</f>
        <v>0</v>
      </c>
      <c r="H27" s="31">
        <f>IF(Schedule_Inputs!$C$27="Blueprint",$C27*IF(4-Schedule_Inputs!$B$27=0,Assumptions!$B$21,IF(4-Schedule_Inputs!$B$27=1,Assumptions!$C$21,IF(4-Schedule_Inputs!$B$27=2,Assumptions!$D$21,0))),IF(Schedule_Inputs!$C$27="Launch",$C27*IF(4-Schedule_Inputs!$B$27=0,Assumptions!$B$22,IF(4-Schedule_Inputs!$B$27=1,Assumptions!$C$22,IF(4-Schedule_Inputs!$B$27=2,Assumptions!$D$22,IF(4-Schedule_Inputs!$B$27=3,Assumptions!$B$23,0)))),IF(Schedule_Inputs!$C$27="Office Setup",$C27*IF(4-Schedule_Inputs!$B$27=0,Assumptions!$B$24,IF(4-Schedule_Inputs!$B$27=1,Assumptions!$C$24,IF(4-Schedule_Inputs!$B$27=2,Assumptions!$D$24,0))),IF(OR(Schedule_Inputs!$C$27="Monthly",Schedule_Inputs!$C$27="Periodic"),IF(AND(4&gt;=Schedule_Inputs!$B$27,MOD(4-Schedule_Inputs!$B$27,Schedule_Inputs!$E$27)=0,(4-Schedule_Inputs!$B$27)/Schedule_Inputs!$E$27&lt;Schedule_Inputs!$D$27),$C27/Schedule_Inputs!$D$27,0),0))))</f>
        <v>0</v>
      </c>
      <c r="I27" s="31">
        <f>IF(Schedule_Inputs!$C$27="Blueprint",$C27*IF(5-Schedule_Inputs!$B$27=0,Assumptions!$B$21,IF(5-Schedule_Inputs!$B$27=1,Assumptions!$C$21,IF(5-Schedule_Inputs!$B$27=2,Assumptions!$D$21,0))),IF(Schedule_Inputs!$C$27="Launch",$C27*IF(5-Schedule_Inputs!$B$27=0,Assumptions!$B$22,IF(5-Schedule_Inputs!$B$27=1,Assumptions!$C$22,IF(5-Schedule_Inputs!$B$27=2,Assumptions!$D$22,IF(5-Schedule_Inputs!$B$27=3,Assumptions!$B$23,0)))),IF(Schedule_Inputs!$C$27="Office Setup",$C27*IF(5-Schedule_Inputs!$B$27=0,Assumptions!$B$24,IF(5-Schedule_Inputs!$B$27=1,Assumptions!$C$24,IF(5-Schedule_Inputs!$B$27=2,Assumptions!$D$24,0))),IF(OR(Schedule_Inputs!$C$27="Monthly",Schedule_Inputs!$C$27="Periodic"),IF(AND(5&gt;=Schedule_Inputs!$B$27,MOD(5-Schedule_Inputs!$B$27,Schedule_Inputs!$E$27)=0,(5-Schedule_Inputs!$B$27)/Schedule_Inputs!$E$27&lt;Schedule_Inputs!$D$27),$C27/Schedule_Inputs!$D$27,0),0))))</f>
        <v>0</v>
      </c>
      <c r="J27" s="31">
        <f>IF(Schedule_Inputs!$C$27="Blueprint",$C27*IF(6-Schedule_Inputs!$B$27=0,Assumptions!$B$21,IF(6-Schedule_Inputs!$B$27=1,Assumptions!$C$21,IF(6-Schedule_Inputs!$B$27=2,Assumptions!$D$21,0))),IF(Schedule_Inputs!$C$27="Launch",$C27*IF(6-Schedule_Inputs!$B$27=0,Assumptions!$B$22,IF(6-Schedule_Inputs!$B$27=1,Assumptions!$C$22,IF(6-Schedule_Inputs!$B$27=2,Assumptions!$D$22,IF(6-Schedule_Inputs!$B$27=3,Assumptions!$B$23,0)))),IF(Schedule_Inputs!$C$27="Office Setup",$C27*IF(6-Schedule_Inputs!$B$27=0,Assumptions!$B$24,IF(6-Schedule_Inputs!$B$27=1,Assumptions!$C$24,IF(6-Schedule_Inputs!$B$27=2,Assumptions!$D$24,0))),IF(OR(Schedule_Inputs!$C$27="Monthly",Schedule_Inputs!$C$27="Periodic"),IF(AND(6&gt;=Schedule_Inputs!$B$27,MOD(6-Schedule_Inputs!$B$27,Schedule_Inputs!$E$27)=0,(6-Schedule_Inputs!$B$27)/Schedule_Inputs!$E$27&lt;Schedule_Inputs!$D$27),$C27/Schedule_Inputs!$D$27,0),0))))</f>
        <v>0</v>
      </c>
      <c r="K27" s="31">
        <f>IF(Schedule_Inputs!$C$27="Blueprint",$C27*IF(7-Schedule_Inputs!$B$27=0,Assumptions!$B$21,IF(7-Schedule_Inputs!$B$27=1,Assumptions!$C$21,IF(7-Schedule_Inputs!$B$27=2,Assumptions!$D$21,0))),IF(Schedule_Inputs!$C$27="Launch",$C27*IF(7-Schedule_Inputs!$B$27=0,Assumptions!$B$22,IF(7-Schedule_Inputs!$B$27=1,Assumptions!$C$22,IF(7-Schedule_Inputs!$B$27=2,Assumptions!$D$22,IF(7-Schedule_Inputs!$B$27=3,Assumptions!$B$23,0)))),IF(Schedule_Inputs!$C$27="Office Setup",$C27*IF(7-Schedule_Inputs!$B$27=0,Assumptions!$B$24,IF(7-Schedule_Inputs!$B$27=1,Assumptions!$C$24,IF(7-Schedule_Inputs!$B$27=2,Assumptions!$D$24,0))),IF(OR(Schedule_Inputs!$C$27="Monthly",Schedule_Inputs!$C$27="Periodic"),IF(AND(7&gt;=Schedule_Inputs!$B$27,MOD(7-Schedule_Inputs!$B$27,Schedule_Inputs!$E$27)=0,(7-Schedule_Inputs!$B$27)/Schedule_Inputs!$E$27&lt;Schedule_Inputs!$D$27),$C27/Schedule_Inputs!$D$27,0),0))))</f>
        <v>0</v>
      </c>
      <c r="L27" s="31">
        <f>IF(Schedule_Inputs!$C$27="Blueprint",$C27*IF(8-Schedule_Inputs!$B$27=0,Assumptions!$B$21,IF(8-Schedule_Inputs!$B$27=1,Assumptions!$C$21,IF(8-Schedule_Inputs!$B$27=2,Assumptions!$D$21,0))),IF(Schedule_Inputs!$C$27="Launch",$C27*IF(8-Schedule_Inputs!$B$27=0,Assumptions!$B$22,IF(8-Schedule_Inputs!$B$27=1,Assumptions!$C$22,IF(8-Schedule_Inputs!$B$27=2,Assumptions!$D$22,IF(8-Schedule_Inputs!$B$27=3,Assumptions!$B$23,0)))),IF(Schedule_Inputs!$C$27="Office Setup",$C27*IF(8-Schedule_Inputs!$B$27=0,Assumptions!$B$24,IF(8-Schedule_Inputs!$B$27=1,Assumptions!$C$24,IF(8-Schedule_Inputs!$B$27=2,Assumptions!$D$24,0))),IF(OR(Schedule_Inputs!$C$27="Monthly",Schedule_Inputs!$C$27="Periodic"),IF(AND(8&gt;=Schedule_Inputs!$B$27,MOD(8-Schedule_Inputs!$B$27,Schedule_Inputs!$E$27)=0,(8-Schedule_Inputs!$B$27)/Schedule_Inputs!$E$27&lt;Schedule_Inputs!$D$27),$C27/Schedule_Inputs!$D$27,0),0))))</f>
        <v>0</v>
      </c>
      <c r="M27" s="31">
        <f>IF(Schedule_Inputs!$C$27="Blueprint",$C27*IF(9-Schedule_Inputs!$B$27=0,Assumptions!$B$21,IF(9-Schedule_Inputs!$B$27=1,Assumptions!$C$21,IF(9-Schedule_Inputs!$B$27=2,Assumptions!$D$21,0))),IF(Schedule_Inputs!$C$27="Launch",$C27*IF(9-Schedule_Inputs!$B$27=0,Assumptions!$B$22,IF(9-Schedule_Inputs!$B$27=1,Assumptions!$C$22,IF(9-Schedule_Inputs!$B$27=2,Assumptions!$D$22,IF(9-Schedule_Inputs!$B$27=3,Assumptions!$B$23,0)))),IF(Schedule_Inputs!$C$27="Office Setup",$C27*IF(9-Schedule_Inputs!$B$27=0,Assumptions!$B$24,IF(9-Schedule_Inputs!$B$27=1,Assumptions!$C$24,IF(9-Schedule_Inputs!$B$27=2,Assumptions!$D$24,0))),IF(OR(Schedule_Inputs!$C$27="Monthly",Schedule_Inputs!$C$27="Periodic"),IF(AND(9&gt;=Schedule_Inputs!$B$27,MOD(9-Schedule_Inputs!$B$27,Schedule_Inputs!$E$27)=0,(9-Schedule_Inputs!$B$27)/Schedule_Inputs!$E$27&lt;Schedule_Inputs!$D$27),$C27/Schedule_Inputs!$D$27,0),0))))</f>
        <v>0</v>
      </c>
      <c r="N27" s="31">
        <f>IF(Schedule_Inputs!$C$27="Blueprint",$C27*IF(10-Schedule_Inputs!$B$27=0,Assumptions!$B$21,IF(10-Schedule_Inputs!$B$27=1,Assumptions!$C$21,IF(10-Schedule_Inputs!$B$27=2,Assumptions!$D$21,0))),IF(Schedule_Inputs!$C$27="Launch",$C27*IF(10-Schedule_Inputs!$B$27=0,Assumptions!$B$22,IF(10-Schedule_Inputs!$B$27=1,Assumptions!$C$22,IF(10-Schedule_Inputs!$B$27=2,Assumptions!$D$22,IF(10-Schedule_Inputs!$B$27=3,Assumptions!$B$23,0)))),IF(Schedule_Inputs!$C$27="Office Setup",$C27*IF(10-Schedule_Inputs!$B$27=0,Assumptions!$B$24,IF(10-Schedule_Inputs!$B$27=1,Assumptions!$C$24,IF(10-Schedule_Inputs!$B$27=2,Assumptions!$D$24,0))),IF(OR(Schedule_Inputs!$C$27="Monthly",Schedule_Inputs!$C$27="Periodic"),IF(AND(10&gt;=Schedule_Inputs!$B$27,MOD(10-Schedule_Inputs!$B$27,Schedule_Inputs!$E$27)=0,(10-Schedule_Inputs!$B$27)/Schedule_Inputs!$E$27&lt;Schedule_Inputs!$D$27),$C27/Schedule_Inputs!$D$27,0),0))))</f>
        <v>0</v>
      </c>
      <c r="O27" s="31">
        <f>IF(Schedule_Inputs!$C$27="Blueprint",$C27*IF(11-Schedule_Inputs!$B$27=0,Assumptions!$B$21,IF(11-Schedule_Inputs!$B$27=1,Assumptions!$C$21,IF(11-Schedule_Inputs!$B$27=2,Assumptions!$D$21,0))),IF(Schedule_Inputs!$C$27="Launch",$C27*IF(11-Schedule_Inputs!$B$27=0,Assumptions!$B$22,IF(11-Schedule_Inputs!$B$27=1,Assumptions!$C$22,IF(11-Schedule_Inputs!$B$27=2,Assumptions!$D$22,IF(11-Schedule_Inputs!$B$27=3,Assumptions!$B$23,0)))),IF(Schedule_Inputs!$C$27="Office Setup",$C27*IF(11-Schedule_Inputs!$B$27=0,Assumptions!$B$24,IF(11-Schedule_Inputs!$B$27=1,Assumptions!$C$24,IF(11-Schedule_Inputs!$B$27=2,Assumptions!$D$24,0))),IF(OR(Schedule_Inputs!$C$27="Monthly",Schedule_Inputs!$C$27="Periodic"),IF(AND(11&gt;=Schedule_Inputs!$B$27,MOD(11-Schedule_Inputs!$B$27,Schedule_Inputs!$E$27)=0,(11-Schedule_Inputs!$B$27)/Schedule_Inputs!$E$27&lt;Schedule_Inputs!$D$27),$C27/Schedule_Inputs!$D$27,0),0))))</f>
        <v>0</v>
      </c>
      <c r="P27" s="31">
        <f>IF(Schedule_Inputs!$C$27="Blueprint",$C27*IF(12-Schedule_Inputs!$B$27=0,Assumptions!$B$21,IF(12-Schedule_Inputs!$B$27=1,Assumptions!$C$21,IF(12-Schedule_Inputs!$B$27=2,Assumptions!$D$21,0))),IF(Schedule_Inputs!$C$27="Launch",$C27*IF(12-Schedule_Inputs!$B$27=0,Assumptions!$B$22,IF(12-Schedule_Inputs!$B$27=1,Assumptions!$C$22,IF(12-Schedule_Inputs!$B$27=2,Assumptions!$D$22,IF(12-Schedule_Inputs!$B$27=3,Assumptions!$B$23,0)))),IF(Schedule_Inputs!$C$27="Office Setup",$C27*IF(12-Schedule_Inputs!$B$27=0,Assumptions!$B$24,IF(12-Schedule_Inputs!$B$27=1,Assumptions!$C$24,IF(12-Schedule_Inputs!$B$27=2,Assumptions!$D$24,0))),IF(OR(Schedule_Inputs!$C$27="Monthly",Schedule_Inputs!$C$27="Periodic"),IF(AND(12&gt;=Schedule_Inputs!$B$27,MOD(12-Schedule_Inputs!$B$27,Schedule_Inputs!$E$27)=0,(12-Schedule_Inputs!$B$27)/Schedule_Inputs!$E$27&lt;Schedule_Inputs!$D$27),$C27/Schedule_Inputs!$D$27,0),0))))</f>
        <v>0</v>
      </c>
      <c r="Q27" s="31">
        <f>IF(Schedule_Inputs!$C$27="Blueprint",$C27*IF(13-Schedule_Inputs!$B$27=0,Assumptions!$B$21,IF(13-Schedule_Inputs!$B$27=1,Assumptions!$C$21,IF(13-Schedule_Inputs!$B$27=2,Assumptions!$D$21,0))),IF(Schedule_Inputs!$C$27="Launch",$C27*IF(13-Schedule_Inputs!$B$27=0,Assumptions!$B$22,IF(13-Schedule_Inputs!$B$27=1,Assumptions!$C$22,IF(13-Schedule_Inputs!$B$27=2,Assumptions!$D$22,IF(13-Schedule_Inputs!$B$27=3,Assumptions!$B$23,0)))),IF(Schedule_Inputs!$C$27="Office Setup",$C27*IF(13-Schedule_Inputs!$B$27=0,Assumptions!$B$24,IF(13-Schedule_Inputs!$B$27=1,Assumptions!$C$24,IF(13-Schedule_Inputs!$B$27=2,Assumptions!$D$24,0))),IF(OR(Schedule_Inputs!$C$27="Monthly",Schedule_Inputs!$C$27="Periodic"),IF(AND(13&gt;=Schedule_Inputs!$B$27,MOD(13-Schedule_Inputs!$B$27,Schedule_Inputs!$E$27)=0,(13-Schedule_Inputs!$B$27)/Schedule_Inputs!$E$27&lt;Schedule_Inputs!$D$27),$C27/Schedule_Inputs!$D$27,0),0))))</f>
        <v>0</v>
      </c>
      <c r="R27" s="31">
        <f>IF(Schedule_Inputs!$C$27="Blueprint",$C27*IF(14-Schedule_Inputs!$B$27=0,Assumptions!$B$21,IF(14-Schedule_Inputs!$B$27=1,Assumptions!$C$21,IF(14-Schedule_Inputs!$B$27=2,Assumptions!$D$21,0))),IF(Schedule_Inputs!$C$27="Launch",$C27*IF(14-Schedule_Inputs!$B$27=0,Assumptions!$B$22,IF(14-Schedule_Inputs!$B$27=1,Assumptions!$C$22,IF(14-Schedule_Inputs!$B$27=2,Assumptions!$D$22,IF(14-Schedule_Inputs!$B$27=3,Assumptions!$B$23,0)))),IF(Schedule_Inputs!$C$27="Office Setup",$C27*IF(14-Schedule_Inputs!$B$27=0,Assumptions!$B$24,IF(14-Schedule_Inputs!$B$27=1,Assumptions!$C$24,IF(14-Schedule_Inputs!$B$27=2,Assumptions!$D$24,0))),IF(OR(Schedule_Inputs!$C$27="Monthly",Schedule_Inputs!$C$27="Periodic"),IF(AND(14&gt;=Schedule_Inputs!$B$27,MOD(14-Schedule_Inputs!$B$27,Schedule_Inputs!$E$27)=0,(14-Schedule_Inputs!$B$27)/Schedule_Inputs!$E$27&lt;Schedule_Inputs!$D$27),$C27/Schedule_Inputs!$D$27,0),0))))</f>
        <v>0</v>
      </c>
      <c r="S27" s="31">
        <f>IF(Schedule_Inputs!$C$27="Blueprint",$C27*IF(15-Schedule_Inputs!$B$27=0,Assumptions!$B$21,IF(15-Schedule_Inputs!$B$27=1,Assumptions!$C$21,IF(15-Schedule_Inputs!$B$27=2,Assumptions!$D$21,0))),IF(Schedule_Inputs!$C$27="Launch",$C27*IF(15-Schedule_Inputs!$B$27=0,Assumptions!$B$22,IF(15-Schedule_Inputs!$B$27=1,Assumptions!$C$22,IF(15-Schedule_Inputs!$B$27=2,Assumptions!$D$22,IF(15-Schedule_Inputs!$B$27=3,Assumptions!$B$23,0)))),IF(Schedule_Inputs!$C$27="Office Setup",$C27*IF(15-Schedule_Inputs!$B$27=0,Assumptions!$B$24,IF(15-Schedule_Inputs!$B$27=1,Assumptions!$C$24,IF(15-Schedule_Inputs!$B$27=2,Assumptions!$D$24,0))),IF(OR(Schedule_Inputs!$C$27="Monthly",Schedule_Inputs!$C$27="Periodic"),IF(AND(15&gt;=Schedule_Inputs!$B$27,MOD(15-Schedule_Inputs!$B$27,Schedule_Inputs!$E$27)=0,(15-Schedule_Inputs!$B$27)/Schedule_Inputs!$E$27&lt;Schedule_Inputs!$D$27),$C27/Schedule_Inputs!$D$27,0),0))))</f>
        <v>0</v>
      </c>
      <c r="T27" s="31">
        <f>IF(Schedule_Inputs!$C$27="Blueprint",$C27*IF(16-Schedule_Inputs!$B$27=0,Assumptions!$B$21,IF(16-Schedule_Inputs!$B$27=1,Assumptions!$C$21,IF(16-Schedule_Inputs!$B$27=2,Assumptions!$D$21,0))),IF(Schedule_Inputs!$C$27="Launch",$C27*IF(16-Schedule_Inputs!$B$27=0,Assumptions!$B$22,IF(16-Schedule_Inputs!$B$27=1,Assumptions!$C$22,IF(16-Schedule_Inputs!$B$27=2,Assumptions!$D$22,IF(16-Schedule_Inputs!$B$27=3,Assumptions!$B$23,0)))),IF(Schedule_Inputs!$C$27="Office Setup",$C27*IF(16-Schedule_Inputs!$B$27=0,Assumptions!$B$24,IF(16-Schedule_Inputs!$B$27=1,Assumptions!$C$24,IF(16-Schedule_Inputs!$B$27=2,Assumptions!$D$24,0))),IF(OR(Schedule_Inputs!$C$27="Monthly",Schedule_Inputs!$C$27="Periodic"),IF(AND(16&gt;=Schedule_Inputs!$B$27,MOD(16-Schedule_Inputs!$B$27,Schedule_Inputs!$E$27)=0,(16-Schedule_Inputs!$B$27)/Schedule_Inputs!$E$27&lt;Schedule_Inputs!$D$27),$C27/Schedule_Inputs!$D$27,0),0))))</f>
        <v>0</v>
      </c>
      <c r="U27" s="31">
        <f>IF(Schedule_Inputs!$C$27="Blueprint",$C27*IF(17-Schedule_Inputs!$B$27=0,Assumptions!$B$21,IF(17-Schedule_Inputs!$B$27=1,Assumptions!$C$21,IF(17-Schedule_Inputs!$B$27=2,Assumptions!$D$21,0))),IF(Schedule_Inputs!$C$27="Launch",$C27*IF(17-Schedule_Inputs!$B$27=0,Assumptions!$B$22,IF(17-Schedule_Inputs!$B$27=1,Assumptions!$C$22,IF(17-Schedule_Inputs!$B$27=2,Assumptions!$D$22,IF(17-Schedule_Inputs!$B$27=3,Assumptions!$B$23,0)))),IF(Schedule_Inputs!$C$27="Office Setup",$C27*IF(17-Schedule_Inputs!$B$27=0,Assumptions!$B$24,IF(17-Schedule_Inputs!$B$27=1,Assumptions!$C$24,IF(17-Schedule_Inputs!$B$27=2,Assumptions!$D$24,0))),IF(OR(Schedule_Inputs!$C$27="Monthly",Schedule_Inputs!$C$27="Periodic"),IF(AND(17&gt;=Schedule_Inputs!$B$27,MOD(17-Schedule_Inputs!$B$27,Schedule_Inputs!$E$27)=0,(17-Schedule_Inputs!$B$27)/Schedule_Inputs!$E$27&lt;Schedule_Inputs!$D$27),$C27/Schedule_Inputs!$D$27,0),0))))</f>
        <v>0</v>
      </c>
      <c r="V27" s="31">
        <f>IF(Schedule_Inputs!$C$27="Blueprint",$C27*IF(18-Schedule_Inputs!$B$27=0,Assumptions!$B$21,IF(18-Schedule_Inputs!$B$27=1,Assumptions!$C$21,IF(18-Schedule_Inputs!$B$27=2,Assumptions!$D$21,0))),IF(Schedule_Inputs!$C$27="Launch",$C27*IF(18-Schedule_Inputs!$B$27=0,Assumptions!$B$22,IF(18-Schedule_Inputs!$B$27=1,Assumptions!$C$22,IF(18-Schedule_Inputs!$B$27=2,Assumptions!$D$22,IF(18-Schedule_Inputs!$B$27=3,Assumptions!$B$23,0)))),IF(Schedule_Inputs!$C$27="Office Setup",$C27*IF(18-Schedule_Inputs!$B$27=0,Assumptions!$B$24,IF(18-Schedule_Inputs!$B$27=1,Assumptions!$C$24,IF(18-Schedule_Inputs!$B$27=2,Assumptions!$D$24,0))),IF(OR(Schedule_Inputs!$C$27="Monthly",Schedule_Inputs!$C$27="Periodic"),IF(AND(18&gt;=Schedule_Inputs!$B$27,MOD(18-Schedule_Inputs!$B$27,Schedule_Inputs!$E$27)=0,(18-Schedule_Inputs!$B$27)/Schedule_Inputs!$E$27&lt;Schedule_Inputs!$D$27),$C27/Schedule_Inputs!$D$27,0),0))))</f>
        <v>0</v>
      </c>
      <c r="W27" s="31">
        <f>IF(Schedule_Inputs!$C$27="Blueprint",$C27*IF(19-Schedule_Inputs!$B$27=0,Assumptions!$B$21,IF(19-Schedule_Inputs!$B$27=1,Assumptions!$C$21,IF(19-Schedule_Inputs!$B$27=2,Assumptions!$D$21,0))),IF(Schedule_Inputs!$C$27="Launch",$C27*IF(19-Schedule_Inputs!$B$27=0,Assumptions!$B$22,IF(19-Schedule_Inputs!$B$27=1,Assumptions!$C$22,IF(19-Schedule_Inputs!$B$27=2,Assumptions!$D$22,IF(19-Schedule_Inputs!$B$27=3,Assumptions!$B$23,0)))),IF(Schedule_Inputs!$C$27="Office Setup",$C27*IF(19-Schedule_Inputs!$B$27=0,Assumptions!$B$24,IF(19-Schedule_Inputs!$B$27=1,Assumptions!$C$24,IF(19-Schedule_Inputs!$B$27=2,Assumptions!$D$24,0))),IF(OR(Schedule_Inputs!$C$27="Monthly",Schedule_Inputs!$C$27="Periodic"),IF(AND(19&gt;=Schedule_Inputs!$B$27,MOD(19-Schedule_Inputs!$B$27,Schedule_Inputs!$E$27)=0,(19-Schedule_Inputs!$B$27)/Schedule_Inputs!$E$27&lt;Schedule_Inputs!$D$27),$C27/Schedule_Inputs!$D$27,0),0))))</f>
        <v>0</v>
      </c>
      <c r="X27" s="31">
        <f>IF(Schedule_Inputs!$C$27="Blueprint",$C27*IF(20-Schedule_Inputs!$B$27=0,Assumptions!$B$21,IF(20-Schedule_Inputs!$B$27=1,Assumptions!$C$21,IF(20-Schedule_Inputs!$B$27=2,Assumptions!$D$21,0))),IF(Schedule_Inputs!$C$27="Launch",$C27*IF(20-Schedule_Inputs!$B$27=0,Assumptions!$B$22,IF(20-Schedule_Inputs!$B$27=1,Assumptions!$C$22,IF(20-Schedule_Inputs!$B$27=2,Assumptions!$D$22,IF(20-Schedule_Inputs!$B$27=3,Assumptions!$B$23,0)))),IF(Schedule_Inputs!$C$27="Office Setup",$C27*IF(20-Schedule_Inputs!$B$27=0,Assumptions!$B$24,IF(20-Schedule_Inputs!$B$27=1,Assumptions!$C$24,IF(20-Schedule_Inputs!$B$27=2,Assumptions!$D$24,0))),IF(OR(Schedule_Inputs!$C$27="Monthly",Schedule_Inputs!$C$27="Periodic"),IF(AND(20&gt;=Schedule_Inputs!$B$27,MOD(20-Schedule_Inputs!$B$27,Schedule_Inputs!$E$27)=0,(20-Schedule_Inputs!$B$27)/Schedule_Inputs!$E$27&lt;Schedule_Inputs!$D$27),$C27/Schedule_Inputs!$D$27,0),0))))</f>
        <v>0</v>
      </c>
      <c r="Y27" s="31">
        <f>IF(Schedule_Inputs!$C$27="Blueprint",$C27*IF(21-Schedule_Inputs!$B$27=0,Assumptions!$B$21,IF(21-Schedule_Inputs!$B$27=1,Assumptions!$C$21,IF(21-Schedule_Inputs!$B$27=2,Assumptions!$D$21,0))),IF(Schedule_Inputs!$C$27="Launch",$C27*IF(21-Schedule_Inputs!$B$27=0,Assumptions!$B$22,IF(21-Schedule_Inputs!$B$27=1,Assumptions!$C$22,IF(21-Schedule_Inputs!$B$27=2,Assumptions!$D$22,IF(21-Schedule_Inputs!$B$27=3,Assumptions!$B$23,0)))),IF(Schedule_Inputs!$C$27="Office Setup",$C27*IF(21-Schedule_Inputs!$B$27=0,Assumptions!$B$24,IF(21-Schedule_Inputs!$B$27=1,Assumptions!$C$24,IF(21-Schedule_Inputs!$B$27=2,Assumptions!$D$24,0))),IF(OR(Schedule_Inputs!$C$27="Monthly",Schedule_Inputs!$C$27="Periodic"),IF(AND(21&gt;=Schedule_Inputs!$B$27,MOD(21-Schedule_Inputs!$B$27,Schedule_Inputs!$E$27)=0,(21-Schedule_Inputs!$B$27)/Schedule_Inputs!$E$27&lt;Schedule_Inputs!$D$27),$C27/Schedule_Inputs!$D$27,0),0))))</f>
        <v>0</v>
      </c>
      <c r="Z27" s="31">
        <f>IF(Schedule_Inputs!$C$27="Blueprint",$C27*IF(22-Schedule_Inputs!$B$27=0,Assumptions!$B$21,IF(22-Schedule_Inputs!$B$27=1,Assumptions!$C$21,IF(22-Schedule_Inputs!$B$27=2,Assumptions!$D$21,0))),IF(Schedule_Inputs!$C$27="Launch",$C27*IF(22-Schedule_Inputs!$B$27=0,Assumptions!$B$22,IF(22-Schedule_Inputs!$B$27=1,Assumptions!$C$22,IF(22-Schedule_Inputs!$B$27=2,Assumptions!$D$22,IF(22-Schedule_Inputs!$B$27=3,Assumptions!$B$23,0)))),IF(Schedule_Inputs!$C$27="Office Setup",$C27*IF(22-Schedule_Inputs!$B$27=0,Assumptions!$B$24,IF(22-Schedule_Inputs!$B$27=1,Assumptions!$C$24,IF(22-Schedule_Inputs!$B$27=2,Assumptions!$D$24,0))),IF(OR(Schedule_Inputs!$C$27="Monthly",Schedule_Inputs!$C$27="Periodic"),IF(AND(22&gt;=Schedule_Inputs!$B$27,MOD(22-Schedule_Inputs!$B$27,Schedule_Inputs!$E$27)=0,(22-Schedule_Inputs!$B$27)/Schedule_Inputs!$E$27&lt;Schedule_Inputs!$D$27),$C27/Schedule_Inputs!$D$27,0),0))))</f>
        <v>0</v>
      </c>
      <c r="AA27" s="31">
        <f>IF(Schedule_Inputs!$C$27="Blueprint",$C27*IF(23-Schedule_Inputs!$B$27=0,Assumptions!$B$21,IF(23-Schedule_Inputs!$B$27=1,Assumptions!$C$21,IF(23-Schedule_Inputs!$B$27=2,Assumptions!$D$21,0))),IF(Schedule_Inputs!$C$27="Launch",$C27*IF(23-Schedule_Inputs!$B$27=0,Assumptions!$B$22,IF(23-Schedule_Inputs!$B$27=1,Assumptions!$C$22,IF(23-Schedule_Inputs!$B$27=2,Assumptions!$D$22,IF(23-Schedule_Inputs!$B$27=3,Assumptions!$B$23,0)))),IF(Schedule_Inputs!$C$27="Office Setup",$C27*IF(23-Schedule_Inputs!$B$27=0,Assumptions!$B$24,IF(23-Schedule_Inputs!$B$27=1,Assumptions!$C$24,IF(23-Schedule_Inputs!$B$27=2,Assumptions!$D$24,0))),IF(OR(Schedule_Inputs!$C$27="Monthly",Schedule_Inputs!$C$27="Periodic"),IF(AND(23&gt;=Schedule_Inputs!$B$27,MOD(23-Schedule_Inputs!$B$27,Schedule_Inputs!$E$27)=0,(23-Schedule_Inputs!$B$27)/Schedule_Inputs!$E$27&lt;Schedule_Inputs!$D$27),$C27/Schedule_Inputs!$D$27,0),0))))</f>
        <v>0</v>
      </c>
      <c r="AB27" s="31">
        <f>IF(Schedule_Inputs!$C$27="Blueprint",$C27*IF(24-Schedule_Inputs!$B$27=0,Assumptions!$B$21,IF(24-Schedule_Inputs!$B$27=1,Assumptions!$C$21,IF(24-Schedule_Inputs!$B$27=2,Assumptions!$D$21,0))),IF(Schedule_Inputs!$C$27="Launch",$C27*IF(24-Schedule_Inputs!$B$27=0,Assumptions!$B$22,IF(24-Schedule_Inputs!$B$27=1,Assumptions!$C$22,IF(24-Schedule_Inputs!$B$27=2,Assumptions!$D$22,IF(24-Schedule_Inputs!$B$27=3,Assumptions!$B$23,0)))),IF(Schedule_Inputs!$C$27="Office Setup",$C27*IF(24-Schedule_Inputs!$B$27=0,Assumptions!$B$24,IF(24-Schedule_Inputs!$B$27=1,Assumptions!$C$24,IF(24-Schedule_Inputs!$B$27=2,Assumptions!$D$24,0))),IF(OR(Schedule_Inputs!$C$27="Monthly",Schedule_Inputs!$C$27="Periodic"),IF(AND(24&gt;=Schedule_Inputs!$B$27,MOD(24-Schedule_Inputs!$B$27,Schedule_Inputs!$E$27)=0,(24-Schedule_Inputs!$B$27)/Schedule_Inputs!$E$27&lt;Schedule_Inputs!$D$27),$C27/Schedule_Inputs!$D$27,0),0))))</f>
        <v>0</v>
      </c>
      <c r="AC27" s="31">
        <f>IF(Schedule_Inputs!$C$27="Blueprint",$C27*IF(25-Schedule_Inputs!$B$27=0,Assumptions!$B$21,IF(25-Schedule_Inputs!$B$27=1,Assumptions!$C$21,IF(25-Schedule_Inputs!$B$27=2,Assumptions!$D$21,0))),IF(Schedule_Inputs!$C$27="Launch",$C27*IF(25-Schedule_Inputs!$B$27=0,Assumptions!$B$22,IF(25-Schedule_Inputs!$B$27=1,Assumptions!$C$22,IF(25-Schedule_Inputs!$B$27=2,Assumptions!$D$22,IF(25-Schedule_Inputs!$B$27=3,Assumptions!$B$23,0)))),IF(Schedule_Inputs!$C$27="Office Setup",$C27*IF(25-Schedule_Inputs!$B$27=0,Assumptions!$B$24,IF(25-Schedule_Inputs!$B$27=1,Assumptions!$C$24,IF(25-Schedule_Inputs!$B$27=2,Assumptions!$D$24,0))),IF(OR(Schedule_Inputs!$C$27="Monthly",Schedule_Inputs!$C$27="Periodic"),IF(AND(25&gt;=Schedule_Inputs!$B$27,MOD(25-Schedule_Inputs!$B$27,Schedule_Inputs!$E$27)=0,(25-Schedule_Inputs!$B$27)/Schedule_Inputs!$E$27&lt;Schedule_Inputs!$D$27),$C27/Schedule_Inputs!$D$27,0),0))))</f>
        <v>4000</v>
      </c>
      <c r="AD27" s="31">
        <f>IF(Schedule_Inputs!$C$27="Blueprint",$C27*IF(26-Schedule_Inputs!$B$27=0,Assumptions!$B$21,IF(26-Schedule_Inputs!$B$27=1,Assumptions!$C$21,IF(26-Schedule_Inputs!$B$27=2,Assumptions!$D$21,0))),IF(Schedule_Inputs!$C$27="Launch",$C27*IF(26-Schedule_Inputs!$B$27=0,Assumptions!$B$22,IF(26-Schedule_Inputs!$B$27=1,Assumptions!$C$22,IF(26-Schedule_Inputs!$B$27=2,Assumptions!$D$22,IF(26-Schedule_Inputs!$B$27=3,Assumptions!$B$23,0)))),IF(Schedule_Inputs!$C$27="Office Setup",$C27*IF(26-Schedule_Inputs!$B$27=0,Assumptions!$B$24,IF(26-Schedule_Inputs!$B$27=1,Assumptions!$C$24,IF(26-Schedule_Inputs!$B$27=2,Assumptions!$D$24,0))),IF(OR(Schedule_Inputs!$C$27="Monthly",Schedule_Inputs!$C$27="Periodic"),IF(AND(26&gt;=Schedule_Inputs!$B$27,MOD(26-Schedule_Inputs!$B$27,Schedule_Inputs!$E$27)=0,(26-Schedule_Inputs!$B$27)/Schedule_Inputs!$E$27&lt;Schedule_Inputs!$D$27),$C27/Schedule_Inputs!$D$27,0),0))))</f>
        <v>4000</v>
      </c>
      <c r="AE27" s="31">
        <f>IF(Schedule_Inputs!$C$27="Blueprint",$C27*IF(27-Schedule_Inputs!$B$27=0,Assumptions!$B$21,IF(27-Schedule_Inputs!$B$27=1,Assumptions!$C$21,IF(27-Schedule_Inputs!$B$27=2,Assumptions!$D$21,0))),IF(Schedule_Inputs!$C$27="Launch",$C27*IF(27-Schedule_Inputs!$B$27=0,Assumptions!$B$22,IF(27-Schedule_Inputs!$B$27=1,Assumptions!$C$22,IF(27-Schedule_Inputs!$B$27=2,Assumptions!$D$22,IF(27-Schedule_Inputs!$B$27=3,Assumptions!$B$23,0)))),IF(Schedule_Inputs!$C$27="Office Setup",$C27*IF(27-Schedule_Inputs!$B$27=0,Assumptions!$B$24,IF(27-Schedule_Inputs!$B$27=1,Assumptions!$C$24,IF(27-Schedule_Inputs!$B$27=2,Assumptions!$D$24,0))),IF(OR(Schedule_Inputs!$C$27="Monthly",Schedule_Inputs!$C$27="Periodic"),IF(AND(27&gt;=Schedule_Inputs!$B$27,MOD(27-Schedule_Inputs!$B$27,Schedule_Inputs!$E$27)=0,(27-Schedule_Inputs!$B$27)/Schedule_Inputs!$E$27&lt;Schedule_Inputs!$D$27),$C27/Schedule_Inputs!$D$27,0),0))))</f>
        <v>4000</v>
      </c>
      <c r="AF27" s="31">
        <f>IF(Schedule_Inputs!$C$27="Blueprint",$C27*IF(28-Schedule_Inputs!$B$27=0,Assumptions!$B$21,IF(28-Schedule_Inputs!$B$27=1,Assumptions!$C$21,IF(28-Schedule_Inputs!$B$27=2,Assumptions!$D$21,0))),IF(Schedule_Inputs!$C$27="Launch",$C27*IF(28-Schedule_Inputs!$B$27=0,Assumptions!$B$22,IF(28-Schedule_Inputs!$B$27=1,Assumptions!$C$22,IF(28-Schedule_Inputs!$B$27=2,Assumptions!$D$22,IF(28-Schedule_Inputs!$B$27=3,Assumptions!$B$23,0)))),IF(Schedule_Inputs!$C$27="Office Setup",$C27*IF(28-Schedule_Inputs!$B$27=0,Assumptions!$B$24,IF(28-Schedule_Inputs!$B$27=1,Assumptions!$C$24,IF(28-Schedule_Inputs!$B$27=2,Assumptions!$D$24,0))),IF(OR(Schedule_Inputs!$C$27="Monthly",Schedule_Inputs!$C$27="Periodic"),IF(AND(28&gt;=Schedule_Inputs!$B$27,MOD(28-Schedule_Inputs!$B$27,Schedule_Inputs!$E$27)=0,(28-Schedule_Inputs!$B$27)/Schedule_Inputs!$E$27&lt;Schedule_Inputs!$D$27),$C27/Schedule_Inputs!$D$27,0),0))))</f>
        <v>4000</v>
      </c>
      <c r="AG27" s="31">
        <f>IF(Schedule_Inputs!$C$27="Blueprint",$C27*IF(29-Schedule_Inputs!$B$27=0,Assumptions!$B$21,IF(29-Schedule_Inputs!$B$27=1,Assumptions!$C$21,IF(29-Schedule_Inputs!$B$27=2,Assumptions!$D$21,0))),IF(Schedule_Inputs!$C$27="Launch",$C27*IF(29-Schedule_Inputs!$B$27=0,Assumptions!$B$22,IF(29-Schedule_Inputs!$B$27=1,Assumptions!$C$22,IF(29-Schedule_Inputs!$B$27=2,Assumptions!$D$22,IF(29-Schedule_Inputs!$B$27=3,Assumptions!$B$23,0)))),IF(Schedule_Inputs!$C$27="Office Setup",$C27*IF(29-Schedule_Inputs!$B$27=0,Assumptions!$B$24,IF(29-Schedule_Inputs!$B$27=1,Assumptions!$C$24,IF(29-Schedule_Inputs!$B$27=2,Assumptions!$D$24,0))),IF(OR(Schedule_Inputs!$C$27="Monthly",Schedule_Inputs!$C$27="Periodic"),IF(AND(29&gt;=Schedule_Inputs!$B$27,MOD(29-Schedule_Inputs!$B$27,Schedule_Inputs!$E$27)=0,(29-Schedule_Inputs!$B$27)/Schedule_Inputs!$E$27&lt;Schedule_Inputs!$D$27),$C27/Schedule_Inputs!$D$27,0),0))))</f>
        <v>4000</v>
      </c>
      <c r="AH27" s="31">
        <f>IF(Schedule_Inputs!$C$27="Blueprint",$C27*IF(30-Schedule_Inputs!$B$27=0,Assumptions!$B$21,IF(30-Schedule_Inputs!$B$27=1,Assumptions!$C$21,IF(30-Schedule_Inputs!$B$27=2,Assumptions!$D$21,0))),IF(Schedule_Inputs!$C$27="Launch",$C27*IF(30-Schedule_Inputs!$B$27=0,Assumptions!$B$22,IF(30-Schedule_Inputs!$B$27=1,Assumptions!$C$22,IF(30-Schedule_Inputs!$B$27=2,Assumptions!$D$22,IF(30-Schedule_Inputs!$B$27=3,Assumptions!$B$23,0)))),IF(Schedule_Inputs!$C$27="Office Setup",$C27*IF(30-Schedule_Inputs!$B$27=0,Assumptions!$B$24,IF(30-Schedule_Inputs!$B$27=1,Assumptions!$C$24,IF(30-Schedule_Inputs!$B$27=2,Assumptions!$D$24,0))),IF(OR(Schedule_Inputs!$C$27="Monthly",Schedule_Inputs!$C$27="Periodic"),IF(AND(30&gt;=Schedule_Inputs!$B$27,MOD(30-Schedule_Inputs!$B$27,Schedule_Inputs!$E$27)=0,(30-Schedule_Inputs!$B$27)/Schedule_Inputs!$E$27&lt;Schedule_Inputs!$D$27),$C27/Schedule_Inputs!$D$27,0),0))))</f>
        <v>4000</v>
      </c>
      <c r="AI27" s="31">
        <f>IF(Schedule_Inputs!$C$27="Blueprint",$C27*IF(31-Schedule_Inputs!$B$27=0,Assumptions!$B$21,IF(31-Schedule_Inputs!$B$27=1,Assumptions!$C$21,IF(31-Schedule_Inputs!$B$27=2,Assumptions!$D$21,0))),IF(Schedule_Inputs!$C$27="Launch",$C27*IF(31-Schedule_Inputs!$B$27=0,Assumptions!$B$22,IF(31-Schedule_Inputs!$B$27=1,Assumptions!$C$22,IF(31-Schedule_Inputs!$B$27=2,Assumptions!$D$22,IF(31-Schedule_Inputs!$B$27=3,Assumptions!$B$23,0)))),IF(Schedule_Inputs!$C$27="Office Setup",$C27*IF(31-Schedule_Inputs!$B$27=0,Assumptions!$B$24,IF(31-Schedule_Inputs!$B$27=1,Assumptions!$C$24,IF(31-Schedule_Inputs!$B$27=2,Assumptions!$D$24,0))),IF(OR(Schedule_Inputs!$C$27="Monthly",Schedule_Inputs!$C$27="Periodic"),IF(AND(31&gt;=Schedule_Inputs!$B$27,MOD(31-Schedule_Inputs!$B$27,Schedule_Inputs!$E$27)=0,(31-Schedule_Inputs!$B$27)/Schedule_Inputs!$E$27&lt;Schedule_Inputs!$D$27),$C27/Schedule_Inputs!$D$27,0),0))))</f>
        <v>4000</v>
      </c>
      <c r="AJ27" s="31">
        <f>IF(Schedule_Inputs!$C$27="Blueprint",$C27*IF(32-Schedule_Inputs!$B$27=0,Assumptions!$B$21,IF(32-Schedule_Inputs!$B$27=1,Assumptions!$C$21,IF(32-Schedule_Inputs!$B$27=2,Assumptions!$D$21,0))),IF(Schedule_Inputs!$C$27="Launch",$C27*IF(32-Schedule_Inputs!$B$27=0,Assumptions!$B$22,IF(32-Schedule_Inputs!$B$27=1,Assumptions!$C$22,IF(32-Schedule_Inputs!$B$27=2,Assumptions!$D$22,IF(32-Schedule_Inputs!$B$27=3,Assumptions!$B$23,0)))),IF(Schedule_Inputs!$C$27="Office Setup",$C27*IF(32-Schedule_Inputs!$B$27=0,Assumptions!$B$24,IF(32-Schedule_Inputs!$B$27=1,Assumptions!$C$24,IF(32-Schedule_Inputs!$B$27=2,Assumptions!$D$24,0))),IF(OR(Schedule_Inputs!$C$27="Monthly",Schedule_Inputs!$C$27="Periodic"),IF(AND(32&gt;=Schedule_Inputs!$B$27,MOD(32-Schedule_Inputs!$B$27,Schedule_Inputs!$E$27)=0,(32-Schedule_Inputs!$B$27)/Schedule_Inputs!$E$27&lt;Schedule_Inputs!$D$27),$C27/Schedule_Inputs!$D$27,0),0))))</f>
        <v>4000</v>
      </c>
      <c r="AK27" s="31">
        <f>IF(Schedule_Inputs!$C$27="Blueprint",$C27*IF(33-Schedule_Inputs!$B$27=0,Assumptions!$B$21,IF(33-Schedule_Inputs!$B$27=1,Assumptions!$C$21,IF(33-Schedule_Inputs!$B$27=2,Assumptions!$D$21,0))),IF(Schedule_Inputs!$C$27="Launch",$C27*IF(33-Schedule_Inputs!$B$27=0,Assumptions!$B$22,IF(33-Schedule_Inputs!$B$27=1,Assumptions!$C$22,IF(33-Schedule_Inputs!$B$27=2,Assumptions!$D$22,IF(33-Schedule_Inputs!$B$27=3,Assumptions!$B$23,0)))),IF(Schedule_Inputs!$C$27="Office Setup",$C27*IF(33-Schedule_Inputs!$B$27=0,Assumptions!$B$24,IF(33-Schedule_Inputs!$B$27=1,Assumptions!$C$24,IF(33-Schedule_Inputs!$B$27=2,Assumptions!$D$24,0))),IF(OR(Schedule_Inputs!$C$27="Monthly",Schedule_Inputs!$C$27="Periodic"),IF(AND(33&gt;=Schedule_Inputs!$B$27,MOD(33-Schedule_Inputs!$B$27,Schedule_Inputs!$E$27)=0,(33-Schedule_Inputs!$B$27)/Schedule_Inputs!$E$27&lt;Schedule_Inputs!$D$27),$C27/Schedule_Inputs!$D$27,0),0))))</f>
        <v>4000</v>
      </c>
      <c r="AL27" s="31">
        <f>IF(Schedule_Inputs!$C$27="Blueprint",$C27*IF(34-Schedule_Inputs!$B$27=0,Assumptions!$B$21,IF(34-Schedule_Inputs!$B$27=1,Assumptions!$C$21,IF(34-Schedule_Inputs!$B$27=2,Assumptions!$D$21,0))),IF(Schedule_Inputs!$C$27="Launch",$C27*IF(34-Schedule_Inputs!$B$27=0,Assumptions!$B$22,IF(34-Schedule_Inputs!$B$27=1,Assumptions!$C$22,IF(34-Schedule_Inputs!$B$27=2,Assumptions!$D$22,IF(34-Schedule_Inputs!$B$27=3,Assumptions!$B$23,0)))),IF(Schedule_Inputs!$C$27="Office Setup",$C27*IF(34-Schedule_Inputs!$B$27=0,Assumptions!$B$24,IF(34-Schedule_Inputs!$B$27=1,Assumptions!$C$24,IF(34-Schedule_Inputs!$B$27=2,Assumptions!$D$24,0))),IF(OR(Schedule_Inputs!$C$27="Monthly",Schedule_Inputs!$C$27="Periodic"),IF(AND(34&gt;=Schedule_Inputs!$B$27,MOD(34-Schedule_Inputs!$B$27,Schedule_Inputs!$E$27)=0,(34-Schedule_Inputs!$B$27)/Schedule_Inputs!$E$27&lt;Schedule_Inputs!$D$27),$C27/Schedule_Inputs!$D$27,0),0))))</f>
        <v>4000</v>
      </c>
      <c r="AM27" s="31">
        <f>IF(Schedule_Inputs!$C$27="Blueprint",$C27*IF(35-Schedule_Inputs!$B$27=0,Assumptions!$B$21,IF(35-Schedule_Inputs!$B$27=1,Assumptions!$C$21,IF(35-Schedule_Inputs!$B$27=2,Assumptions!$D$21,0))),IF(Schedule_Inputs!$C$27="Launch",$C27*IF(35-Schedule_Inputs!$B$27=0,Assumptions!$B$22,IF(35-Schedule_Inputs!$B$27=1,Assumptions!$C$22,IF(35-Schedule_Inputs!$B$27=2,Assumptions!$D$22,IF(35-Schedule_Inputs!$B$27=3,Assumptions!$B$23,0)))),IF(Schedule_Inputs!$C$27="Office Setup",$C27*IF(35-Schedule_Inputs!$B$27=0,Assumptions!$B$24,IF(35-Schedule_Inputs!$B$27=1,Assumptions!$C$24,IF(35-Schedule_Inputs!$B$27=2,Assumptions!$D$24,0))),IF(OR(Schedule_Inputs!$C$27="Monthly",Schedule_Inputs!$C$27="Periodic"),IF(AND(35&gt;=Schedule_Inputs!$B$27,MOD(35-Schedule_Inputs!$B$27,Schedule_Inputs!$E$27)=0,(35-Schedule_Inputs!$B$27)/Schedule_Inputs!$E$27&lt;Schedule_Inputs!$D$27),$C27/Schedule_Inputs!$D$27,0),0))))</f>
        <v>4000</v>
      </c>
      <c r="AN27" s="31">
        <f>IF(Schedule_Inputs!$C$27="Blueprint",$C27*IF(36-Schedule_Inputs!$B$27=0,Assumptions!$B$21,IF(36-Schedule_Inputs!$B$27=1,Assumptions!$C$21,IF(36-Schedule_Inputs!$B$27=2,Assumptions!$D$21,0))),IF(Schedule_Inputs!$C$27="Launch",$C27*IF(36-Schedule_Inputs!$B$27=0,Assumptions!$B$22,IF(36-Schedule_Inputs!$B$27=1,Assumptions!$C$22,IF(36-Schedule_Inputs!$B$27=2,Assumptions!$D$22,IF(36-Schedule_Inputs!$B$27=3,Assumptions!$B$23,0)))),IF(Schedule_Inputs!$C$27="Office Setup",$C27*IF(36-Schedule_Inputs!$B$27=0,Assumptions!$B$24,IF(36-Schedule_Inputs!$B$27=1,Assumptions!$C$24,IF(36-Schedule_Inputs!$B$27=2,Assumptions!$D$24,0))),IF(OR(Schedule_Inputs!$C$27="Monthly",Schedule_Inputs!$C$27="Periodic"),IF(AND(36&gt;=Schedule_Inputs!$B$27,MOD(36-Schedule_Inputs!$B$27,Schedule_Inputs!$E$27)=0,(36-Schedule_Inputs!$B$27)/Schedule_Inputs!$E$27&lt;Schedule_Inputs!$D$27),$C27/Schedule_Inputs!$D$27,0),0))))</f>
        <v>4000</v>
      </c>
    </row>
    <row r="28" spans="1:40">
      <c r="A28" s="32" t="s">
        <v>258</v>
      </c>
      <c r="B28" s="32"/>
      <c r="C28" s="33">
        <f>SUM(C4:C27)</f>
        <v>804500</v>
      </c>
      <c r="D28" s="33"/>
      <c r="E28" s="33">
        <f t="shared" ref="E28:AN28" si="0">SUM(E4:E27)</f>
        <v>0</v>
      </c>
      <c r="F28" s="33">
        <f t="shared" si="0"/>
        <v>0</v>
      </c>
      <c r="G28" s="33">
        <f t="shared" si="0"/>
        <v>5000</v>
      </c>
      <c r="H28" s="33">
        <f t="shared" si="0"/>
        <v>5000</v>
      </c>
      <c r="I28" s="33">
        <f t="shared" si="0"/>
        <v>2500</v>
      </c>
      <c r="J28" s="33">
        <f t="shared" si="0"/>
        <v>5000</v>
      </c>
      <c r="K28" s="33">
        <f t="shared" si="0"/>
        <v>13850</v>
      </c>
      <c r="L28" s="33">
        <f t="shared" si="0"/>
        <v>11350</v>
      </c>
      <c r="M28" s="33">
        <f t="shared" si="0"/>
        <v>8850</v>
      </c>
      <c r="N28" s="33">
        <f t="shared" si="0"/>
        <v>18450</v>
      </c>
      <c r="O28" s="33">
        <f t="shared" si="0"/>
        <v>12500</v>
      </c>
      <c r="P28" s="33">
        <f t="shared" si="0"/>
        <v>11000</v>
      </c>
      <c r="Q28" s="33">
        <f t="shared" si="0"/>
        <v>14400</v>
      </c>
      <c r="R28" s="33">
        <f t="shared" si="0"/>
        <v>29400</v>
      </c>
      <c r="S28" s="33">
        <f t="shared" si="0"/>
        <v>25200</v>
      </c>
      <c r="T28" s="33">
        <f t="shared" si="0"/>
        <v>29400</v>
      </c>
      <c r="U28" s="33">
        <f t="shared" si="0"/>
        <v>22400</v>
      </c>
      <c r="V28" s="33">
        <f t="shared" si="0"/>
        <v>37700</v>
      </c>
      <c r="W28" s="33">
        <f t="shared" si="0"/>
        <v>36900</v>
      </c>
      <c r="X28" s="33">
        <f t="shared" si="0"/>
        <v>37400</v>
      </c>
      <c r="Y28" s="33">
        <f t="shared" si="0"/>
        <v>15200</v>
      </c>
      <c r="Z28" s="33">
        <f t="shared" si="0"/>
        <v>6000</v>
      </c>
      <c r="AA28" s="33">
        <f t="shared" si="0"/>
        <v>9000</v>
      </c>
      <c r="AB28" s="33">
        <f t="shared" si="0"/>
        <v>6000</v>
      </c>
      <c r="AC28" s="33">
        <f t="shared" si="0"/>
        <v>40900</v>
      </c>
      <c r="AD28" s="33">
        <f t="shared" si="0"/>
        <v>40900</v>
      </c>
      <c r="AE28" s="33">
        <f t="shared" si="0"/>
        <v>59100</v>
      </c>
      <c r="AF28" s="33">
        <f t="shared" si="0"/>
        <v>38300</v>
      </c>
      <c r="AG28" s="33">
        <f t="shared" si="0"/>
        <v>34200</v>
      </c>
      <c r="AH28" s="33">
        <f t="shared" si="0"/>
        <v>40900</v>
      </c>
      <c r="AI28" s="33">
        <f t="shared" si="0"/>
        <v>45100</v>
      </c>
      <c r="AJ28" s="33">
        <f t="shared" si="0"/>
        <v>54900</v>
      </c>
      <c r="AK28" s="33">
        <f t="shared" si="0"/>
        <v>34100</v>
      </c>
      <c r="AL28" s="33">
        <f t="shared" si="0"/>
        <v>21600</v>
      </c>
      <c r="AM28" s="33">
        <f t="shared" si="0"/>
        <v>16000</v>
      </c>
      <c r="AN28" s="33">
        <f t="shared" si="0"/>
        <v>16000</v>
      </c>
    </row>
  </sheetData>
  <mergeCells count="1">
    <mergeCell ref="A1:A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30"/>
  <sheetViews>
    <sheetView showGridLines="0" workbookViewId="0"/>
  </sheetViews>
  <sheetFormatPr baseColWidth="10" defaultColWidth="8.6640625" defaultRowHeight="14"/>
  <cols>
    <col min="1" max="1" width="32" customWidth="1"/>
    <col min="2" max="37" width="12" customWidth="1"/>
  </cols>
  <sheetData>
    <row r="1" spans="1:37" ht="28" customHeight="1">
      <c r="A1" s="88" t="s">
        <v>259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</row>
    <row r="2" spans="1:3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>
      <c r="A3" s="22" t="s">
        <v>260</v>
      </c>
      <c r="B3" s="22" t="s">
        <v>193</v>
      </c>
      <c r="C3" s="22" t="s">
        <v>194</v>
      </c>
      <c r="D3" s="22" t="s">
        <v>195</v>
      </c>
      <c r="E3" s="22" t="s">
        <v>196</v>
      </c>
      <c r="F3" s="22" t="s">
        <v>197</v>
      </c>
      <c r="G3" s="22" t="s">
        <v>198</v>
      </c>
      <c r="H3" s="22" t="s">
        <v>199</v>
      </c>
      <c r="I3" s="22" t="s">
        <v>200</v>
      </c>
      <c r="J3" s="22" t="s">
        <v>201</v>
      </c>
      <c r="K3" s="22" t="s">
        <v>202</v>
      </c>
      <c r="L3" s="22" t="s">
        <v>203</v>
      </c>
      <c r="M3" s="22" t="s">
        <v>204</v>
      </c>
      <c r="N3" s="22" t="s">
        <v>205</v>
      </c>
      <c r="O3" s="22" t="s">
        <v>206</v>
      </c>
      <c r="P3" s="22" t="s">
        <v>207</v>
      </c>
      <c r="Q3" s="22" t="s">
        <v>208</v>
      </c>
      <c r="R3" s="22" t="s">
        <v>209</v>
      </c>
      <c r="S3" s="22" t="s">
        <v>210</v>
      </c>
      <c r="T3" s="22" t="s">
        <v>211</v>
      </c>
      <c r="U3" s="22" t="s">
        <v>212</v>
      </c>
      <c r="V3" s="22" t="s">
        <v>213</v>
      </c>
      <c r="W3" s="22" t="s">
        <v>214</v>
      </c>
      <c r="X3" s="22" t="s">
        <v>215</v>
      </c>
      <c r="Y3" s="22" t="s">
        <v>216</v>
      </c>
      <c r="Z3" s="22" t="s">
        <v>217</v>
      </c>
      <c r="AA3" s="22" t="s">
        <v>218</v>
      </c>
      <c r="AB3" s="22" t="s">
        <v>219</v>
      </c>
      <c r="AC3" s="22" t="s">
        <v>220</v>
      </c>
      <c r="AD3" s="22" t="s">
        <v>221</v>
      </c>
      <c r="AE3" s="22" t="s">
        <v>222</v>
      </c>
      <c r="AF3" s="22" t="s">
        <v>223</v>
      </c>
      <c r="AG3" s="22" t="s">
        <v>224</v>
      </c>
      <c r="AH3" s="22" t="s">
        <v>225</v>
      </c>
      <c r="AI3" s="22" t="s">
        <v>226</v>
      </c>
      <c r="AJ3" s="22" t="s">
        <v>227</v>
      </c>
      <c r="AK3" s="22" t="s">
        <v>228</v>
      </c>
    </row>
    <row r="4" spans="1:37">
      <c r="A4" s="35" t="s">
        <v>261</v>
      </c>
      <c r="B4" s="36">
        <f>Contract_Cash!E28</f>
        <v>0</v>
      </c>
      <c r="C4" s="36">
        <f>Contract_Cash!F28</f>
        <v>0</v>
      </c>
      <c r="D4" s="36">
        <f>Contract_Cash!G28</f>
        <v>5000</v>
      </c>
      <c r="E4" s="36">
        <f>Contract_Cash!H28</f>
        <v>5000</v>
      </c>
      <c r="F4" s="36">
        <f>Contract_Cash!I28</f>
        <v>2500</v>
      </c>
      <c r="G4" s="36">
        <f>Contract_Cash!J28</f>
        <v>5000</v>
      </c>
      <c r="H4" s="36">
        <f>Contract_Cash!K28</f>
        <v>13850</v>
      </c>
      <c r="I4" s="36">
        <f>Contract_Cash!L28</f>
        <v>11350</v>
      </c>
      <c r="J4" s="36">
        <f>Contract_Cash!M28</f>
        <v>8850</v>
      </c>
      <c r="K4" s="36">
        <f>Contract_Cash!N28</f>
        <v>18450</v>
      </c>
      <c r="L4" s="36">
        <f>Contract_Cash!O28</f>
        <v>12500</v>
      </c>
      <c r="M4" s="36">
        <f>Contract_Cash!P28</f>
        <v>11000</v>
      </c>
      <c r="N4" s="36">
        <f>Contract_Cash!Q28</f>
        <v>14400</v>
      </c>
      <c r="O4" s="36">
        <f>Contract_Cash!R28</f>
        <v>29400</v>
      </c>
      <c r="P4" s="36">
        <f>Contract_Cash!S28</f>
        <v>25200</v>
      </c>
      <c r="Q4" s="36">
        <f>Contract_Cash!T28</f>
        <v>29400</v>
      </c>
      <c r="R4" s="36">
        <f>Contract_Cash!U28</f>
        <v>22400</v>
      </c>
      <c r="S4" s="36">
        <f>Contract_Cash!V28</f>
        <v>37700</v>
      </c>
      <c r="T4" s="36">
        <f>Contract_Cash!W28</f>
        <v>36900</v>
      </c>
      <c r="U4" s="36">
        <f>Contract_Cash!X28</f>
        <v>37400</v>
      </c>
      <c r="V4" s="36">
        <f>Contract_Cash!Y28</f>
        <v>15200</v>
      </c>
      <c r="W4" s="36">
        <f>Contract_Cash!Z28</f>
        <v>6000</v>
      </c>
      <c r="X4" s="36">
        <f>Contract_Cash!AA28</f>
        <v>9000</v>
      </c>
      <c r="Y4" s="36">
        <f>Contract_Cash!AB28</f>
        <v>6000</v>
      </c>
      <c r="Z4" s="36">
        <f>Contract_Cash!AC28</f>
        <v>40900</v>
      </c>
      <c r="AA4" s="36">
        <f>Contract_Cash!AD28</f>
        <v>40900</v>
      </c>
      <c r="AB4" s="36">
        <f>Contract_Cash!AE28</f>
        <v>59100</v>
      </c>
      <c r="AC4" s="36">
        <f>Contract_Cash!AF28</f>
        <v>38300</v>
      </c>
      <c r="AD4" s="36">
        <f>Contract_Cash!AG28</f>
        <v>34200</v>
      </c>
      <c r="AE4" s="36">
        <f>Contract_Cash!AH28</f>
        <v>40900</v>
      </c>
      <c r="AF4" s="36">
        <f>Contract_Cash!AI28</f>
        <v>45100</v>
      </c>
      <c r="AG4" s="36">
        <f>Contract_Cash!AJ28</f>
        <v>54900</v>
      </c>
      <c r="AH4" s="36">
        <f>Contract_Cash!AK28</f>
        <v>34100</v>
      </c>
      <c r="AI4" s="36">
        <f>Contract_Cash!AL28</f>
        <v>21600</v>
      </c>
      <c r="AJ4" s="36">
        <f>Contract_Cash!AM28</f>
        <v>16000</v>
      </c>
      <c r="AK4" s="36">
        <f>Contract_Cash!AN28</f>
        <v>16000</v>
      </c>
    </row>
    <row r="5" spans="1:37">
      <c r="A5" s="35" t="s">
        <v>262</v>
      </c>
      <c r="B5" s="36">
        <f>B4*Assumptions!B6</f>
        <v>0</v>
      </c>
      <c r="C5" s="36">
        <f>C4*Assumptions!B6</f>
        <v>0</v>
      </c>
      <c r="D5" s="36">
        <f>D4*Assumptions!B6</f>
        <v>950</v>
      </c>
      <c r="E5" s="36">
        <f>E4*Assumptions!B6</f>
        <v>950</v>
      </c>
      <c r="F5" s="36">
        <f>F4*Assumptions!B6</f>
        <v>475</v>
      </c>
      <c r="G5" s="36">
        <f>G4*Assumptions!B6</f>
        <v>950</v>
      </c>
      <c r="H5" s="36">
        <f>H4*Assumptions!B6</f>
        <v>2631.5</v>
      </c>
      <c r="I5" s="36">
        <f>I4*Assumptions!B6</f>
        <v>2156.5</v>
      </c>
      <c r="J5" s="36">
        <f>J4*Assumptions!B6</f>
        <v>1681.5</v>
      </c>
      <c r="K5" s="36">
        <f>K4*Assumptions!B6</f>
        <v>3505.5</v>
      </c>
      <c r="L5" s="36">
        <f>L4*Assumptions!B6</f>
        <v>2375</v>
      </c>
      <c r="M5" s="36">
        <f>M4*Assumptions!B6</f>
        <v>2090</v>
      </c>
      <c r="N5" s="36">
        <f>N4*Assumptions!C6</f>
        <v>2736</v>
      </c>
      <c r="O5" s="36">
        <f>O4*Assumptions!C6</f>
        <v>5586</v>
      </c>
      <c r="P5" s="36">
        <f>P4*Assumptions!C6</f>
        <v>4788</v>
      </c>
      <c r="Q5" s="36">
        <f>Q4*Assumptions!C6</f>
        <v>5586</v>
      </c>
      <c r="R5" s="36">
        <f>R4*Assumptions!C6</f>
        <v>4256</v>
      </c>
      <c r="S5" s="36">
        <f>S4*Assumptions!C6</f>
        <v>7163</v>
      </c>
      <c r="T5" s="36">
        <f>T4*Assumptions!C6</f>
        <v>7011</v>
      </c>
      <c r="U5" s="36">
        <f>U4*Assumptions!C6</f>
        <v>7106</v>
      </c>
      <c r="V5" s="36">
        <f>V4*Assumptions!C6</f>
        <v>2888</v>
      </c>
      <c r="W5" s="36">
        <f>W4*Assumptions!C6</f>
        <v>1140</v>
      </c>
      <c r="X5" s="36">
        <f>X4*Assumptions!C6</f>
        <v>1710</v>
      </c>
      <c r="Y5" s="36">
        <f>Y4*Assumptions!C6</f>
        <v>1140</v>
      </c>
      <c r="Z5" s="36">
        <f>Z4*Assumptions!D6</f>
        <v>7771</v>
      </c>
      <c r="AA5" s="36">
        <f>AA4*Assumptions!D6</f>
        <v>7771</v>
      </c>
      <c r="AB5" s="36">
        <f>AB4*Assumptions!D6</f>
        <v>11229</v>
      </c>
      <c r="AC5" s="36">
        <f>AC4*Assumptions!D6</f>
        <v>7277</v>
      </c>
      <c r="AD5" s="36">
        <f>AD4*Assumptions!D6</f>
        <v>6498</v>
      </c>
      <c r="AE5" s="36">
        <f>AE4*Assumptions!D6</f>
        <v>7771</v>
      </c>
      <c r="AF5" s="36">
        <f>AF4*Assumptions!D6</f>
        <v>8569</v>
      </c>
      <c r="AG5" s="36">
        <f>AG4*Assumptions!D6</f>
        <v>10431</v>
      </c>
      <c r="AH5" s="36">
        <f>AH4*Assumptions!D6</f>
        <v>6479</v>
      </c>
      <c r="AI5" s="36">
        <f>AI4*Assumptions!D6</f>
        <v>4104</v>
      </c>
      <c r="AJ5" s="36">
        <f>AJ4*Assumptions!D6</f>
        <v>3040</v>
      </c>
      <c r="AK5" s="36">
        <f>AK4*Assumptions!D6</f>
        <v>3040</v>
      </c>
    </row>
    <row r="6" spans="1:37">
      <c r="A6" s="35" t="s">
        <v>263</v>
      </c>
      <c r="B6" s="36">
        <f>0</f>
        <v>0</v>
      </c>
      <c r="C6" s="36">
        <f t="shared" ref="C6:AK6" si="0">B5</f>
        <v>0</v>
      </c>
      <c r="D6" s="36">
        <f t="shared" si="0"/>
        <v>0</v>
      </c>
      <c r="E6" s="36">
        <f t="shared" si="0"/>
        <v>950</v>
      </c>
      <c r="F6" s="36">
        <f t="shared" si="0"/>
        <v>950</v>
      </c>
      <c r="G6" s="36">
        <f t="shared" si="0"/>
        <v>475</v>
      </c>
      <c r="H6" s="36">
        <f t="shared" si="0"/>
        <v>950</v>
      </c>
      <c r="I6" s="36">
        <f t="shared" si="0"/>
        <v>2631.5</v>
      </c>
      <c r="J6" s="36">
        <f t="shared" si="0"/>
        <v>2156.5</v>
      </c>
      <c r="K6" s="36">
        <f t="shared" si="0"/>
        <v>1681.5</v>
      </c>
      <c r="L6" s="36">
        <f t="shared" si="0"/>
        <v>3505.5</v>
      </c>
      <c r="M6" s="36">
        <f t="shared" si="0"/>
        <v>2375</v>
      </c>
      <c r="N6" s="36">
        <f t="shared" si="0"/>
        <v>2090</v>
      </c>
      <c r="O6" s="36">
        <f t="shared" si="0"/>
        <v>2736</v>
      </c>
      <c r="P6" s="36">
        <f t="shared" si="0"/>
        <v>5586</v>
      </c>
      <c r="Q6" s="36">
        <f t="shared" si="0"/>
        <v>4788</v>
      </c>
      <c r="R6" s="36">
        <f t="shared" si="0"/>
        <v>5586</v>
      </c>
      <c r="S6" s="36">
        <f t="shared" si="0"/>
        <v>4256</v>
      </c>
      <c r="T6" s="36">
        <f t="shared" si="0"/>
        <v>7163</v>
      </c>
      <c r="U6" s="36">
        <f t="shared" si="0"/>
        <v>7011</v>
      </c>
      <c r="V6" s="36">
        <f t="shared" si="0"/>
        <v>7106</v>
      </c>
      <c r="W6" s="36">
        <f t="shared" si="0"/>
        <v>2888</v>
      </c>
      <c r="X6" s="36">
        <f t="shared" si="0"/>
        <v>1140</v>
      </c>
      <c r="Y6" s="36">
        <f t="shared" si="0"/>
        <v>1710</v>
      </c>
      <c r="Z6" s="36">
        <f t="shared" si="0"/>
        <v>1140</v>
      </c>
      <c r="AA6" s="36">
        <f t="shared" si="0"/>
        <v>7771</v>
      </c>
      <c r="AB6" s="36">
        <f t="shared" si="0"/>
        <v>7771</v>
      </c>
      <c r="AC6" s="36">
        <f t="shared" si="0"/>
        <v>11229</v>
      </c>
      <c r="AD6" s="36">
        <f t="shared" si="0"/>
        <v>7277</v>
      </c>
      <c r="AE6" s="36">
        <f t="shared" si="0"/>
        <v>6498</v>
      </c>
      <c r="AF6" s="36">
        <f t="shared" si="0"/>
        <v>7771</v>
      </c>
      <c r="AG6" s="36">
        <f t="shared" si="0"/>
        <v>8569</v>
      </c>
      <c r="AH6" s="36">
        <f t="shared" si="0"/>
        <v>10431</v>
      </c>
      <c r="AI6" s="36">
        <f t="shared" si="0"/>
        <v>6479</v>
      </c>
      <c r="AJ6" s="36">
        <f t="shared" si="0"/>
        <v>4104</v>
      </c>
      <c r="AK6" s="36">
        <f t="shared" si="0"/>
        <v>3040</v>
      </c>
    </row>
    <row r="7" spans="1:37">
      <c r="A7" s="35" t="s">
        <v>264</v>
      </c>
      <c r="B7" s="36">
        <f t="shared" ref="B7:AK7" si="1">B4+B5-B6</f>
        <v>0</v>
      </c>
      <c r="C7" s="36">
        <f t="shared" si="1"/>
        <v>0</v>
      </c>
      <c r="D7" s="36">
        <f t="shared" si="1"/>
        <v>5950</v>
      </c>
      <c r="E7" s="36">
        <f t="shared" si="1"/>
        <v>5000</v>
      </c>
      <c r="F7" s="36">
        <f t="shared" si="1"/>
        <v>2025</v>
      </c>
      <c r="G7" s="36">
        <f t="shared" si="1"/>
        <v>5475</v>
      </c>
      <c r="H7" s="36">
        <f t="shared" si="1"/>
        <v>15531.5</v>
      </c>
      <c r="I7" s="36">
        <f t="shared" si="1"/>
        <v>10875</v>
      </c>
      <c r="J7" s="36">
        <f t="shared" si="1"/>
        <v>8375</v>
      </c>
      <c r="K7" s="36">
        <f t="shared" si="1"/>
        <v>20274</v>
      </c>
      <c r="L7" s="36">
        <f t="shared" si="1"/>
        <v>11369.5</v>
      </c>
      <c r="M7" s="36">
        <f t="shared" si="1"/>
        <v>10715</v>
      </c>
      <c r="N7" s="36">
        <f t="shared" si="1"/>
        <v>15046</v>
      </c>
      <c r="O7" s="36">
        <f t="shared" si="1"/>
        <v>32250</v>
      </c>
      <c r="P7" s="36">
        <f t="shared" si="1"/>
        <v>24402</v>
      </c>
      <c r="Q7" s="36">
        <f t="shared" si="1"/>
        <v>30198</v>
      </c>
      <c r="R7" s="36">
        <f t="shared" si="1"/>
        <v>21070</v>
      </c>
      <c r="S7" s="36">
        <f t="shared" si="1"/>
        <v>40607</v>
      </c>
      <c r="T7" s="36">
        <f t="shared" si="1"/>
        <v>36748</v>
      </c>
      <c r="U7" s="36">
        <f t="shared" si="1"/>
        <v>37495</v>
      </c>
      <c r="V7" s="36">
        <f t="shared" si="1"/>
        <v>10982</v>
      </c>
      <c r="W7" s="36">
        <f t="shared" si="1"/>
        <v>4252</v>
      </c>
      <c r="X7" s="36">
        <f t="shared" si="1"/>
        <v>9570</v>
      </c>
      <c r="Y7" s="36">
        <f t="shared" si="1"/>
        <v>5430</v>
      </c>
      <c r="Z7" s="36">
        <f t="shared" si="1"/>
        <v>47531</v>
      </c>
      <c r="AA7" s="36">
        <f t="shared" si="1"/>
        <v>40900</v>
      </c>
      <c r="AB7" s="36">
        <f t="shared" si="1"/>
        <v>62558</v>
      </c>
      <c r="AC7" s="36">
        <f t="shared" si="1"/>
        <v>34348</v>
      </c>
      <c r="AD7" s="36">
        <f t="shared" si="1"/>
        <v>33421</v>
      </c>
      <c r="AE7" s="36">
        <f t="shared" si="1"/>
        <v>42173</v>
      </c>
      <c r="AF7" s="36">
        <f t="shared" si="1"/>
        <v>45898</v>
      </c>
      <c r="AG7" s="36">
        <f t="shared" si="1"/>
        <v>56762</v>
      </c>
      <c r="AH7" s="36">
        <f t="shared" si="1"/>
        <v>30148</v>
      </c>
      <c r="AI7" s="36">
        <f t="shared" si="1"/>
        <v>19225</v>
      </c>
      <c r="AJ7" s="36">
        <f t="shared" si="1"/>
        <v>14936</v>
      </c>
      <c r="AK7" s="36">
        <f t="shared" si="1"/>
        <v>16000</v>
      </c>
    </row>
    <row r="8" spans="1:37">
      <c r="A8" s="35" t="s">
        <v>265</v>
      </c>
      <c r="B8" s="36">
        <f>B4*Assumptions!B7</f>
        <v>0</v>
      </c>
      <c r="C8" s="36">
        <f>C4*Assumptions!B7</f>
        <v>0</v>
      </c>
      <c r="D8" s="36">
        <f>D4*Assumptions!B7</f>
        <v>500</v>
      </c>
      <c r="E8" s="36">
        <f>E4*Assumptions!B7</f>
        <v>500</v>
      </c>
      <c r="F8" s="36">
        <f>F4*Assumptions!B7</f>
        <v>250</v>
      </c>
      <c r="G8" s="36">
        <f>G4*Assumptions!B7</f>
        <v>500</v>
      </c>
      <c r="H8" s="36">
        <f>H4*Assumptions!B7</f>
        <v>1385</v>
      </c>
      <c r="I8" s="36">
        <f>I4*Assumptions!B7</f>
        <v>1135</v>
      </c>
      <c r="J8" s="36">
        <f>J4*Assumptions!B7</f>
        <v>885</v>
      </c>
      <c r="K8" s="36">
        <f>K4*Assumptions!B7</f>
        <v>1845</v>
      </c>
      <c r="L8" s="36">
        <f>L4*Assumptions!B7</f>
        <v>1250</v>
      </c>
      <c r="M8" s="36">
        <f>M4*Assumptions!B7</f>
        <v>1100</v>
      </c>
      <c r="N8" s="36">
        <f>N4*Assumptions!C7</f>
        <v>1728</v>
      </c>
      <c r="O8" s="36">
        <f>O4*Assumptions!C7</f>
        <v>3528</v>
      </c>
      <c r="P8" s="36">
        <f>P4*Assumptions!C7</f>
        <v>3024</v>
      </c>
      <c r="Q8" s="36">
        <f>Q4*Assumptions!C7</f>
        <v>3528</v>
      </c>
      <c r="R8" s="36">
        <f>R4*Assumptions!C7</f>
        <v>2688</v>
      </c>
      <c r="S8" s="36">
        <f>S4*Assumptions!C7</f>
        <v>4524</v>
      </c>
      <c r="T8" s="36">
        <f>T4*Assumptions!C7</f>
        <v>4428</v>
      </c>
      <c r="U8" s="36">
        <f>U4*Assumptions!C7</f>
        <v>4488</v>
      </c>
      <c r="V8" s="36">
        <f>V4*Assumptions!C7</f>
        <v>1824</v>
      </c>
      <c r="W8" s="36">
        <f>W4*Assumptions!C7</f>
        <v>720</v>
      </c>
      <c r="X8" s="36">
        <f>X4*Assumptions!C7</f>
        <v>1080</v>
      </c>
      <c r="Y8" s="36">
        <f>Y4*Assumptions!C7</f>
        <v>720</v>
      </c>
      <c r="Z8" s="36">
        <f>Z4*Assumptions!D7</f>
        <v>6135</v>
      </c>
      <c r="AA8" s="36">
        <f>AA4*Assumptions!D7</f>
        <v>6135</v>
      </c>
      <c r="AB8" s="36">
        <f>AB4*Assumptions!D7</f>
        <v>8865</v>
      </c>
      <c r="AC8" s="36">
        <f>AC4*Assumptions!D7</f>
        <v>5745</v>
      </c>
      <c r="AD8" s="36">
        <f>AD4*Assumptions!D7</f>
        <v>5130</v>
      </c>
      <c r="AE8" s="36">
        <f>AE4*Assumptions!D7</f>
        <v>6135</v>
      </c>
      <c r="AF8" s="36">
        <f>AF4*Assumptions!D7</f>
        <v>6765</v>
      </c>
      <c r="AG8" s="36">
        <f>AG4*Assumptions!D7</f>
        <v>8235</v>
      </c>
      <c r="AH8" s="36">
        <f>AH4*Assumptions!D7</f>
        <v>5115</v>
      </c>
      <c r="AI8" s="36">
        <f>AI4*Assumptions!D7</f>
        <v>3240</v>
      </c>
      <c r="AJ8" s="36">
        <f>AJ4*Assumptions!D7</f>
        <v>2400</v>
      </c>
      <c r="AK8" s="36">
        <f>AK4*Assumptions!D7</f>
        <v>2400</v>
      </c>
    </row>
    <row r="9" spans="1:37">
      <c r="A9" s="35" t="s">
        <v>266</v>
      </c>
      <c r="B9" s="36">
        <f>Assumptions!B8</f>
        <v>1600</v>
      </c>
      <c r="C9" s="36">
        <f>Assumptions!B8</f>
        <v>1600</v>
      </c>
      <c r="D9" s="36">
        <f>Assumptions!B8</f>
        <v>1600</v>
      </c>
      <c r="E9" s="36">
        <f>Assumptions!B8</f>
        <v>1600</v>
      </c>
      <c r="F9" s="36">
        <f>Assumptions!B8</f>
        <v>1600</v>
      </c>
      <c r="G9" s="36">
        <f>Assumptions!B8</f>
        <v>1600</v>
      </c>
      <c r="H9" s="36">
        <f>Assumptions!B8</f>
        <v>1600</v>
      </c>
      <c r="I9" s="36">
        <f>Assumptions!B8</f>
        <v>1600</v>
      </c>
      <c r="J9" s="36">
        <f>Assumptions!B8</f>
        <v>1600</v>
      </c>
      <c r="K9" s="36">
        <f>Assumptions!B8</f>
        <v>1600</v>
      </c>
      <c r="L9" s="36">
        <f>Assumptions!B8</f>
        <v>1600</v>
      </c>
      <c r="M9" s="36">
        <f>Assumptions!B8</f>
        <v>1600</v>
      </c>
      <c r="N9" s="36">
        <f>Assumptions!C8</f>
        <v>2200</v>
      </c>
      <c r="O9" s="36">
        <f>Assumptions!C8</f>
        <v>2200</v>
      </c>
      <c r="P9" s="36">
        <f>Assumptions!C8</f>
        <v>2200</v>
      </c>
      <c r="Q9" s="36">
        <f>Assumptions!C8</f>
        <v>2200</v>
      </c>
      <c r="R9" s="36">
        <f>Assumptions!C8</f>
        <v>2200</v>
      </c>
      <c r="S9" s="36">
        <f>Assumptions!C8</f>
        <v>2200</v>
      </c>
      <c r="T9" s="36">
        <f>Assumptions!C8</f>
        <v>2200</v>
      </c>
      <c r="U9" s="36">
        <f>Assumptions!C8</f>
        <v>2200</v>
      </c>
      <c r="V9" s="36">
        <f>Assumptions!C8</f>
        <v>2200</v>
      </c>
      <c r="W9" s="36">
        <f>Assumptions!C8</f>
        <v>2200</v>
      </c>
      <c r="X9" s="36">
        <f>Assumptions!C8</f>
        <v>2200</v>
      </c>
      <c r="Y9" s="36">
        <f>Assumptions!C8</f>
        <v>2200</v>
      </c>
      <c r="Z9" s="36">
        <f>Assumptions!D8</f>
        <v>3200</v>
      </c>
      <c r="AA9" s="36">
        <f>Assumptions!D8</f>
        <v>3200</v>
      </c>
      <c r="AB9" s="36">
        <f>Assumptions!D8</f>
        <v>3200</v>
      </c>
      <c r="AC9" s="36">
        <f>Assumptions!D8</f>
        <v>3200</v>
      </c>
      <c r="AD9" s="36">
        <f>Assumptions!D8</f>
        <v>3200</v>
      </c>
      <c r="AE9" s="36">
        <f>Assumptions!D8</f>
        <v>3200</v>
      </c>
      <c r="AF9" s="36">
        <f>Assumptions!D8</f>
        <v>3200</v>
      </c>
      <c r="AG9" s="36">
        <f>Assumptions!D8</f>
        <v>3200</v>
      </c>
      <c r="AH9" s="36">
        <f>Assumptions!D8</f>
        <v>3200</v>
      </c>
      <c r="AI9" s="36">
        <f>Assumptions!D8</f>
        <v>3200</v>
      </c>
      <c r="AJ9" s="36">
        <f>Assumptions!D8</f>
        <v>3200</v>
      </c>
      <c r="AK9" s="36">
        <f>Assumptions!D8</f>
        <v>3200</v>
      </c>
    </row>
    <row r="10" spans="1:37">
      <c r="A10" s="35" t="s">
        <v>267</v>
      </c>
      <c r="B10" s="36">
        <f>Assumptions!B9</f>
        <v>2500</v>
      </c>
      <c r="C10" s="36">
        <f>Assumptions!B9</f>
        <v>2500</v>
      </c>
      <c r="D10" s="36">
        <f>Assumptions!B9</f>
        <v>2500</v>
      </c>
      <c r="E10" s="36">
        <f>Assumptions!B9</f>
        <v>2500</v>
      </c>
      <c r="F10" s="36">
        <f>Assumptions!B9</f>
        <v>2500</v>
      </c>
      <c r="G10" s="36">
        <f>Assumptions!B9</f>
        <v>2500</v>
      </c>
      <c r="H10" s="36">
        <f>Assumptions!B9</f>
        <v>2500</v>
      </c>
      <c r="I10" s="36">
        <f>Assumptions!B9</f>
        <v>2500</v>
      </c>
      <c r="J10" s="36">
        <f>Assumptions!B9</f>
        <v>2500</v>
      </c>
      <c r="K10" s="36">
        <f>Assumptions!B9</f>
        <v>2500</v>
      </c>
      <c r="L10" s="36">
        <f>Assumptions!B9</f>
        <v>2500</v>
      </c>
      <c r="M10" s="36">
        <f>Assumptions!B9</f>
        <v>2500</v>
      </c>
      <c r="N10" s="36">
        <f>Assumptions!C9</f>
        <v>3500</v>
      </c>
      <c r="O10" s="36">
        <f>Assumptions!C9</f>
        <v>3500</v>
      </c>
      <c r="P10" s="36">
        <f>Assumptions!C9</f>
        <v>3500</v>
      </c>
      <c r="Q10" s="36">
        <f>Assumptions!C9</f>
        <v>3500</v>
      </c>
      <c r="R10" s="36">
        <f>Assumptions!C9</f>
        <v>3500</v>
      </c>
      <c r="S10" s="36">
        <f>Assumptions!C9</f>
        <v>3500</v>
      </c>
      <c r="T10" s="36">
        <f>Assumptions!C9</f>
        <v>3500</v>
      </c>
      <c r="U10" s="36">
        <f>Assumptions!C9</f>
        <v>3500</v>
      </c>
      <c r="V10" s="36">
        <f>Assumptions!C9</f>
        <v>3500</v>
      </c>
      <c r="W10" s="36">
        <f>Assumptions!C9</f>
        <v>3500</v>
      </c>
      <c r="X10" s="36">
        <f>Assumptions!C9</f>
        <v>3500</v>
      </c>
      <c r="Y10" s="36">
        <f>Assumptions!C9</f>
        <v>3500</v>
      </c>
      <c r="Z10" s="36">
        <f>Assumptions!D9</f>
        <v>5000</v>
      </c>
      <c r="AA10" s="36">
        <f>Assumptions!D9</f>
        <v>5000</v>
      </c>
      <c r="AB10" s="36">
        <f>Assumptions!D9</f>
        <v>5000</v>
      </c>
      <c r="AC10" s="36">
        <f>Assumptions!D9</f>
        <v>5000</v>
      </c>
      <c r="AD10" s="36">
        <f>Assumptions!D9</f>
        <v>5000</v>
      </c>
      <c r="AE10" s="36">
        <f>Assumptions!D9</f>
        <v>5000</v>
      </c>
      <c r="AF10" s="36">
        <f>Assumptions!D9</f>
        <v>5000</v>
      </c>
      <c r="AG10" s="36">
        <f>Assumptions!D9</f>
        <v>5000</v>
      </c>
      <c r="AH10" s="36">
        <f>Assumptions!D9</f>
        <v>5000</v>
      </c>
      <c r="AI10" s="36">
        <f>Assumptions!D9</f>
        <v>5000</v>
      </c>
      <c r="AJ10" s="36">
        <f>Assumptions!D9</f>
        <v>5000</v>
      </c>
      <c r="AK10" s="36">
        <f>Assumptions!D9</f>
        <v>5000</v>
      </c>
    </row>
    <row r="11" spans="1:37">
      <c r="A11" s="35" t="s">
        <v>268</v>
      </c>
      <c r="B11" s="36">
        <f>Assumptions!B10</f>
        <v>0</v>
      </c>
      <c r="C11" s="36">
        <f>Assumptions!B10</f>
        <v>0</v>
      </c>
      <c r="D11" s="36">
        <f>Assumptions!B10</f>
        <v>0</v>
      </c>
      <c r="E11" s="36">
        <f>Assumptions!B10</f>
        <v>0</v>
      </c>
      <c r="F11" s="36">
        <f>Assumptions!B10</f>
        <v>0</v>
      </c>
      <c r="G11" s="36">
        <f>Assumptions!B10</f>
        <v>0</v>
      </c>
      <c r="H11" s="36">
        <f>Assumptions!B10</f>
        <v>0</v>
      </c>
      <c r="I11" s="36">
        <f>Assumptions!B10</f>
        <v>0</v>
      </c>
      <c r="J11" s="36">
        <f>Assumptions!B10</f>
        <v>0</v>
      </c>
      <c r="K11" s="36">
        <f>Assumptions!B10</f>
        <v>0</v>
      </c>
      <c r="L11" s="36">
        <f>Assumptions!B10</f>
        <v>0</v>
      </c>
      <c r="M11" s="36">
        <f>Assumptions!B10</f>
        <v>0</v>
      </c>
      <c r="N11" s="36">
        <f>Assumptions!C10</f>
        <v>4000</v>
      </c>
      <c r="O11" s="36">
        <f>Assumptions!C10</f>
        <v>4000</v>
      </c>
      <c r="P11" s="36">
        <f>Assumptions!C10</f>
        <v>4000</v>
      </c>
      <c r="Q11" s="36">
        <f>Assumptions!C10</f>
        <v>4000</v>
      </c>
      <c r="R11" s="36">
        <f>Assumptions!C10</f>
        <v>4000</v>
      </c>
      <c r="S11" s="36">
        <f>Assumptions!C10</f>
        <v>4000</v>
      </c>
      <c r="T11" s="36">
        <f>Assumptions!C10</f>
        <v>4000</v>
      </c>
      <c r="U11" s="36">
        <f>Assumptions!C10</f>
        <v>4000</v>
      </c>
      <c r="V11" s="36">
        <f>Assumptions!C10</f>
        <v>4000</v>
      </c>
      <c r="W11" s="36">
        <f>Assumptions!C10</f>
        <v>4000</v>
      </c>
      <c r="X11" s="36">
        <f>Assumptions!C10</f>
        <v>4000</v>
      </c>
      <c r="Y11" s="36">
        <f>Assumptions!C10</f>
        <v>4000</v>
      </c>
      <c r="Z11" s="36">
        <f>Assumptions!D10</f>
        <v>9000</v>
      </c>
      <c r="AA11" s="36">
        <f>Assumptions!D10</f>
        <v>9000</v>
      </c>
      <c r="AB11" s="36">
        <f>Assumptions!D10</f>
        <v>9000</v>
      </c>
      <c r="AC11" s="36">
        <f>Assumptions!D10</f>
        <v>9000</v>
      </c>
      <c r="AD11" s="36">
        <f>Assumptions!D10</f>
        <v>9000</v>
      </c>
      <c r="AE11" s="36">
        <f>Assumptions!D10</f>
        <v>9000</v>
      </c>
      <c r="AF11" s="36">
        <f>Assumptions!D10</f>
        <v>9000</v>
      </c>
      <c r="AG11" s="36">
        <f>Assumptions!D10</f>
        <v>9000</v>
      </c>
      <c r="AH11" s="36">
        <f>Assumptions!D10</f>
        <v>9000</v>
      </c>
      <c r="AI11" s="36">
        <f>Assumptions!D10</f>
        <v>9000</v>
      </c>
      <c r="AJ11" s="36">
        <f>Assumptions!D10</f>
        <v>9000</v>
      </c>
      <c r="AK11" s="36">
        <f>Assumptions!D10</f>
        <v>9000</v>
      </c>
    </row>
    <row r="12" spans="1:37">
      <c r="A12" s="35" t="s">
        <v>153</v>
      </c>
      <c r="B12" s="36">
        <f>Assumptions!$B$12*75%</f>
        <v>1500</v>
      </c>
      <c r="C12" s="36">
        <f>Assumptions!$B$12*25%</f>
        <v>500</v>
      </c>
      <c r="D12" s="36">
        <f>0</f>
        <v>0</v>
      </c>
      <c r="E12" s="36">
        <f>0</f>
        <v>0</v>
      </c>
      <c r="F12" s="36">
        <f>0</f>
        <v>0</v>
      </c>
      <c r="G12" s="36">
        <f>0</f>
        <v>0</v>
      </c>
      <c r="H12" s="36">
        <f>0</f>
        <v>0</v>
      </c>
      <c r="I12" s="36">
        <f>0</f>
        <v>0</v>
      </c>
      <c r="J12" s="36">
        <f>0</f>
        <v>0</v>
      </c>
      <c r="K12" s="36">
        <f>0</f>
        <v>0</v>
      </c>
      <c r="L12" s="36">
        <f>0</f>
        <v>0</v>
      </c>
      <c r="M12" s="36">
        <f>0</f>
        <v>0</v>
      </c>
      <c r="N12" s="36">
        <f>Assumptions!$C$12*50%</f>
        <v>4000</v>
      </c>
      <c r="O12" s="36">
        <f>Assumptions!$C$12*25%</f>
        <v>2000</v>
      </c>
      <c r="P12" s="36">
        <f>Assumptions!$C$12*25%</f>
        <v>2000</v>
      </c>
      <c r="Q12" s="36">
        <f>0</f>
        <v>0</v>
      </c>
      <c r="R12" s="36">
        <f>0</f>
        <v>0</v>
      </c>
      <c r="S12" s="36">
        <f>0</f>
        <v>0</v>
      </c>
      <c r="T12" s="36">
        <f>0</f>
        <v>0</v>
      </c>
      <c r="U12" s="36">
        <f>0</f>
        <v>0</v>
      </c>
      <c r="V12" s="36">
        <f>0</f>
        <v>0</v>
      </c>
      <c r="W12" s="36">
        <f>0</f>
        <v>0</v>
      </c>
      <c r="X12" s="36">
        <f>0</f>
        <v>0</v>
      </c>
      <c r="Y12" s="36">
        <f>0</f>
        <v>0</v>
      </c>
      <c r="Z12" s="36">
        <f>Assumptions!$D$12/3</f>
        <v>5000</v>
      </c>
      <c r="AA12" s="36">
        <f>Assumptions!$D$12/3</f>
        <v>5000</v>
      </c>
      <c r="AB12" s="36">
        <f>Assumptions!$D$12/3</f>
        <v>5000</v>
      </c>
      <c r="AC12" s="36">
        <f>0</f>
        <v>0</v>
      </c>
      <c r="AD12" s="36">
        <f>0</f>
        <v>0</v>
      </c>
      <c r="AE12" s="36">
        <f>0</f>
        <v>0</v>
      </c>
      <c r="AF12" s="36">
        <f>0</f>
        <v>0</v>
      </c>
      <c r="AG12" s="36">
        <f>0</f>
        <v>0</v>
      </c>
      <c r="AH12" s="36">
        <f>0</f>
        <v>0</v>
      </c>
      <c r="AI12" s="36">
        <f>0</f>
        <v>0</v>
      </c>
      <c r="AJ12" s="36">
        <f>0</f>
        <v>0</v>
      </c>
      <c r="AK12" s="36">
        <f>0</f>
        <v>0</v>
      </c>
    </row>
    <row r="13" spans="1:37">
      <c r="A13" s="35" t="s">
        <v>269</v>
      </c>
      <c r="B13" s="36">
        <f t="shared" ref="B13:AK13" si="2">B7-B8-B9-B10-B11-B12</f>
        <v>-5600</v>
      </c>
      <c r="C13" s="36">
        <f t="shared" si="2"/>
        <v>-4600</v>
      </c>
      <c r="D13" s="36">
        <f t="shared" si="2"/>
        <v>1350</v>
      </c>
      <c r="E13" s="36">
        <f t="shared" si="2"/>
        <v>400</v>
      </c>
      <c r="F13" s="36">
        <f t="shared" si="2"/>
        <v>-2325</v>
      </c>
      <c r="G13" s="36">
        <f t="shared" si="2"/>
        <v>875</v>
      </c>
      <c r="H13" s="36">
        <f t="shared" si="2"/>
        <v>10046.5</v>
      </c>
      <c r="I13" s="36">
        <f t="shared" si="2"/>
        <v>5640</v>
      </c>
      <c r="J13" s="36">
        <f t="shared" si="2"/>
        <v>3390</v>
      </c>
      <c r="K13" s="36">
        <f t="shared" si="2"/>
        <v>14329</v>
      </c>
      <c r="L13" s="36">
        <f t="shared" si="2"/>
        <v>6019.5</v>
      </c>
      <c r="M13" s="36">
        <f t="shared" si="2"/>
        <v>5515</v>
      </c>
      <c r="N13" s="36">
        <f t="shared" si="2"/>
        <v>-382</v>
      </c>
      <c r="O13" s="36">
        <f t="shared" si="2"/>
        <v>17022</v>
      </c>
      <c r="P13" s="36">
        <f t="shared" si="2"/>
        <v>9678</v>
      </c>
      <c r="Q13" s="36">
        <f t="shared" si="2"/>
        <v>16970</v>
      </c>
      <c r="R13" s="36">
        <f t="shared" si="2"/>
        <v>8682</v>
      </c>
      <c r="S13" s="36">
        <f t="shared" si="2"/>
        <v>26383</v>
      </c>
      <c r="T13" s="36">
        <f t="shared" si="2"/>
        <v>22620</v>
      </c>
      <c r="U13" s="36">
        <f t="shared" si="2"/>
        <v>23307</v>
      </c>
      <c r="V13" s="36">
        <f t="shared" si="2"/>
        <v>-542</v>
      </c>
      <c r="W13" s="36">
        <f t="shared" si="2"/>
        <v>-6168</v>
      </c>
      <c r="X13" s="36">
        <f t="shared" si="2"/>
        <v>-1210</v>
      </c>
      <c r="Y13" s="36">
        <f t="shared" si="2"/>
        <v>-4990</v>
      </c>
      <c r="Z13" s="36">
        <f t="shared" si="2"/>
        <v>19196</v>
      </c>
      <c r="AA13" s="36">
        <f t="shared" si="2"/>
        <v>12565</v>
      </c>
      <c r="AB13" s="36">
        <f t="shared" si="2"/>
        <v>31493</v>
      </c>
      <c r="AC13" s="36">
        <f t="shared" si="2"/>
        <v>11403</v>
      </c>
      <c r="AD13" s="36">
        <f t="shared" si="2"/>
        <v>11091</v>
      </c>
      <c r="AE13" s="36">
        <f t="shared" si="2"/>
        <v>18838</v>
      </c>
      <c r="AF13" s="36">
        <f t="shared" si="2"/>
        <v>21933</v>
      </c>
      <c r="AG13" s="36">
        <f t="shared" si="2"/>
        <v>31327</v>
      </c>
      <c r="AH13" s="36">
        <f t="shared" si="2"/>
        <v>7833</v>
      </c>
      <c r="AI13" s="36">
        <f t="shared" si="2"/>
        <v>-1215</v>
      </c>
      <c r="AJ13" s="36">
        <f t="shared" si="2"/>
        <v>-4664</v>
      </c>
      <c r="AK13" s="36">
        <f t="shared" si="2"/>
        <v>-3600</v>
      </c>
    </row>
    <row r="14" spans="1:37">
      <c r="A14" s="35" t="s">
        <v>270</v>
      </c>
      <c r="B14" s="36">
        <f>Assumptions!B4</f>
        <v>25000</v>
      </c>
      <c r="C14" s="36">
        <f>0</f>
        <v>0</v>
      </c>
      <c r="D14" s="36">
        <f>0</f>
        <v>0</v>
      </c>
      <c r="E14" s="36">
        <f>0</f>
        <v>0</v>
      </c>
      <c r="F14" s="36">
        <f>0</f>
        <v>0</v>
      </c>
      <c r="G14" s="36">
        <f>0</f>
        <v>0</v>
      </c>
      <c r="H14" s="36">
        <f>0</f>
        <v>0</v>
      </c>
      <c r="I14" s="36">
        <f>0</f>
        <v>0</v>
      </c>
      <c r="J14" s="36">
        <f>0</f>
        <v>0</v>
      </c>
      <c r="K14" s="36">
        <f>0</f>
        <v>0</v>
      </c>
      <c r="L14" s="36">
        <f>0</f>
        <v>0</v>
      </c>
      <c r="M14" s="36">
        <f>0</f>
        <v>0</v>
      </c>
      <c r="N14" s="36">
        <f>0</f>
        <v>0</v>
      </c>
      <c r="O14" s="36">
        <f>0</f>
        <v>0</v>
      </c>
      <c r="P14" s="36">
        <f>0</f>
        <v>0</v>
      </c>
      <c r="Q14" s="36">
        <f>0</f>
        <v>0</v>
      </c>
      <c r="R14" s="36">
        <f>0</f>
        <v>0</v>
      </c>
      <c r="S14" s="36">
        <f>0</f>
        <v>0</v>
      </c>
      <c r="T14" s="36">
        <f>0</f>
        <v>0</v>
      </c>
      <c r="U14" s="36">
        <f>0</f>
        <v>0</v>
      </c>
      <c r="V14" s="36">
        <f>0</f>
        <v>0</v>
      </c>
      <c r="W14" s="36">
        <f>0</f>
        <v>0</v>
      </c>
      <c r="X14" s="36">
        <f>0</f>
        <v>0</v>
      </c>
      <c r="Y14" s="36">
        <f>0</f>
        <v>0</v>
      </c>
      <c r="Z14" s="36">
        <f>0</f>
        <v>0</v>
      </c>
      <c r="AA14" s="36">
        <f>0</f>
        <v>0</v>
      </c>
      <c r="AB14" s="36">
        <f>0</f>
        <v>0</v>
      </c>
      <c r="AC14" s="36">
        <f>0</f>
        <v>0</v>
      </c>
      <c r="AD14" s="36">
        <f>0</f>
        <v>0</v>
      </c>
      <c r="AE14" s="36">
        <f>0</f>
        <v>0</v>
      </c>
      <c r="AF14" s="36">
        <f>0</f>
        <v>0</v>
      </c>
      <c r="AG14" s="36">
        <f>0</f>
        <v>0</v>
      </c>
      <c r="AH14" s="36">
        <f>0</f>
        <v>0</v>
      </c>
      <c r="AI14" s="36">
        <f>0</f>
        <v>0</v>
      </c>
      <c r="AJ14" s="36">
        <f>0</f>
        <v>0</v>
      </c>
      <c r="AK14" s="36">
        <f>0</f>
        <v>0</v>
      </c>
    </row>
    <row r="15" spans="1:37">
      <c r="A15" s="35" t="s">
        <v>271</v>
      </c>
      <c r="B15" s="36">
        <f>Assumptions!B5</f>
        <v>0</v>
      </c>
      <c r="C15" s="36">
        <f>0</f>
        <v>0</v>
      </c>
      <c r="D15" s="36">
        <f>0</f>
        <v>0</v>
      </c>
      <c r="E15" s="36">
        <f>0</f>
        <v>0</v>
      </c>
      <c r="F15" s="36">
        <f>0</f>
        <v>0</v>
      </c>
      <c r="G15" s="36">
        <f>0</f>
        <v>0</v>
      </c>
      <c r="H15" s="36">
        <f>0</f>
        <v>0</v>
      </c>
      <c r="I15" s="36">
        <f>0</f>
        <v>0</v>
      </c>
      <c r="J15" s="36">
        <f>0</f>
        <v>0</v>
      </c>
      <c r="K15" s="36">
        <f>0</f>
        <v>0</v>
      </c>
      <c r="L15" s="36">
        <f>0</f>
        <v>0</v>
      </c>
      <c r="M15" s="36">
        <f>0</f>
        <v>0</v>
      </c>
      <c r="N15" s="36">
        <f>0</f>
        <v>0</v>
      </c>
      <c r="O15" s="36">
        <f>0</f>
        <v>0</v>
      </c>
      <c r="P15" s="36">
        <f>0</f>
        <v>0</v>
      </c>
      <c r="Q15" s="36">
        <f>0</f>
        <v>0</v>
      </c>
      <c r="R15" s="36">
        <f>0</f>
        <v>0</v>
      </c>
      <c r="S15" s="36">
        <f>0</f>
        <v>0</v>
      </c>
      <c r="T15" s="36">
        <f>0</f>
        <v>0</v>
      </c>
      <c r="U15" s="36">
        <f>0</f>
        <v>0</v>
      </c>
      <c r="V15" s="36">
        <f>0</f>
        <v>0</v>
      </c>
      <c r="W15" s="36">
        <f>0</f>
        <v>0</v>
      </c>
      <c r="X15" s="36">
        <f>0</f>
        <v>0</v>
      </c>
      <c r="Y15" s="36">
        <f>0</f>
        <v>0</v>
      </c>
      <c r="Z15" s="36">
        <f>0</f>
        <v>0</v>
      </c>
      <c r="AA15" s="36">
        <f>0</f>
        <v>0</v>
      </c>
      <c r="AB15" s="36">
        <f>0</f>
        <v>0</v>
      </c>
      <c r="AC15" s="36">
        <f>0</f>
        <v>0</v>
      </c>
      <c r="AD15" s="36">
        <f>0</f>
        <v>0</v>
      </c>
      <c r="AE15" s="36">
        <f>0</f>
        <v>0</v>
      </c>
      <c r="AF15" s="36">
        <f>0</f>
        <v>0</v>
      </c>
      <c r="AG15" s="36">
        <f>0</f>
        <v>0</v>
      </c>
      <c r="AH15" s="36">
        <f>0</f>
        <v>0</v>
      </c>
      <c r="AI15" s="36">
        <f>0</f>
        <v>0</v>
      </c>
      <c r="AJ15" s="36">
        <f>0</f>
        <v>0</v>
      </c>
      <c r="AK15" s="36">
        <f>0</f>
        <v>0</v>
      </c>
    </row>
    <row r="16" spans="1:37">
      <c r="A16" s="35" t="s">
        <v>272</v>
      </c>
      <c r="B16" s="36">
        <f>0</f>
        <v>0</v>
      </c>
      <c r="C16" s="36">
        <f t="shared" ref="C16:AK16" si="3">B17</f>
        <v>19400</v>
      </c>
      <c r="D16" s="36">
        <f t="shared" si="3"/>
        <v>14800</v>
      </c>
      <c r="E16" s="36">
        <f t="shared" si="3"/>
        <v>16150</v>
      </c>
      <c r="F16" s="36">
        <f t="shared" si="3"/>
        <v>16550</v>
      </c>
      <c r="G16" s="36">
        <f t="shared" si="3"/>
        <v>14225</v>
      </c>
      <c r="H16" s="36">
        <f t="shared" si="3"/>
        <v>15100</v>
      </c>
      <c r="I16" s="36">
        <f t="shared" si="3"/>
        <v>25146.5</v>
      </c>
      <c r="J16" s="36">
        <f t="shared" si="3"/>
        <v>30786.5</v>
      </c>
      <c r="K16" s="36">
        <f t="shared" si="3"/>
        <v>34176.5</v>
      </c>
      <c r="L16" s="36">
        <f t="shared" si="3"/>
        <v>48505.5</v>
      </c>
      <c r="M16" s="36">
        <f t="shared" si="3"/>
        <v>54525</v>
      </c>
      <c r="N16" s="36">
        <f t="shared" si="3"/>
        <v>60040</v>
      </c>
      <c r="O16" s="36">
        <f t="shared" si="3"/>
        <v>59658</v>
      </c>
      <c r="P16" s="36">
        <f t="shared" si="3"/>
        <v>76680</v>
      </c>
      <c r="Q16" s="36">
        <f t="shared" si="3"/>
        <v>86358</v>
      </c>
      <c r="R16" s="36">
        <f t="shared" si="3"/>
        <v>103328</v>
      </c>
      <c r="S16" s="36">
        <f t="shared" si="3"/>
        <v>112010</v>
      </c>
      <c r="T16" s="36">
        <f t="shared" si="3"/>
        <v>138393</v>
      </c>
      <c r="U16" s="36">
        <f t="shared" si="3"/>
        <v>161013</v>
      </c>
      <c r="V16" s="36">
        <f t="shared" si="3"/>
        <v>184320</v>
      </c>
      <c r="W16" s="36">
        <f t="shared" si="3"/>
        <v>183778</v>
      </c>
      <c r="X16" s="36">
        <f t="shared" si="3"/>
        <v>177610</v>
      </c>
      <c r="Y16" s="36">
        <f t="shared" si="3"/>
        <v>176400</v>
      </c>
      <c r="Z16" s="36">
        <f t="shared" si="3"/>
        <v>171410</v>
      </c>
      <c r="AA16" s="36">
        <f t="shared" si="3"/>
        <v>190606</v>
      </c>
      <c r="AB16" s="36">
        <f t="shared" si="3"/>
        <v>203171</v>
      </c>
      <c r="AC16" s="36">
        <f t="shared" si="3"/>
        <v>234664</v>
      </c>
      <c r="AD16" s="36">
        <f t="shared" si="3"/>
        <v>246067</v>
      </c>
      <c r="AE16" s="36">
        <f t="shared" si="3"/>
        <v>257158</v>
      </c>
      <c r="AF16" s="36">
        <f t="shared" si="3"/>
        <v>275996</v>
      </c>
      <c r="AG16" s="36">
        <f t="shared" si="3"/>
        <v>297929</v>
      </c>
      <c r="AH16" s="36">
        <f t="shared" si="3"/>
        <v>329256</v>
      </c>
      <c r="AI16" s="36">
        <f t="shared" si="3"/>
        <v>337089</v>
      </c>
      <c r="AJ16" s="36">
        <f t="shared" si="3"/>
        <v>335874</v>
      </c>
      <c r="AK16" s="36">
        <f t="shared" si="3"/>
        <v>331210</v>
      </c>
    </row>
    <row r="17" spans="1:37">
      <c r="A17" s="13" t="s">
        <v>273</v>
      </c>
      <c r="B17" s="37">
        <f t="shared" ref="B17:AK17" si="4">B16+B13+B14</f>
        <v>19400</v>
      </c>
      <c r="C17" s="37">
        <f t="shared" si="4"/>
        <v>14800</v>
      </c>
      <c r="D17" s="37">
        <f t="shared" si="4"/>
        <v>16150</v>
      </c>
      <c r="E17" s="37">
        <f t="shared" si="4"/>
        <v>16550</v>
      </c>
      <c r="F17" s="37">
        <f t="shared" si="4"/>
        <v>14225</v>
      </c>
      <c r="G17" s="37">
        <f t="shared" si="4"/>
        <v>15100</v>
      </c>
      <c r="H17" s="37">
        <f t="shared" si="4"/>
        <v>25146.5</v>
      </c>
      <c r="I17" s="37">
        <f t="shared" si="4"/>
        <v>30786.5</v>
      </c>
      <c r="J17" s="37">
        <f t="shared" si="4"/>
        <v>34176.5</v>
      </c>
      <c r="K17" s="37">
        <f t="shared" si="4"/>
        <v>48505.5</v>
      </c>
      <c r="L17" s="37">
        <f t="shared" si="4"/>
        <v>54525</v>
      </c>
      <c r="M17" s="37">
        <f t="shared" si="4"/>
        <v>60040</v>
      </c>
      <c r="N17" s="37">
        <f t="shared" si="4"/>
        <v>59658</v>
      </c>
      <c r="O17" s="37">
        <f t="shared" si="4"/>
        <v>76680</v>
      </c>
      <c r="P17" s="37">
        <f t="shared" si="4"/>
        <v>86358</v>
      </c>
      <c r="Q17" s="37">
        <f t="shared" si="4"/>
        <v>103328</v>
      </c>
      <c r="R17" s="37">
        <f t="shared" si="4"/>
        <v>112010</v>
      </c>
      <c r="S17" s="37">
        <f t="shared" si="4"/>
        <v>138393</v>
      </c>
      <c r="T17" s="37">
        <f t="shared" si="4"/>
        <v>161013</v>
      </c>
      <c r="U17" s="37">
        <f t="shared" si="4"/>
        <v>184320</v>
      </c>
      <c r="V17" s="37">
        <f t="shared" si="4"/>
        <v>183778</v>
      </c>
      <c r="W17" s="37">
        <f t="shared" si="4"/>
        <v>177610</v>
      </c>
      <c r="X17" s="37">
        <f t="shared" si="4"/>
        <v>176400</v>
      </c>
      <c r="Y17" s="37">
        <f t="shared" si="4"/>
        <v>171410</v>
      </c>
      <c r="Z17" s="37">
        <f t="shared" si="4"/>
        <v>190606</v>
      </c>
      <c r="AA17" s="37">
        <f t="shared" si="4"/>
        <v>203171</v>
      </c>
      <c r="AB17" s="37">
        <f t="shared" si="4"/>
        <v>234664</v>
      </c>
      <c r="AC17" s="37">
        <f t="shared" si="4"/>
        <v>246067</v>
      </c>
      <c r="AD17" s="37">
        <f t="shared" si="4"/>
        <v>257158</v>
      </c>
      <c r="AE17" s="37">
        <f t="shared" si="4"/>
        <v>275996</v>
      </c>
      <c r="AF17" s="37">
        <f t="shared" si="4"/>
        <v>297929</v>
      </c>
      <c r="AG17" s="37">
        <f t="shared" si="4"/>
        <v>329256</v>
      </c>
      <c r="AH17" s="37">
        <f t="shared" si="4"/>
        <v>337089</v>
      </c>
      <c r="AI17" s="37">
        <f t="shared" si="4"/>
        <v>335874</v>
      </c>
      <c r="AJ17" s="37">
        <f t="shared" si="4"/>
        <v>331210</v>
      </c>
      <c r="AK17" s="37">
        <f t="shared" si="4"/>
        <v>327610</v>
      </c>
    </row>
    <row r="18" spans="1:37">
      <c r="A18" s="35" t="s">
        <v>274</v>
      </c>
      <c r="B18" s="36">
        <f>0</f>
        <v>0</v>
      </c>
      <c r="C18" s="36">
        <f t="shared" ref="C18:AK18" si="5">B19</f>
        <v>-5600</v>
      </c>
      <c r="D18" s="36">
        <f t="shared" si="5"/>
        <v>-10200</v>
      </c>
      <c r="E18" s="36">
        <f t="shared" si="5"/>
        <v>-8850</v>
      </c>
      <c r="F18" s="36">
        <f t="shared" si="5"/>
        <v>-8450</v>
      </c>
      <c r="G18" s="36">
        <f t="shared" si="5"/>
        <v>-10775</v>
      </c>
      <c r="H18" s="36">
        <f t="shared" si="5"/>
        <v>-9900</v>
      </c>
      <c r="I18" s="36">
        <f t="shared" si="5"/>
        <v>146.5</v>
      </c>
      <c r="J18" s="36">
        <f t="shared" si="5"/>
        <v>5786.5</v>
      </c>
      <c r="K18" s="36">
        <f t="shared" si="5"/>
        <v>9176.5</v>
      </c>
      <c r="L18" s="36">
        <f t="shared" si="5"/>
        <v>23505.5</v>
      </c>
      <c r="M18" s="36">
        <f t="shared" si="5"/>
        <v>29525</v>
      </c>
      <c r="N18" s="36">
        <f t="shared" si="5"/>
        <v>35040</v>
      </c>
      <c r="O18" s="36">
        <f t="shared" si="5"/>
        <v>34658</v>
      </c>
      <c r="P18" s="36">
        <f t="shared" si="5"/>
        <v>51680</v>
      </c>
      <c r="Q18" s="36">
        <f t="shared" si="5"/>
        <v>61358</v>
      </c>
      <c r="R18" s="36">
        <f t="shared" si="5"/>
        <v>78328</v>
      </c>
      <c r="S18" s="36">
        <f t="shared" si="5"/>
        <v>87010</v>
      </c>
      <c r="T18" s="36">
        <f t="shared" si="5"/>
        <v>113393</v>
      </c>
      <c r="U18" s="36">
        <f t="shared" si="5"/>
        <v>136013</v>
      </c>
      <c r="V18" s="36">
        <f t="shared" si="5"/>
        <v>159320</v>
      </c>
      <c r="W18" s="36">
        <f t="shared" si="5"/>
        <v>158778</v>
      </c>
      <c r="X18" s="36">
        <f t="shared" si="5"/>
        <v>152610</v>
      </c>
      <c r="Y18" s="36">
        <f t="shared" si="5"/>
        <v>151400</v>
      </c>
      <c r="Z18" s="36">
        <f t="shared" si="5"/>
        <v>146410</v>
      </c>
      <c r="AA18" s="36">
        <f t="shared" si="5"/>
        <v>165606</v>
      </c>
      <c r="AB18" s="36">
        <f t="shared" si="5"/>
        <v>178171</v>
      </c>
      <c r="AC18" s="36">
        <f t="shared" si="5"/>
        <v>209664</v>
      </c>
      <c r="AD18" s="36">
        <f t="shared" si="5"/>
        <v>221067</v>
      </c>
      <c r="AE18" s="36">
        <f t="shared" si="5"/>
        <v>232158</v>
      </c>
      <c r="AF18" s="36">
        <f t="shared" si="5"/>
        <v>250996</v>
      </c>
      <c r="AG18" s="36">
        <f t="shared" si="5"/>
        <v>272929</v>
      </c>
      <c r="AH18" s="36">
        <f t="shared" si="5"/>
        <v>304256</v>
      </c>
      <c r="AI18" s="36">
        <f t="shared" si="5"/>
        <v>312089</v>
      </c>
      <c r="AJ18" s="36">
        <f t="shared" si="5"/>
        <v>310874</v>
      </c>
      <c r="AK18" s="36">
        <f t="shared" si="5"/>
        <v>306210</v>
      </c>
    </row>
    <row r="19" spans="1:37">
      <c r="A19" s="38" t="s">
        <v>275</v>
      </c>
      <c r="B19" s="39">
        <f t="shared" ref="B19:AK19" si="6">B18+B13+B15</f>
        <v>-5600</v>
      </c>
      <c r="C19" s="39">
        <f t="shared" si="6"/>
        <v>-10200</v>
      </c>
      <c r="D19" s="39">
        <f t="shared" si="6"/>
        <v>-8850</v>
      </c>
      <c r="E19" s="39">
        <f t="shared" si="6"/>
        <v>-8450</v>
      </c>
      <c r="F19" s="39">
        <f t="shared" si="6"/>
        <v>-10775</v>
      </c>
      <c r="G19" s="39">
        <f t="shared" si="6"/>
        <v>-9900</v>
      </c>
      <c r="H19" s="39">
        <f t="shared" si="6"/>
        <v>146.5</v>
      </c>
      <c r="I19" s="39">
        <f t="shared" si="6"/>
        <v>5786.5</v>
      </c>
      <c r="J19" s="39">
        <f t="shared" si="6"/>
        <v>9176.5</v>
      </c>
      <c r="K19" s="39">
        <f t="shared" si="6"/>
        <v>23505.5</v>
      </c>
      <c r="L19" s="39">
        <f t="shared" si="6"/>
        <v>29525</v>
      </c>
      <c r="M19" s="39">
        <f t="shared" si="6"/>
        <v>35040</v>
      </c>
      <c r="N19" s="39">
        <f t="shared" si="6"/>
        <v>34658</v>
      </c>
      <c r="O19" s="39">
        <f t="shared" si="6"/>
        <v>51680</v>
      </c>
      <c r="P19" s="39">
        <f t="shared" si="6"/>
        <v>61358</v>
      </c>
      <c r="Q19" s="39">
        <f t="shared" si="6"/>
        <v>78328</v>
      </c>
      <c r="R19" s="39">
        <f t="shared" si="6"/>
        <v>87010</v>
      </c>
      <c r="S19" s="39">
        <f t="shared" si="6"/>
        <v>113393</v>
      </c>
      <c r="T19" s="39">
        <f t="shared" si="6"/>
        <v>136013</v>
      </c>
      <c r="U19" s="39">
        <f t="shared" si="6"/>
        <v>159320</v>
      </c>
      <c r="V19" s="39">
        <f t="shared" si="6"/>
        <v>158778</v>
      </c>
      <c r="W19" s="39">
        <f t="shared" si="6"/>
        <v>152610</v>
      </c>
      <c r="X19" s="39">
        <f t="shared" si="6"/>
        <v>151400</v>
      </c>
      <c r="Y19" s="39">
        <f t="shared" si="6"/>
        <v>146410</v>
      </c>
      <c r="Z19" s="39">
        <f t="shared" si="6"/>
        <v>165606</v>
      </c>
      <c r="AA19" s="39">
        <f t="shared" si="6"/>
        <v>178171</v>
      </c>
      <c r="AB19" s="39">
        <f t="shared" si="6"/>
        <v>209664</v>
      </c>
      <c r="AC19" s="39">
        <f t="shared" si="6"/>
        <v>221067</v>
      </c>
      <c r="AD19" s="39">
        <f t="shared" si="6"/>
        <v>232158</v>
      </c>
      <c r="AE19" s="39">
        <f t="shared" si="6"/>
        <v>250996</v>
      </c>
      <c r="AF19" s="39">
        <f t="shared" si="6"/>
        <v>272929</v>
      </c>
      <c r="AG19" s="39">
        <f t="shared" si="6"/>
        <v>304256</v>
      </c>
      <c r="AH19" s="39">
        <f t="shared" si="6"/>
        <v>312089</v>
      </c>
      <c r="AI19" s="39">
        <f t="shared" si="6"/>
        <v>310874</v>
      </c>
      <c r="AJ19" s="39">
        <f t="shared" si="6"/>
        <v>306210</v>
      </c>
      <c r="AK19" s="39">
        <f t="shared" si="6"/>
        <v>302610</v>
      </c>
    </row>
    <row r="20" spans="1:37">
      <c r="A20" s="40" t="s">
        <v>276</v>
      </c>
      <c r="B20" s="41">
        <f t="shared" ref="B20:AK20" si="7">B5</f>
        <v>0</v>
      </c>
      <c r="C20" s="41">
        <f t="shared" si="7"/>
        <v>0</v>
      </c>
      <c r="D20" s="41">
        <f t="shared" si="7"/>
        <v>950</v>
      </c>
      <c r="E20" s="41">
        <f t="shared" si="7"/>
        <v>950</v>
      </c>
      <c r="F20" s="41">
        <f t="shared" si="7"/>
        <v>475</v>
      </c>
      <c r="G20" s="41">
        <f t="shared" si="7"/>
        <v>950</v>
      </c>
      <c r="H20" s="41">
        <f t="shared" si="7"/>
        <v>2631.5</v>
      </c>
      <c r="I20" s="41">
        <f t="shared" si="7"/>
        <v>2156.5</v>
      </c>
      <c r="J20" s="41">
        <f t="shared" si="7"/>
        <v>1681.5</v>
      </c>
      <c r="K20" s="41">
        <f t="shared" si="7"/>
        <v>3505.5</v>
      </c>
      <c r="L20" s="41">
        <f t="shared" si="7"/>
        <v>2375</v>
      </c>
      <c r="M20" s="41">
        <f t="shared" si="7"/>
        <v>2090</v>
      </c>
      <c r="N20" s="41">
        <f t="shared" si="7"/>
        <v>2736</v>
      </c>
      <c r="O20" s="41">
        <f t="shared" si="7"/>
        <v>5586</v>
      </c>
      <c r="P20" s="41">
        <f t="shared" si="7"/>
        <v>4788</v>
      </c>
      <c r="Q20" s="41">
        <f t="shared" si="7"/>
        <v>5586</v>
      </c>
      <c r="R20" s="41">
        <f t="shared" si="7"/>
        <v>4256</v>
      </c>
      <c r="S20" s="41">
        <f t="shared" si="7"/>
        <v>7163</v>
      </c>
      <c r="T20" s="41">
        <f t="shared" si="7"/>
        <v>7011</v>
      </c>
      <c r="U20" s="41">
        <f t="shared" si="7"/>
        <v>7106</v>
      </c>
      <c r="V20" s="41">
        <f t="shared" si="7"/>
        <v>2888</v>
      </c>
      <c r="W20" s="41">
        <f t="shared" si="7"/>
        <v>1140</v>
      </c>
      <c r="X20" s="41">
        <f t="shared" si="7"/>
        <v>1710</v>
      </c>
      <c r="Y20" s="41">
        <f t="shared" si="7"/>
        <v>1140</v>
      </c>
      <c r="Z20" s="41">
        <f t="shared" si="7"/>
        <v>7771</v>
      </c>
      <c r="AA20" s="41">
        <f t="shared" si="7"/>
        <v>7771</v>
      </c>
      <c r="AB20" s="41">
        <f t="shared" si="7"/>
        <v>11229</v>
      </c>
      <c r="AC20" s="41">
        <f t="shared" si="7"/>
        <v>7277</v>
      </c>
      <c r="AD20" s="41">
        <f t="shared" si="7"/>
        <v>6498</v>
      </c>
      <c r="AE20" s="41">
        <f t="shared" si="7"/>
        <v>7771</v>
      </c>
      <c r="AF20" s="41">
        <f t="shared" si="7"/>
        <v>8569</v>
      </c>
      <c r="AG20" s="41">
        <f t="shared" si="7"/>
        <v>10431</v>
      </c>
      <c r="AH20" s="41">
        <f t="shared" si="7"/>
        <v>6479</v>
      </c>
      <c r="AI20" s="41">
        <f t="shared" si="7"/>
        <v>4104</v>
      </c>
      <c r="AJ20" s="41">
        <f t="shared" si="7"/>
        <v>3040</v>
      </c>
      <c r="AK20" s="41">
        <f t="shared" si="7"/>
        <v>3040</v>
      </c>
    </row>
    <row r="21" spans="1:37">
      <c r="A21" s="40" t="s">
        <v>277</v>
      </c>
      <c r="B21" s="41">
        <f>'Annual_P&amp;L'!B12/12</f>
        <v>823.75</v>
      </c>
      <c r="C21" s="41">
        <f>'Annual_P&amp;L'!B12/12</f>
        <v>823.75</v>
      </c>
      <c r="D21" s="41">
        <f>'Annual_P&amp;L'!B12/12</f>
        <v>823.75</v>
      </c>
      <c r="E21" s="41">
        <f>'Annual_P&amp;L'!B12/12</f>
        <v>823.75</v>
      </c>
      <c r="F21" s="41">
        <f>'Annual_P&amp;L'!B12/12</f>
        <v>823.75</v>
      </c>
      <c r="G21" s="41">
        <f>'Annual_P&amp;L'!B12/12</f>
        <v>823.75</v>
      </c>
      <c r="H21" s="41">
        <f>'Annual_P&amp;L'!B12/12</f>
        <v>823.75</v>
      </c>
      <c r="I21" s="41">
        <f>'Annual_P&amp;L'!B12/12</f>
        <v>823.75</v>
      </c>
      <c r="J21" s="41">
        <f>'Annual_P&amp;L'!B12/12</f>
        <v>823.75</v>
      </c>
      <c r="K21" s="41">
        <f>'Annual_P&amp;L'!B12/12</f>
        <v>823.75</v>
      </c>
      <c r="L21" s="41">
        <f>'Annual_P&amp;L'!B12/12</f>
        <v>823.75</v>
      </c>
      <c r="M21" s="41">
        <f>'Annual_P&amp;L'!B12/12</f>
        <v>823.75</v>
      </c>
      <c r="N21" s="41">
        <f>'Annual_P&amp;L'!C12/12</f>
        <v>2933</v>
      </c>
      <c r="O21" s="41">
        <f>'Annual_P&amp;L'!C12/12</f>
        <v>2933</v>
      </c>
      <c r="P21" s="41">
        <f>'Annual_P&amp;L'!C12/12</f>
        <v>2933</v>
      </c>
      <c r="Q21" s="41">
        <f>'Annual_P&amp;L'!C12/12</f>
        <v>2933</v>
      </c>
      <c r="R21" s="41">
        <f>'Annual_P&amp;L'!C12/12</f>
        <v>2933</v>
      </c>
      <c r="S21" s="41">
        <f>'Annual_P&amp;L'!C12/12</f>
        <v>2933</v>
      </c>
      <c r="T21" s="41">
        <f>'Annual_P&amp;L'!C12/12</f>
        <v>2933</v>
      </c>
      <c r="U21" s="41">
        <f>'Annual_P&amp;L'!C12/12</f>
        <v>2933</v>
      </c>
      <c r="V21" s="41">
        <f>'Annual_P&amp;L'!C12/12</f>
        <v>2933</v>
      </c>
      <c r="W21" s="41">
        <f>'Annual_P&amp;L'!C12/12</f>
        <v>2933</v>
      </c>
      <c r="X21" s="41">
        <f>'Annual_P&amp;L'!C12/12</f>
        <v>2933</v>
      </c>
      <c r="Y21" s="41">
        <f>'Annual_P&amp;L'!C12/12</f>
        <v>2933</v>
      </c>
      <c r="Z21" s="41">
        <f>'Annual_P&amp;L'!D12/12</f>
        <v>4107.5</v>
      </c>
      <c r="AA21" s="41">
        <f>'Annual_P&amp;L'!D12/12</f>
        <v>4107.5</v>
      </c>
      <c r="AB21" s="41">
        <f>'Annual_P&amp;L'!D12/12</f>
        <v>4107.5</v>
      </c>
      <c r="AC21" s="41">
        <f>'Annual_P&amp;L'!D12/12</f>
        <v>4107.5</v>
      </c>
      <c r="AD21" s="41">
        <f>'Annual_P&amp;L'!D12/12</f>
        <v>4107.5</v>
      </c>
      <c r="AE21" s="41">
        <f>'Annual_P&amp;L'!D12/12</f>
        <v>4107.5</v>
      </c>
      <c r="AF21" s="41">
        <f>'Annual_P&amp;L'!D12/12</f>
        <v>4107.5</v>
      </c>
      <c r="AG21" s="41">
        <f>'Annual_P&amp;L'!D12/12</f>
        <v>4107.5</v>
      </c>
      <c r="AH21" s="41">
        <f>'Annual_P&amp;L'!D12/12</f>
        <v>4107.5</v>
      </c>
      <c r="AI21" s="41">
        <f>'Annual_P&amp;L'!D12/12</f>
        <v>4107.5</v>
      </c>
      <c r="AJ21" s="41">
        <f>'Annual_P&amp;L'!D12/12</f>
        <v>4107.5</v>
      </c>
      <c r="AK21" s="41">
        <f>'Annual_P&amp;L'!D12/12</f>
        <v>4107.5</v>
      </c>
    </row>
    <row r="22" spans="1:37">
      <c r="A22" s="40" t="s">
        <v>278</v>
      </c>
      <c r="B22" s="41">
        <f>B21</f>
        <v>823.75</v>
      </c>
      <c r="C22" s="41">
        <f t="shared" ref="C22:AK22" si="8">B22+C21</f>
        <v>1647.5</v>
      </c>
      <c r="D22" s="41">
        <f t="shared" si="8"/>
        <v>2471.25</v>
      </c>
      <c r="E22" s="41">
        <f t="shared" si="8"/>
        <v>3295</v>
      </c>
      <c r="F22" s="41">
        <f t="shared" si="8"/>
        <v>4118.75</v>
      </c>
      <c r="G22" s="41">
        <f t="shared" si="8"/>
        <v>4942.5</v>
      </c>
      <c r="H22" s="41">
        <f t="shared" si="8"/>
        <v>5766.25</v>
      </c>
      <c r="I22" s="41">
        <f t="shared" si="8"/>
        <v>6590</v>
      </c>
      <c r="J22" s="41">
        <f t="shared" si="8"/>
        <v>7413.75</v>
      </c>
      <c r="K22" s="41">
        <f t="shared" si="8"/>
        <v>8237.5</v>
      </c>
      <c r="L22" s="41">
        <f t="shared" si="8"/>
        <v>9061.25</v>
      </c>
      <c r="M22" s="41">
        <f t="shared" si="8"/>
        <v>9885</v>
      </c>
      <c r="N22" s="41">
        <f t="shared" si="8"/>
        <v>12818</v>
      </c>
      <c r="O22" s="41">
        <f t="shared" si="8"/>
        <v>15751</v>
      </c>
      <c r="P22" s="41">
        <f t="shared" si="8"/>
        <v>18684</v>
      </c>
      <c r="Q22" s="41">
        <f t="shared" si="8"/>
        <v>21617</v>
      </c>
      <c r="R22" s="41">
        <f t="shared" si="8"/>
        <v>24550</v>
      </c>
      <c r="S22" s="41">
        <f t="shared" si="8"/>
        <v>27483</v>
      </c>
      <c r="T22" s="41">
        <f t="shared" si="8"/>
        <v>30416</v>
      </c>
      <c r="U22" s="41">
        <f t="shared" si="8"/>
        <v>33349</v>
      </c>
      <c r="V22" s="41">
        <f t="shared" si="8"/>
        <v>36282</v>
      </c>
      <c r="W22" s="41">
        <f t="shared" si="8"/>
        <v>39215</v>
      </c>
      <c r="X22" s="41">
        <f t="shared" si="8"/>
        <v>42148</v>
      </c>
      <c r="Y22" s="41">
        <f t="shared" si="8"/>
        <v>45081</v>
      </c>
      <c r="Z22" s="41">
        <f t="shared" si="8"/>
        <v>49188.5</v>
      </c>
      <c r="AA22" s="41">
        <f t="shared" si="8"/>
        <v>53296</v>
      </c>
      <c r="AB22" s="41">
        <f t="shared" si="8"/>
        <v>57403.5</v>
      </c>
      <c r="AC22" s="41">
        <f t="shared" si="8"/>
        <v>61511</v>
      </c>
      <c r="AD22" s="41">
        <f t="shared" si="8"/>
        <v>65618.5</v>
      </c>
      <c r="AE22" s="41">
        <f t="shared" si="8"/>
        <v>69726</v>
      </c>
      <c r="AF22" s="41">
        <f t="shared" si="8"/>
        <v>73833.5</v>
      </c>
      <c r="AG22" s="41">
        <f t="shared" si="8"/>
        <v>77941</v>
      </c>
      <c r="AH22" s="41">
        <f t="shared" si="8"/>
        <v>82048.5</v>
      </c>
      <c r="AI22" s="41">
        <f t="shared" si="8"/>
        <v>86156</v>
      </c>
      <c r="AJ22" s="41">
        <f t="shared" si="8"/>
        <v>90263.5</v>
      </c>
      <c r="AK22" s="41">
        <f t="shared" si="8"/>
        <v>94371</v>
      </c>
    </row>
    <row r="23" spans="1:37">
      <c r="A23" s="42" t="s">
        <v>279</v>
      </c>
      <c r="B23" s="43">
        <f t="shared" ref="B23:AK23" si="9">B17-B20-B22</f>
        <v>18576.25</v>
      </c>
      <c r="C23" s="43">
        <f t="shared" si="9"/>
        <v>13152.5</v>
      </c>
      <c r="D23" s="43">
        <f t="shared" si="9"/>
        <v>12728.75</v>
      </c>
      <c r="E23" s="43">
        <f t="shared" si="9"/>
        <v>12305</v>
      </c>
      <c r="F23" s="43">
        <f t="shared" si="9"/>
        <v>9631.25</v>
      </c>
      <c r="G23" s="43">
        <f t="shared" si="9"/>
        <v>9207.5</v>
      </c>
      <c r="H23" s="43">
        <f t="shared" si="9"/>
        <v>16748.75</v>
      </c>
      <c r="I23" s="43">
        <f t="shared" si="9"/>
        <v>22040</v>
      </c>
      <c r="J23" s="43">
        <f t="shared" si="9"/>
        <v>25081.25</v>
      </c>
      <c r="K23" s="43">
        <f t="shared" si="9"/>
        <v>36762.5</v>
      </c>
      <c r="L23" s="43">
        <f t="shared" si="9"/>
        <v>43088.75</v>
      </c>
      <c r="M23" s="43">
        <f t="shared" si="9"/>
        <v>48065</v>
      </c>
      <c r="N23" s="43">
        <f t="shared" si="9"/>
        <v>44104</v>
      </c>
      <c r="O23" s="43">
        <f t="shared" si="9"/>
        <v>55343</v>
      </c>
      <c r="P23" s="43">
        <f t="shared" si="9"/>
        <v>62886</v>
      </c>
      <c r="Q23" s="43">
        <f t="shared" si="9"/>
        <v>76125</v>
      </c>
      <c r="R23" s="43">
        <f t="shared" si="9"/>
        <v>83204</v>
      </c>
      <c r="S23" s="43">
        <f t="shared" si="9"/>
        <v>103747</v>
      </c>
      <c r="T23" s="43">
        <f t="shared" si="9"/>
        <v>123586</v>
      </c>
      <c r="U23" s="43">
        <f t="shared" si="9"/>
        <v>143865</v>
      </c>
      <c r="V23" s="43">
        <f t="shared" si="9"/>
        <v>144608</v>
      </c>
      <c r="W23" s="43">
        <f t="shared" si="9"/>
        <v>137255</v>
      </c>
      <c r="X23" s="43">
        <f t="shared" si="9"/>
        <v>132542</v>
      </c>
      <c r="Y23" s="43">
        <f t="shared" si="9"/>
        <v>125189</v>
      </c>
      <c r="Z23" s="43">
        <f t="shared" si="9"/>
        <v>133646.5</v>
      </c>
      <c r="AA23" s="43">
        <f t="shared" si="9"/>
        <v>142104</v>
      </c>
      <c r="AB23" s="43">
        <f t="shared" si="9"/>
        <v>166031.5</v>
      </c>
      <c r="AC23" s="43">
        <f t="shared" si="9"/>
        <v>177279</v>
      </c>
      <c r="AD23" s="43">
        <f t="shared" si="9"/>
        <v>185041.5</v>
      </c>
      <c r="AE23" s="43">
        <f t="shared" si="9"/>
        <v>198499</v>
      </c>
      <c r="AF23" s="43">
        <f t="shared" si="9"/>
        <v>215526.5</v>
      </c>
      <c r="AG23" s="43">
        <f t="shared" si="9"/>
        <v>240884</v>
      </c>
      <c r="AH23" s="43">
        <f t="shared" si="9"/>
        <v>248561.5</v>
      </c>
      <c r="AI23" s="43">
        <f t="shared" si="9"/>
        <v>245614</v>
      </c>
      <c r="AJ23" s="43">
        <f t="shared" si="9"/>
        <v>237906.5</v>
      </c>
      <c r="AK23" s="43">
        <f t="shared" si="9"/>
        <v>230199</v>
      </c>
    </row>
    <row r="24" spans="1:37">
      <c r="A24" s="42" t="s">
        <v>280</v>
      </c>
      <c r="B24" s="43">
        <f t="shared" ref="B24:AK24" si="10">B19-B20-B22</f>
        <v>-6423.75</v>
      </c>
      <c r="C24" s="43">
        <f t="shared" si="10"/>
        <v>-11847.5</v>
      </c>
      <c r="D24" s="43">
        <f t="shared" si="10"/>
        <v>-12271.25</v>
      </c>
      <c r="E24" s="43">
        <f t="shared" si="10"/>
        <v>-12695</v>
      </c>
      <c r="F24" s="43">
        <f t="shared" si="10"/>
        <v>-15368.75</v>
      </c>
      <c r="G24" s="43">
        <f t="shared" si="10"/>
        <v>-15792.5</v>
      </c>
      <c r="H24" s="43">
        <f t="shared" si="10"/>
        <v>-8251.25</v>
      </c>
      <c r="I24" s="43">
        <f t="shared" si="10"/>
        <v>-2960</v>
      </c>
      <c r="J24" s="43">
        <f t="shared" si="10"/>
        <v>81.25</v>
      </c>
      <c r="K24" s="43">
        <f t="shared" si="10"/>
        <v>11762.5</v>
      </c>
      <c r="L24" s="43">
        <f t="shared" si="10"/>
        <v>18088.75</v>
      </c>
      <c r="M24" s="43">
        <f t="shared" si="10"/>
        <v>23065</v>
      </c>
      <c r="N24" s="43">
        <f t="shared" si="10"/>
        <v>19104</v>
      </c>
      <c r="O24" s="43">
        <f t="shared" si="10"/>
        <v>30343</v>
      </c>
      <c r="P24" s="43">
        <f t="shared" si="10"/>
        <v>37886</v>
      </c>
      <c r="Q24" s="43">
        <f t="shared" si="10"/>
        <v>51125</v>
      </c>
      <c r="R24" s="43">
        <f t="shared" si="10"/>
        <v>58204</v>
      </c>
      <c r="S24" s="43">
        <f t="shared" si="10"/>
        <v>78747</v>
      </c>
      <c r="T24" s="43">
        <f t="shared" si="10"/>
        <v>98586</v>
      </c>
      <c r="U24" s="43">
        <f t="shared" si="10"/>
        <v>118865</v>
      </c>
      <c r="V24" s="43">
        <f t="shared" si="10"/>
        <v>119608</v>
      </c>
      <c r="W24" s="43">
        <f t="shared" si="10"/>
        <v>112255</v>
      </c>
      <c r="X24" s="43">
        <f t="shared" si="10"/>
        <v>107542</v>
      </c>
      <c r="Y24" s="43">
        <f t="shared" si="10"/>
        <v>100189</v>
      </c>
      <c r="Z24" s="43">
        <f t="shared" si="10"/>
        <v>108646.5</v>
      </c>
      <c r="AA24" s="43">
        <f t="shared" si="10"/>
        <v>117104</v>
      </c>
      <c r="AB24" s="43">
        <f t="shared" si="10"/>
        <v>141031.5</v>
      </c>
      <c r="AC24" s="43">
        <f t="shared" si="10"/>
        <v>152279</v>
      </c>
      <c r="AD24" s="43">
        <f t="shared" si="10"/>
        <v>160041.5</v>
      </c>
      <c r="AE24" s="43">
        <f t="shared" si="10"/>
        <v>173499</v>
      </c>
      <c r="AF24" s="43">
        <f t="shared" si="10"/>
        <v>190526.5</v>
      </c>
      <c r="AG24" s="43">
        <f t="shared" si="10"/>
        <v>215884</v>
      </c>
      <c r="AH24" s="43">
        <f t="shared" si="10"/>
        <v>223561.5</v>
      </c>
      <c r="AI24" s="43">
        <f t="shared" si="10"/>
        <v>220614</v>
      </c>
      <c r="AJ24" s="43">
        <f t="shared" si="10"/>
        <v>212906.5</v>
      </c>
      <c r="AK24" s="43">
        <f t="shared" si="10"/>
        <v>205199</v>
      </c>
    </row>
    <row r="25" spans="1:37">
      <c r="A25" s="40" t="s">
        <v>155</v>
      </c>
      <c r="B25" s="41">
        <f>Assumptions!B13</f>
        <v>10000</v>
      </c>
      <c r="C25" s="41">
        <f>Assumptions!B13</f>
        <v>10000</v>
      </c>
      <c r="D25" s="41">
        <f>Assumptions!B13</f>
        <v>10000</v>
      </c>
      <c r="E25" s="41">
        <f>Assumptions!B13</f>
        <v>10000</v>
      </c>
      <c r="F25" s="41">
        <f>Assumptions!B13</f>
        <v>10000</v>
      </c>
      <c r="G25" s="41">
        <f>Assumptions!B13</f>
        <v>10000</v>
      </c>
      <c r="H25" s="41">
        <f>Assumptions!B13</f>
        <v>10000</v>
      </c>
      <c r="I25" s="41">
        <f>Assumptions!B13</f>
        <v>10000</v>
      </c>
      <c r="J25" s="41">
        <f>Assumptions!B13</f>
        <v>10000</v>
      </c>
      <c r="K25" s="41">
        <f>Assumptions!B13</f>
        <v>10000</v>
      </c>
      <c r="L25" s="41">
        <f>Assumptions!B13</f>
        <v>10000</v>
      </c>
      <c r="M25" s="41">
        <f>Assumptions!B13</f>
        <v>10000</v>
      </c>
      <c r="N25" s="41">
        <f>Assumptions!C13</f>
        <v>15000</v>
      </c>
      <c r="O25" s="41">
        <f>Assumptions!C13</f>
        <v>15000</v>
      </c>
      <c r="P25" s="41">
        <f>Assumptions!C13</f>
        <v>15000</v>
      </c>
      <c r="Q25" s="41">
        <f>Assumptions!C13</f>
        <v>15000</v>
      </c>
      <c r="R25" s="41">
        <f>Assumptions!C13</f>
        <v>15000</v>
      </c>
      <c r="S25" s="41">
        <f>Assumptions!C13</f>
        <v>15000</v>
      </c>
      <c r="T25" s="41">
        <f>Assumptions!C13</f>
        <v>15000</v>
      </c>
      <c r="U25" s="41">
        <f>Assumptions!C13</f>
        <v>15000</v>
      </c>
      <c r="V25" s="41">
        <f>Assumptions!C13</f>
        <v>15000</v>
      </c>
      <c r="W25" s="41">
        <f>Assumptions!C13</f>
        <v>15000</v>
      </c>
      <c r="X25" s="41">
        <f>Assumptions!C13</f>
        <v>15000</v>
      </c>
      <c r="Y25" s="41">
        <f>Assumptions!C13</f>
        <v>15000</v>
      </c>
      <c r="Z25" s="41">
        <f>Assumptions!D13</f>
        <v>25000</v>
      </c>
      <c r="AA25" s="41">
        <f>Assumptions!D13</f>
        <v>25000</v>
      </c>
      <c r="AB25" s="41">
        <f>Assumptions!D13</f>
        <v>25000</v>
      </c>
      <c r="AC25" s="41">
        <f>Assumptions!D13</f>
        <v>25000</v>
      </c>
      <c r="AD25" s="41">
        <f>Assumptions!D13</f>
        <v>25000</v>
      </c>
      <c r="AE25" s="41">
        <f>Assumptions!D13</f>
        <v>25000</v>
      </c>
      <c r="AF25" s="41">
        <f>Assumptions!D13</f>
        <v>25000</v>
      </c>
      <c r="AG25" s="41">
        <f>Assumptions!D13</f>
        <v>25000</v>
      </c>
      <c r="AH25" s="41">
        <f>Assumptions!D13</f>
        <v>25000</v>
      </c>
      <c r="AI25" s="41">
        <f>Assumptions!D13</f>
        <v>25000</v>
      </c>
      <c r="AJ25" s="41">
        <f>Assumptions!D13</f>
        <v>25000</v>
      </c>
      <c r="AK25" s="41">
        <f>Assumptions!D13</f>
        <v>25000</v>
      </c>
    </row>
    <row r="26" spans="1:37">
      <c r="A26" s="38" t="s">
        <v>281</v>
      </c>
      <c r="B26" s="39">
        <f t="shared" ref="B26:AK26" si="11">B23-B25</f>
        <v>8576.25</v>
      </c>
      <c r="C26" s="39">
        <f t="shared" si="11"/>
        <v>3152.5</v>
      </c>
      <c r="D26" s="39">
        <f t="shared" si="11"/>
        <v>2728.75</v>
      </c>
      <c r="E26" s="39">
        <f t="shared" si="11"/>
        <v>2305</v>
      </c>
      <c r="F26" s="39">
        <f t="shared" si="11"/>
        <v>-368.75</v>
      </c>
      <c r="G26" s="39">
        <f t="shared" si="11"/>
        <v>-792.5</v>
      </c>
      <c r="H26" s="39">
        <f t="shared" si="11"/>
        <v>6748.75</v>
      </c>
      <c r="I26" s="39">
        <f t="shared" si="11"/>
        <v>12040</v>
      </c>
      <c r="J26" s="39">
        <f t="shared" si="11"/>
        <v>15081.25</v>
      </c>
      <c r="K26" s="39">
        <f t="shared" si="11"/>
        <v>26762.5</v>
      </c>
      <c r="L26" s="39">
        <f t="shared" si="11"/>
        <v>33088.75</v>
      </c>
      <c r="M26" s="39">
        <f t="shared" si="11"/>
        <v>38065</v>
      </c>
      <c r="N26" s="39">
        <f t="shared" si="11"/>
        <v>29104</v>
      </c>
      <c r="O26" s="39">
        <f t="shared" si="11"/>
        <v>40343</v>
      </c>
      <c r="P26" s="39">
        <f t="shared" si="11"/>
        <v>47886</v>
      </c>
      <c r="Q26" s="39">
        <f t="shared" si="11"/>
        <v>61125</v>
      </c>
      <c r="R26" s="39">
        <f t="shared" si="11"/>
        <v>68204</v>
      </c>
      <c r="S26" s="39">
        <f t="shared" si="11"/>
        <v>88747</v>
      </c>
      <c r="T26" s="39">
        <f t="shared" si="11"/>
        <v>108586</v>
      </c>
      <c r="U26" s="39">
        <f t="shared" si="11"/>
        <v>128865</v>
      </c>
      <c r="V26" s="39">
        <f t="shared" si="11"/>
        <v>129608</v>
      </c>
      <c r="W26" s="39">
        <f t="shared" si="11"/>
        <v>122255</v>
      </c>
      <c r="X26" s="39">
        <f t="shared" si="11"/>
        <v>117542</v>
      </c>
      <c r="Y26" s="39">
        <f t="shared" si="11"/>
        <v>110189</v>
      </c>
      <c r="Z26" s="39">
        <f t="shared" si="11"/>
        <v>108646.5</v>
      </c>
      <c r="AA26" s="39">
        <f t="shared" si="11"/>
        <v>117104</v>
      </c>
      <c r="AB26" s="39">
        <f t="shared" si="11"/>
        <v>141031.5</v>
      </c>
      <c r="AC26" s="39">
        <f t="shared" si="11"/>
        <v>152279</v>
      </c>
      <c r="AD26" s="39">
        <f t="shared" si="11"/>
        <v>160041.5</v>
      </c>
      <c r="AE26" s="39">
        <f t="shared" si="11"/>
        <v>173499</v>
      </c>
      <c r="AF26" s="39">
        <f t="shared" si="11"/>
        <v>190526.5</v>
      </c>
      <c r="AG26" s="39">
        <f t="shared" si="11"/>
        <v>215884</v>
      </c>
      <c r="AH26" s="39">
        <f t="shared" si="11"/>
        <v>223561.5</v>
      </c>
      <c r="AI26" s="39">
        <f t="shared" si="11"/>
        <v>220614</v>
      </c>
      <c r="AJ26" s="39">
        <f t="shared" si="11"/>
        <v>212906.5</v>
      </c>
      <c r="AK26" s="39">
        <f t="shared" si="11"/>
        <v>205199</v>
      </c>
    </row>
    <row r="27" spans="1:37">
      <c r="A27" s="38" t="s">
        <v>282</v>
      </c>
      <c r="B27" s="39">
        <f t="shared" ref="B27:AK27" si="12">B24-B25</f>
        <v>-16423.75</v>
      </c>
      <c r="C27" s="39">
        <f t="shared" si="12"/>
        <v>-21847.5</v>
      </c>
      <c r="D27" s="39">
        <f t="shared" si="12"/>
        <v>-22271.25</v>
      </c>
      <c r="E27" s="39">
        <f t="shared" si="12"/>
        <v>-22695</v>
      </c>
      <c r="F27" s="39">
        <f t="shared" si="12"/>
        <v>-25368.75</v>
      </c>
      <c r="G27" s="39">
        <f t="shared" si="12"/>
        <v>-25792.5</v>
      </c>
      <c r="H27" s="39">
        <f t="shared" si="12"/>
        <v>-18251.25</v>
      </c>
      <c r="I27" s="39">
        <f t="shared" si="12"/>
        <v>-12960</v>
      </c>
      <c r="J27" s="39">
        <f t="shared" si="12"/>
        <v>-9918.75</v>
      </c>
      <c r="K27" s="39">
        <f t="shared" si="12"/>
        <v>1762.5</v>
      </c>
      <c r="L27" s="39">
        <f t="shared" si="12"/>
        <v>8088.75</v>
      </c>
      <c r="M27" s="39">
        <f t="shared" si="12"/>
        <v>13065</v>
      </c>
      <c r="N27" s="39">
        <f t="shared" si="12"/>
        <v>4104</v>
      </c>
      <c r="O27" s="39">
        <f t="shared" si="12"/>
        <v>15343</v>
      </c>
      <c r="P27" s="39">
        <f t="shared" si="12"/>
        <v>22886</v>
      </c>
      <c r="Q27" s="39">
        <f t="shared" si="12"/>
        <v>36125</v>
      </c>
      <c r="R27" s="39">
        <f t="shared" si="12"/>
        <v>43204</v>
      </c>
      <c r="S27" s="39">
        <f t="shared" si="12"/>
        <v>63747</v>
      </c>
      <c r="T27" s="39">
        <f t="shared" si="12"/>
        <v>83586</v>
      </c>
      <c r="U27" s="39">
        <f t="shared" si="12"/>
        <v>103865</v>
      </c>
      <c r="V27" s="39">
        <f t="shared" si="12"/>
        <v>104608</v>
      </c>
      <c r="W27" s="39">
        <f t="shared" si="12"/>
        <v>97255</v>
      </c>
      <c r="X27" s="39">
        <f t="shared" si="12"/>
        <v>92542</v>
      </c>
      <c r="Y27" s="39">
        <f t="shared" si="12"/>
        <v>85189</v>
      </c>
      <c r="Z27" s="39">
        <f t="shared" si="12"/>
        <v>83646.5</v>
      </c>
      <c r="AA27" s="39">
        <f t="shared" si="12"/>
        <v>92104</v>
      </c>
      <c r="AB27" s="39">
        <f t="shared" si="12"/>
        <v>116031.5</v>
      </c>
      <c r="AC27" s="39">
        <f t="shared" si="12"/>
        <v>127279</v>
      </c>
      <c r="AD27" s="39">
        <f t="shared" si="12"/>
        <v>135041.5</v>
      </c>
      <c r="AE27" s="39">
        <f t="shared" si="12"/>
        <v>148499</v>
      </c>
      <c r="AF27" s="39">
        <f t="shared" si="12"/>
        <v>165526.5</v>
      </c>
      <c r="AG27" s="39">
        <f t="shared" si="12"/>
        <v>190884</v>
      </c>
      <c r="AH27" s="39">
        <f t="shared" si="12"/>
        <v>198561.5</v>
      </c>
      <c r="AI27" s="39">
        <f t="shared" si="12"/>
        <v>195614</v>
      </c>
      <c r="AJ27" s="39">
        <f t="shared" si="12"/>
        <v>187906.5</v>
      </c>
      <c r="AK27" s="39">
        <f t="shared" si="12"/>
        <v>180199</v>
      </c>
    </row>
    <row r="28" spans="1:37">
      <c r="A28" s="40" t="s">
        <v>283</v>
      </c>
      <c r="B28" s="44" t="str">
        <f t="shared" ref="B28:AK28" si="13">IF(B26&gt;=0,"OK","BELOW MIN")</f>
        <v>OK</v>
      </c>
      <c r="C28" s="44" t="str">
        <f t="shared" si="13"/>
        <v>OK</v>
      </c>
      <c r="D28" s="44" t="str">
        <f t="shared" si="13"/>
        <v>OK</v>
      </c>
      <c r="E28" s="44" t="str">
        <f t="shared" si="13"/>
        <v>OK</v>
      </c>
      <c r="F28" s="44" t="str">
        <f t="shared" si="13"/>
        <v>BELOW MIN</v>
      </c>
      <c r="G28" s="44" t="str">
        <f t="shared" si="13"/>
        <v>BELOW MIN</v>
      </c>
      <c r="H28" s="44" t="str">
        <f t="shared" si="13"/>
        <v>OK</v>
      </c>
      <c r="I28" s="44" t="str">
        <f t="shared" si="13"/>
        <v>OK</v>
      </c>
      <c r="J28" s="44" t="str">
        <f t="shared" si="13"/>
        <v>OK</v>
      </c>
      <c r="K28" s="44" t="str">
        <f t="shared" si="13"/>
        <v>OK</v>
      </c>
      <c r="L28" s="44" t="str">
        <f t="shared" si="13"/>
        <v>OK</v>
      </c>
      <c r="M28" s="44" t="str">
        <f t="shared" si="13"/>
        <v>OK</v>
      </c>
      <c r="N28" s="44" t="str">
        <f t="shared" si="13"/>
        <v>OK</v>
      </c>
      <c r="O28" s="44" t="str">
        <f t="shared" si="13"/>
        <v>OK</v>
      </c>
      <c r="P28" s="44" t="str">
        <f t="shared" si="13"/>
        <v>OK</v>
      </c>
      <c r="Q28" s="44" t="str">
        <f t="shared" si="13"/>
        <v>OK</v>
      </c>
      <c r="R28" s="44" t="str">
        <f t="shared" si="13"/>
        <v>OK</v>
      </c>
      <c r="S28" s="44" t="str">
        <f t="shared" si="13"/>
        <v>OK</v>
      </c>
      <c r="T28" s="44" t="str">
        <f t="shared" si="13"/>
        <v>OK</v>
      </c>
      <c r="U28" s="44" t="str">
        <f t="shared" si="13"/>
        <v>OK</v>
      </c>
      <c r="V28" s="44" t="str">
        <f t="shared" si="13"/>
        <v>OK</v>
      </c>
      <c r="W28" s="44" t="str">
        <f t="shared" si="13"/>
        <v>OK</v>
      </c>
      <c r="X28" s="44" t="str">
        <f t="shared" si="13"/>
        <v>OK</v>
      </c>
      <c r="Y28" s="44" t="str">
        <f t="shared" si="13"/>
        <v>OK</v>
      </c>
      <c r="Z28" s="44" t="str">
        <f t="shared" si="13"/>
        <v>OK</v>
      </c>
      <c r="AA28" s="44" t="str">
        <f t="shared" si="13"/>
        <v>OK</v>
      </c>
      <c r="AB28" s="44" t="str">
        <f t="shared" si="13"/>
        <v>OK</v>
      </c>
      <c r="AC28" s="44" t="str">
        <f t="shared" si="13"/>
        <v>OK</v>
      </c>
      <c r="AD28" s="44" t="str">
        <f t="shared" si="13"/>
        <v>OK</v>
      </c>
      <c r="AE28" s="44" t="str">
        <f t="shared" si="13"/>
        <v>OK</v>
      </c>
      <c r="AF28" s="44" t="str">
        <f t="shared" si="13"/>
        <v>OK</v>
      </c>
      <c r="AG28" s="44" t="str">
        <f t="shared" si="13"/>
        <v>OK</v>
      </c>
      <c r="AH28" s="44" t="str">
        <f t="shared" si="13"/>
        <v>OK</v>
      </c>
      <c r="AI28" s="44" t="str">
        <f t="shared" si="13"/>
        <v>OK</v>
      </c>
      <c r="AJ28" s="44" t="str">
        <f t="shared" si="13"/>
        <v>OK</v>
      </c>
      <c r="AK28" s="44" t="str">
        <f t="shared" si="13"/>
        <v>OK</v>
      </c>
    </row>
    <row r="29" spans="1:37">
      <c r="A29" s="40" t="s">
        <v>284</v>
      </c>
      <c r="B29" s="44" t="str">
        <f t="shared" ref="B29:AK29" si="14">IF(B27&gt;=0,"OK","BELOW MIN")</f>
        <v>BELOW MIN</v>
      </c>
      <c r="C29" s="44" t="str">
        <f t="shared" si="14"/>
        <v>BELOW MIN</v>
      </c>
      <c r="D29" s="44" t="str">
        <f t="shared" si="14"/>
        <v>BELOW MIN</v>
      </c>
      <c r="E29" s="44" t="str">
        <f t="shared" si="14"/>
        <v>BELOW MIN</v>
      </c>
      <c r="F29" s="44" t="str">
        <f t="shared" si="14"/>
        <v>BELOW MIN</v>
      </c>
      <c r="G29" s="44" t="str">
        <f t="shared" si="14"/>
        <v>BELOW MIN</v>
      </c>
      <c r="H29" s="44" t="str">
        <f t="shared" si="14"/>
        <v>BELOW MIN</v>
      </c>
      <c r="I29" s="44" t="str">
        <f t="shared" si="14"/>
        <v>BELOW MIN</v>
      </c>
      <c r="J29" s="44" t="str">
        <f t="shared" si="14"/>
        <v>BELOW MIN</v>
      </c>
      <c r="K29" s="44" t="str">
        <f t="shared" si="14"/>
        <v>OK</v>
      </c>
      <c r="L29" s="44" t="str">
        <f t="shared" si="14"/>
        <v>OK</v>
      </c>
      <c r="M29" s="44" t="str">
        <f t="shared" si="14"/>
        <v>OK</v>
      </c>
      <c r="N29" s="44" t="str">
        <f t="shared" si="14"/>
        <v>OK</v>
      </c>
      <c r="O29" s="44" t="str">
        <f t="shared" si="14"/>
        <v>OK</v>
      </c>
      <c r="P29" s="44" t="str">
        <f t="shared" si="14"/>
        <v>OK</v>
      </c>
      <c r="Q29" s="44" t="str">
        <f t="shared" si="14"/>
        <v>OK</v>
      </c>
      <c r="R29" s="44" t="str">
        <f t="shared" si="14"/>
        <v>OK</v>
      </c>
      <c r="S29" s="44" t="str">
        <f t="shared" si="14"/>
        <v>OK</v>
      </c>
      <c r="T29" s="44" t="str">
        <f t="shared" si="14"/>
        <v>OK</v>
      </c>
      <c r="U29" s="44" t="str">
        <f t="shared" si="14"/>
        <v>OK</v>
      </c>
      <c r="V29" s="44" t="str">
        <f t="shared" si="14"/>
        <v>OK</v>
      </c>
      <c r="W29" s="44" t="str">
        <f t="shared" si="14"/>
        <v>OK</v>
      </c>
      <c r="X29" s="44" t="str">
        <f t="shared" si="14"/>
        <v>OK</v>
      </c>
      <c r="Y29" s="44" t="str">
        <f t="shared" si="14"/>
        <v>OK</v>
      </c>
      <c r="Z29" s="44" t="str">
        <f t="shared" si="14"/>
        <v>OK</v>
      </c>
      <c r="AA29" s="44" t="str">
        <f t="shared" si="14"/>
        <v>OK</v>
      </c>
      <c r="AB29" s="44" t="str">
        <f t="shared" si="14"/>
        <v>OK</v>
      </c>
      <c r="AC29" s="44" t="str">
        <f t="shared" si="14"/>
        <v>OK</v>
      </c>
      <c r="AD29" s="44" t="str">
        <f t="shared" si="14"/>
        <v>OK</v>
      </c>
      <c r="AE29" s="44" t="str">
        <f t="shared" si="14"/>
        <v>OK</v>
      </c>
      <c r="AF29" s="44" t="str">
        <f t="shared" si="14"/>
        <v>OK</v>
      </c>
      <c r="AG29" s="44" t="str">
        <f t="shared" si="14"/>
        <v>OK</v>
      </c>
      <c r="AH29" s="44" t="str">
        <f t="shared" si="14"/>
        <v>OK</v>
      </c>
      <c r="AI29" s="44" t="str">
        <f t="shared" si="14"/>
        <v>OK</v>
      </c>
      <c r="AJ29" s="44" t="str">
        <f t="shared" si="14"/>
        <v>OK</v>
      </c>
      <c r="AK29" s="44" t="str">
        <f t="shared" si="14"/>
        <v>OK</v>
      </c>
    </row>
    <row r="30" spans="1:37" ht="14.5">
      <c r="A30" s="34" t="s">
        <v>131</v>
      </c>
      <c r="B30" s="89" t="s">
        <v>285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</row>
  </sheetData>
  <mergeCells count="2">
    <mergeCell ref="A1:AK1"/>
    <mergeCell ref="B30:AK30"/>
  </mergeCells>
  <conditionalFormatting sqref="B18:AK18">
    <cfRule type="containsText" dxfId="9" priority="1" operator="containsText" text="BELOW MIN"/>
    <cfRule type="containsText" dxfId="8" priority="2" operator="containsText" text="OK"/>
  </conditionalFormatting>
  <conditionalFormatting sqref="B28:AK29">
    <cfRule type="containsText" dxfId="7" priority="3" operator="containsText" text="OK"/>
    <cfRule type="containsText" dxfId="6" priority="4" operator="containsText" text="BELOW MIN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showGridLines="0" workbookViewId="0"/>
  </sheetViews>
  <sheetFormatPr baseColWidth="10" defaultColWidth="8.6640625" defaultRowHeight="14"/>
  <cols>
    <col min="1" max="1" width="32" customWidth="1"/>
    <col min="2" max="4" width="20" customWidth="1"/>
  </cols>
  <sheetData>
    <row r="1" spans="1:4" ht="20">
      <c r="A1" s="87" t="s">
        <v>286</v>
      </c>
      <c r="B1" s="86"/>
      <c r="C1" s="86"/>
      <c r="D1" s="86"/>
    </row>
    <row r="2" spans="1:4">
      <c r="A2" s="3"/>
      <c r="B2" s="3"/>
      <c r="C2" s="3"/>
      <c r="D2" s="3"/>
    </row>
    <row r="3" spans="1:4">
      <c r="A3" s="4" t="s">
        <v>260</v>
      </c>
      <c r="B3" s="4" t="s">
        <v>127</v>
      </c>
      <c r="C3" s="4" t="s">
        <v>128</v>
      </c>
      <c r="D3" s="4" t="s">
        <v>129</v>
      </c>
    </row>
    <row r="4" spans="1:4">
      <c r="A4" s="29" t="s">
        <v>287</v>
      </c>
      <c r="B4" s="31">
        <f>SUMIF(Contract_Cash!$B$4:$B$27,1,Contract_Cash!$C$4:$C$27)</f>
        <v>93500</v>
      </c>
      <c r="C4" s="31">
        <f>SUMIF(Contract_Cash!$B$4:$B$27,2,Contract_Cash!$C$4:$C$27)</f>
        <v>269000</v>
      </c>
      <c r="D4" s="31">
        <f>SUMIF(Contract_Cash!$B$4:$B$27,3,Contract_Cash!$C$4:$C$27)</f>
        <v>442000</v>
      </c>
    </row>
    <row r="5" spans="1:4">
      <c r="A5" s="29" t="s">
        <v>288</v>
      </c>
      <c r="B5" s="31">
        <f>B4*Assumptions!B7</f>
        <v>9350</v>
      </c>
      <c r="C5" s="31">
        <f>C4*Assumptions!C7</f>
        <v>32280</v>
      </c>
      <c r="D5" s="31">
        <f>D4*Assumptions!D7</f>
        <v>66300</v>
      </c>
    </row>
    <row r="6" spans="1:4">
      <c r="A6" s="29" t="s">
        <v>266</v>
      </c>
      <c r="B6" s="31">
        <f>Assumptions!B8*12</f>
        <v>19200</v>
      </c>
      <c r="C6" s="31">
        <f>Assumptions!C8*12</f>
        <v>26400</v>
      </c>
      <c r="D6" s="31">
        <f>Assumptions!D8*12</f>
        <v>38400</v>
      </c>
    </row>
    <row r="7" spans="1:4">
      <c r="A7" s="29" t="s">
        <v>267</v>
      </c>
      <c r="B7" s="31">
        <f>Assumptions!B9*12</f>
        <v>30000</v>
      </c>
      <c r="C7" s="31">
        <f>Assumptions!C9*12</f>
        <v>42000</v>
      </c>
      <c r="D7" s="31">
        <f>Assumptions!D9*12</f>
        <v>60000</v>
      </c>
    </row>
    <row r="8" spans="1:4">
      <c r="A8" s="29" t="s">
        <v>268</v>
      </c>
      <c r="B8" s="31">
        <f>Assumptions!B10*12</f>
        <v>0</v>
      </c>
      <c r="C8" s="31">
        <f>Assumptions!C10*12</f>
        <v>48000</v>
      </c>
      <c r="D8" s="31">
        <f>Assumptions!D10*12</f>
        <v>108000</v>
      </c>
    </row>
    <row r="9" spans="1:4">
      <c r="A9" s="29" t="s">
        <v>289</v>
      </c>
      <c r="B9" s="31">
        <f>B4-B5-B6-B7-B8</f>
        <v>34950</v>
      </c>
      <c r="C9" s="31">
        <f>C4-C5-C6-C7-C8</f>
        <v>120320</v>
      </c>
      <c r="D9" s="31">
        <f>D4-D5-D6-D7-D8</f>
        <v>169300</v>
      </c>
    </row>
    <row r="10" spans="1:4">
      <c r="A10" s="29" t="s">
        <v>150</v>
      </c>
      <c r="B10" s="31">
        <f>Assumptions!B11</f>
        <v>2000</v>
      </c>
      <c r="C10" s="31">
        <f>Assumptions!C11</f>
        <v>3000</v>
      </c>
      <c r="D10" s="31">
        <f>Assumptions!D11</f>
        <v>5000</v>
      </c>
    </row>
    <row r="11" spans="1:4">
      <c r="A11" s="29" t="s">
        <v>290</v>
      </c>
      <c r="B11" s="31">
        <f>B9-B10</f>
        <v>32950</v>
      </c>
      <c r="C11" s="31">
        <f>C9-C10</f>
        <v>117320</v>
      </c>
      <c r="D11" s="31">
        <f>D9-D10</f>
        <v>164300</v>
      </c>
    </row>
    <row r="12" spans="1:4">
      <c r="A12" s="29" t="s">
        <v>291</v>
      </c>
      <c r="B12" s="31">
        <f>MAX(0,B11*Assumptions!B19)</f>
        <v>9885</v>
      </c>
      <c r="C12" s="31">
        <f>MAX(0,C11*Assumptions!C19)</f>
        <v>35196</v>
      </c>
      <c r="D12" s="31">
        <f>MAX(0,D11*Assumptions!D19)</f>
        <v>49290</v>
      </c>
    </row>
    <row r="13" spans="1:4">
      <c r="A13" s="29" t="s">
        <v>292</v>
      </c>
      <c r="B13" s="31">
        <f>B11-B12</f>
        <v>23065</v>
      </c>
      <c r="C13" s="31">
        <f>C11-C12</f>
        <v>82124</v>
      </c>
      <c r="D13" s="31">
        <f>D11-D12</f>
        <v>115010</v>
      </c>
    </row>
    <row r="14" spans="1:4">
      <c r="A14" s="29" t="s">
        <v>131</v>
      </c>
      <c r="B14" s="90" t="s">
        <v>293</v>
      </c>
      <c r="C14" s="91"/>
      <c r="D14" s="92"/>
    </row>
    <row r="15" spans="1:4">
      <c r="A15" s="2"/>
      <c r="B15" s="2"/>
      <c r="C15" s="2"/>
      <c r="D15" s="2"/>
    </row>
  </sheetData>
  <mergeCells count="2">
    <mergeCell ref="A1:D1"/>
    <mergeCell ref="B14:D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"/>
  <sheetViews>
    <sheetView showGridLines="0" workbookViewId="0"/>
  </sheetViews>
  <sheetFormatPr baseColWidth="10" defaultColWidth="8.6640625" defaultRowHeight="14"/>
  <cols>
    <col min="1" max="1" width="16" customWidth="1"/>
    <col min="2" max="3" width="12" customWidth="1"/>
    <col min="4" max="5" width="16" customWidth="1"/>
    <col min="6" max="6" width="31" customWidth="1"/>
    <col min="7" max="9" width="18" customWidth="1"/>
  </cols>
  <sheetData>
    <row r="1" spans="1:9" ht="28" customHeight="1">
      <c r="A1" s="88" t="s">
        <v>294</v>
      </c>
      <c r="B1" s="86"/>
      <c r="C1" s="86"/>
      <c r="D1" s="86"/>
      <c r="E1" s="86"/>
      <c r="F1" s="86"/>
      <c r="G1" s="86"/>
      <c r="H1" s="86"/>
      <c r="I1" s="86"/>
    </row>
    <row r="2" spans="1:9">
      <c r="A2" s="93" t="s">
        <v>295</v>
      </c>
      <c r="B2" s="86"/>
      <c r="C2" s="86"/>
      <c r="D2" s="86"/>
      <c r="E2" s="86"/>
      <c r="F2" s="86"/>
      <c r="G2" s="86"/>
      <c r="H2" s="86"/>
      <c r="I2" s="86"/>
    </row>
    <row r="3" spans="1:9" ht="42">
      <c r="A3" s="22" t="s">
        <v>296</v>
      </c>
      <c r="B3" s="22" t="s">
        <v>190</v>
      </c>
      <c r="C3" s="22" t="s">
        <v>297</v>
      </c>
      <c r="D3" s="22" t="s">
        <v>298</v>
      </c>
      <c r="E3" s="22" t="s">
        <v>299</v>
      </c>
      <c r="F3" s="22" t="s">
        <v>300</v>
      </c>
      <c r="G3" s="22" t="s">
        <v>290</v>
      </c>
      <c r="H3" s="22" t="s">
        <v>291</v>
      </c>
      <c r="I3" s="22" t="s">
        <v>301</v>
      </c>
    </row>
    <row r="4" spans="1:9">
      <c r="A4" s="45" t="s">
        <v>302</v>
      </c>
      <c r="B4" s="46">
        <v>1</v>
      </c>
      <c r="C4" s="47">
        <f>Assumptions!B14</f>
        <v>0.45</v>
      </c>
      <c r="D4" s="48">
        <f>'Annual_P&amp;L'!B4*C4</f>
        <v>42075</v>
      </c>
      <c r="E4" s="48">
        <f>D4*Assumptions!B7</f>
        <v>4207.5</v>
      </c>
      <c r="F4" s="48">
        <f>'Annual_P&amp;L'!B6+'Annual_P&amp;L'!B7+'Annual_P&amp;L'!B8+'Annual_P&amp;L'!B10</f>
        <v>51200</v>
      </c>
      <c r="G4" s="48">
        <f t="shared" ref="G4:G12" si="0">D4-E4-F4</f>
        <v>-13332.5</v>
      </c>
      <c r="H4" s="48">
        <f>MAX(0,G4*Assumptions!B19)</f>
        <v>0</v>
      </c>
      <c r="I4" s="49" t="s">
        <v>303</v>
      </c>
    </row>
    <row r="5" spans="1:9">
      <c r="A5" s="50" t="s">
        <v>302</v>
      </c>
      <c r="B5" s="51">
        <v>2</v>
      </c>
      <c r="C5" s="52">
        <f>Assumptions!C14</f>
        <v>0.45</v>
      </c>
      <c r="D5" s="53">
        <f>'Annual_P&amp;L'!C4*C5</f>
        <v>121050</v>
      </c>
      <c r="E5" s="53">
        <f>D5*Assumptions!C7</f>
        <v>14526</v>
      </c>
      <c r="F5" s="53">
        <f>'Annual_P&amp;L'!C6+'Annual_P&amp;L'!C7+'Annual_P&amp;L'!C8+'Annual_P&amp;L'!C10</f>
        <v>119400</v>
      </c>
      <c r="G5" s="53">
        <f t="shared" si="0"/>
        <v>-12876</v>
      </c>
      <c r="H5" s="53">
        <f>MAX(0,G5*Assumptions!C19)</f>
        <v>0</v>
      </c>
      <c r="I5" s="54" t="s">
        <v>304</v>
      </c>
    </row>
    <row r="6" spans="1:9">
      <c r="A6" s="50" t="s">
        <v>302</v>
      </c>
      <c r="B6" s="51">
        <v>3</v>
      </c>
      <c r="C6" s="52">
        <f>Assumptions!D14</f>
        <v>0.45</v>
      </c>
      <c r="D6" s="53">
        <f>'Annual_P&amp;L'!D4*C6</f>
        <v>198900</v>
      </c>
      <c r="E6" s="53">
        <f>D6*Assumptions!D7</f>
        <v>29835</v>
      </c>
      <c r="F6" s="53">
        <f>'Annual_P&amp;L'!D6+'Annual_P&amp;L'!D7+'Annual_P&amp;L'!D8+'Annual_P&amp;L'!D10</f>
        <v>211400</v>
      </c>
      <c r="G6" s="53">
        <f t="shared" si="0"/>
        <v>-42335</v>
      </c>
      <c r="H6" s="53">
        <f>MAX(0,G6*Assumptions!D19)</f>
        <v>0</v>
      </c>
      <c r="I6" s="54" t="s">
        <v>305</v>
      </c>
    </row>
    <row r="7" spans="1:9">
      <c r="A7" s="55" t="s">
        <v>306</v>
      </c>
      <c r="B7" s="56">
        <v>1</v>
      </c>
      <c r="C7" s="57">
        <f>1</f>
        <v>1</v>
      </c>
      <c r="D7" s="37">
        <f>'Annual_P&amp;L'!B4*C7</f>
        <v>93500</v>
      </c>
      <c r="E7" s="37">
        <f>D7*Assumptions!B7</f>
        <v>9350</v>
      </c>
      <c r="F7" s="37">
        <f>'Annual_P&amp;L'!B6+'Annual_P&amp;L'!B7+'Annual_P&amp;L'!B8+'Annual_P&amp;L'!B10</f>
        <v>51200</v>
      </c>
      <c r="G7" s="37">
        <f t="shared" si="0"/>
        <v>32950</v>
      </c>
      <c r="H7" s="37">
        <f>MAX(0,G7*Assumptions!B19)</f>
        <v>9885</v>
      </c>
      <c r="I7" s="58" t="s">
        <v>307</v>
      </c>
    </row>
    <row r="8" spans="1:9">
      <c r="A8" s="55" t="s">
        <v>306</v>
      </c>
      <c r="B8" s="56">
        <v>2</v>
      </c>
      <c r="C8" s="57">
        <f>1</f>
        <v>1</v>
      </c>
      <c r="D8" s="37">
        <f>'Annual_P&amp;L'!C4*C8</f>
        <v>269000</v>
      </c>
      <c r="E8" s="37">
        <f>D8*Assumptions!C7</f>
        <v>32280</v>
      </c>
      <c r="F8" s="37">
        <f>'Annual_P&amp;L'!C6+'Annual_P&amp;L'!C7+'Annual_P&amp;L'!C8+'Annual_P&amp;L'!C10</f>
        <v>119400</v>
      </c>
      <c r="G8" s="37">
        <f t="shared" si="0"/>
        <v>117320</v>
      </c>
      <c r="H8" s="37">
        <f>MAX(0,G8*Assumptions!C19)</f>
        <v>35196</v>
      </c>
      <c r="I8" s="58" t="s">
        <v>308</v>
      </c>
    </row>
    <row r="9" spans="1:9">
      <c r="A9" s="55" t="s">
        <v>306</v>
      </c>
      <c r="B9" s="56">
        <v>3</v>
      </c>
      <c r="C9" s="57">
        <f>1</f>
        <v>1</v>
      </c>
      <c r="D9" s="37">
        <f>'Annual_P&amp;L'!D4*C9</f>
        <v>442000</v>
      </c>
      <c r="E9" s="37">
        <f>D9*Assumptions!D7</f>
        <v>66300</v>
      </c>
      <c r="F9" s="37">
        <f>'Annual_P&amp;L'!D6+'Annual_P&amp;L'!D7+'Annual_P&amp;L'!D8+'Annual_P&amp;L'!D10</f>
        <v>211400</v>
      </c>
      <c r="G9" s="37">
        <f t="shared" si="0"/>
        <v>164300</v>
      </c>
      <c r="H9" s="37">
        <f>MAX(0,G9*Assumptions!D19)</f>
        <v>49290</v>
      </c>
      <c r="I9" s="58" t="s">
        <v>309</v>
      </c>
    </row>
    <row r="10" spans="1:9">
      <c r="A10" s="59" t="s">
        <v>310</v>
      </c>
      <c r="B10" s="60">
        <v>1</v>
      </c>
      <c r="C10" s="61">
        <f>Assumptions!B15</f>
        <v>1.25</v>
      </c>
      <c r="D10" s="62">
        <f>'Annual_P&amp;L'!B4*C10</f>
        <v>116875</v>
      </c>
      <c r="E10" s="62">
        <f>D10*Assumptions!B7</f>
        <v>11687.5</v>
      </c>
      <c r="F10" s="62">
        <f>'Annual_P&amp;L'!B6+'Annual_P&amp;L'!B7+'Annual_P&amp;L'!B8+'Annual_P&amp;L'!B10</f>
        <v>51200</v>
      </c>
      <c r="G10" s="62">
        <f t="shared" si="0"/>
        <v>53987.5</v>
      </c>
      <c r="H10" s="62">
        <f>MAX(0,G10*Assumptions!B19)</f>
        <v>16196.25</v>
      </c>
      <c r="I10" s="63" t="s">
        <v>311</v>
      </c>
    </row>
    <row r="11" spans="1:9">
      <c r="A11" s="59" t="s">
        <v>310</v>
      </c>
      <c r="B11" s="60">
        <v>2</v>
      </c>
      <c r="C11" s="61">
        <f>Assumptions!C15</f>
        <v>1.25</v>
      </c>
      <c r="D11" s="62">
        <f>'Annual_P&amp;L'!C4*C11</f>
        <v>336250</v>
      </c>
      <c r="E11" s="62">
        <f>D11*Assumptions!C7</f>
        <v>40350</v>
      </c>
      <c r="F11" s="62">
        <f>'Annual_P&amp;L'!C6+'Annual_P&amp;L'!C7+'Annual_P&amp;L'!C8+'Annual_P&amp;L'!C10</f>
        <v>119400</v>
      </c>
      <c r="G11" s="62">
        <f t="shared" si="0"/>
        <v>176500</v>
      </c>
      <c r="H11" s="62">
        <f>MAX(0,G11*Assumptions!C19)</f>
        <v>52950</v>
      </c>
      <c r="I11" s="63" t="s">
        <v>312</v>
      </c>
    </row>
    <row r="12" spans="1:9">
      <c r="A12" s="59" t="s">
        <v>310</v>
      </c>
      <c r="B12" s="60">
        <v>3</v>
      </c>
      <c r="C12" s="61">
        <f>Assumptions!D15</f>
        <v>1.25</v>
      </c>
      <c r="D12" s="62">
        <f>'Annual_P&amp;L'!D4*C12</f>
        <v>552500</v>
      </c>
      <c r="E12" s="62">
        <f>D12*Assumptions!D7</f>
        <v>82875</v>
      </c>
      <c r="F12" s="62">
        <f>'Annual_P&amp;L'!D6+'Annual_P&amp;L'!D7+'Annual_P&amp;L'!D8+'Annual_P&amp;L'!D10</f>
        <v>211400</v>
      </c>
      <c r="G12" s="62">
        <f t="shared" si="0"/>
        <v>258225</v>
      </c>
      <c r="H12" s="62">
        <f>MAX(0,G12*Assumptions!D19)</f>
        <v>77467.5</v>
      </c>
      <c r="I12" s="63" t="s">
        <v>313</v>
      </c>
    </row>
    <row r="13" spans="1:9">
      <c r="A13" s="1"/>
      <c r="B13" s="1"/>
      <c r="C13" s="1"/>
      <c r="D13" s="1"/>
      <c r="E13" s="1"/>
      <c r="F13" s="1"/>
    </row>
    <row r="14" spans="1:9">
      <c r="A14" s="1"/>
      <c r="B14" s="1"/>
      <c r="C14" s="1"/>
      <c r="D14" s="1"/>
      <c r="E14" s="1"/>
      <c r="F14" s="1"/>
    </row>
    <row r="15" spans="1:9">
      <c r="A15" s="1"/>
      <c r="B15" s="1"/>
      <c r="C15" s="1"/>
      <c r="D15" s="1"/>
      <c r="E15" s="1"/>
      <c r="F15" s="1"/>
    </row>
  </sheetData>
  <mergeCells count="2">
    <mergeCell ref="A1:I1"/>
    <mergeCell ref="A2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8"/>
  <sheetViews>
    <sheetView showGridLines="0" workbookViewId="0"/>
  </sheetViews>
  <sheetFormatPr baseColWidth="10" defaultColWidth="8.6640625" defaultRowHeight="14"/>
  <cols>
    <col min="1" max="1" width="27" customWidth="1"/>
    <col min="2" max="5" width="17" customWidth="1"/>
    <col min="6" max="6" width="40" customWidth="1"/>
  </cols>
  <sheetData>
    <row r="1" spans="1:6" ht="28" customHeight="1">
      <c r="A1" s="88" t="s">
        <v>314</v>
      </c>
      <c r="B1" s="86"/>
      <c r="C1" s="86"/>
      <c r="D1" s="86"/>
      <c r="E1" s="86"/>
      <c r="F1" s="86"/>
    </row>
    <row r="2" spans="1:6">
      <c r="A2" s="93" t="s">
        <v>405</v>
      </c>
      <c r="B2" s="86"/>
      <c r="C2" s="86"/>
      <c r="D2" s="86"/>
      <c r="E2" s="86"/>
      <c r="F2" s="86"/>
    </row>
    <row r="3" spans="1:6">
      <c r="A3" s="22" t="s">
        <v>315</v>
      </c>
      <c r="B3" s="22" t="s">
        <v>316</v>
      </c>
      <c r="C3" s="22" t="s">
        <v>317</v>
      </c>
      <c r="D3" s="22" t="s">
        <v>318</v>
      </c>
      <c r="E3" s="22" t="s">
        <v>1</v>
      </c>
      <c r="F3" s="22" t="s">
        <v>131</v>
      </c>
    </row>
    <row r="4" spans="1:6">
      <c r="A4" s="64" t="s">
        <v>319</v>
      </c>
      <c r="B4" s="65">
        <f>'Annual_P&amp;L'!B4</f>
        <v>93500</v>
      </c>
      <c r="C4" s="65">
        <v>93500</v>
      </c>
      <c r="D4" s="65">
        <f t="shared" ref="D4:D14" si="0">B4-C4</f>
        <v>0</v>
      </c>
      <c r="E4" s="66" t="str">
        <f t="shared" ref="E4:E11" si="1">IF(ABS(D4)&lt;0.01,"OK","FAIL")</f>
        <v>OK</v>
      </c>
      <c r="F4" s="71" t="s">
        <v>320</v>
      </c>
    </row>
    <row r="5" spans="1:6">
      <c r="A5" s="67" t="s">
        <v>321</v>
      </c>
      <c r="B5" s="36">
        <f>'Annual_P&amp;L'!C4</f>
        <v>269000</v>
      </c>
      <c r="C5" s="36">
        <v>269000</v>
      </c>
      <c r="D5" s="36">
        <f t="shared" si="0"/>
        <v>0</v>
      </c>
      <c r="E5" s="17" t="str">
        <f t="shared" si="1"/>
        <v>OK</v>
      </c>
      <c r="F5" s="72" t="s">
        <v>320</v>
      </c>
    </row>
    <row r="6" spans="1:6">
      <c r="A6" s="67" t="s">
        <v>322</v>
      </c>
      <c r="B6" s="36">
        <f>'Annual_P&amp;L'!D4</f>
        <v>442000</v>
      </c>
      <c r="C6" s="36">
        <v>442000</v>
      </c>
      <c r="D6" s="36">
        <f t="shared" si="0"/>
        <v>0</v>
      </c>
      <c r="E6" s="17" t="str">
        <f t="shared" si="1"/>
        <v>OK</v>
      </c>
      <c r="F6" s="72" t="s">
        <v>320</v>
      </c>
    </row>
    <row r="7" spans="1:6">
      <c r="A7" s="67" t="s">
        <v>323</v>
      </c>
      <c r="B7" s="36">
        <f>SUM(Contract_Cash!E28:AN28)</f>
        <v>804500</v>
      </c>
      <c r="C7" s="36">
        <f>Contract_Cash!C28</f>
        <v>804500</v>
      </c>
      <c r="D7" s="36">
        <f t="shared" si="0"/>
        <v>0</v>
      </c>
      <c r="E7" s="17" t="str">
        <f t="shared" si="1"/>
        <v>OK</v>
      </c>
      <c r="F7" s="72" t="s">
        <v>324</v>
      </c>
    </row>
    <row r="8" spans="1:6">
      <c r="A8" s="67" t="s">
        <v>325</v>
      </c>
      <c r="B8" s="36">
        <f>SUM(Contract_Cash!E7:AN7)+SUM(Contract_Cash!E15:AN15)+SUM(Contract_Cash!E24:AN25)</f>
        <v>96000</v>
      </c>
      <c r="C8" s="36">
        <f>Contract_Cash!C7+Contract_Cash!C15+Contract_Cash!C24+Contract_Cash!C25</f>
        <v>96000</v>
      </c>
      <c r="D8" s="36">
        <f t="shared" si="0"/>
        <v>0</v>
      </c>
      <c r="E8" s="17" t="str">
        <f t="shared" si="1"/>
        <v>OK</v>
      </c>
      <c r="F8" s="72" t="s">
        <v>326</v>
      </c>
    </row>
    <row r="9" spans="1:6">
      <c r="A9" s="67" t="s">
        <v>327</v>
      </c>
      <c r="B9" s="36">
        <f>Monthly_Cash!B14</f>
        <v>25000</v>
      </c>
      <c r="C9" s="36">
        <f>Assumptions!B4</f>
        <v>25000</v>
      </c>
      <c r="D9" s="36">
        <f t="shared" si="0"/>
        <v>0</v>
      </c>
      <c r="E9" s="17" t="str">
        <f t="shared" si="1"/>
        <v>OK</v>
      </c>
      <c r="F9" s="72" t="s">
        <v>328</v>
      </c>
    </row>
    <row r="10" spans="1:6">
      <c r="A10" s="67" t="s">
        <v>329</v>
      </c>
      <c r="B10" s="36">
        <f>Monthly_Cash!B15</f>
        <v>0</v>
      </c>
      <c r="C10" s="36">
        <f>Assumptions!B5</f>
        <v>0</v>
      </c>
      <c r="D10" s="36">
        <f t="shared" si="0"/>
        <v>0</v>
      </c>
      <c r="E10" s="17" t="str">
        <f t="shared" si="1"/>
        <v>OK</v>
      </c>
      <c r="F10" s="72" t="s">
        <v>330</v>
      </c>
    </row>
    <row r="11" spans="1:6">
      <c r="A11" s="67" t="s">
        <v>165</v>
      </c>
      <c r="B11" s="36">
        <f>Assumptions!B17</f>
        <v>900</v>
      </c>
      <c r="C11" s="36">
        <v>900</v>
      </c>
      <c r="D11" s="36">
        <f t="shared" si="0"/>
        <v>0</v>
      </c>
      <c r="E11" s="17" t="str">
        <f t="shared" si="1"/>
        <v>OK</v>
      </c>
      <c r="F11" s="72" t="s">
        <v>331</v>
      </c>
    </row>
    <row r="12" spans="1:6">
      <c r="A12" s="67" t="s">
        <v>332</v>
      </c>
      <c r="B12" s="68">
        <f>Scenarios!C4</f>
        <v>0.45</v>
      </c>
      <c r="C12" s="68">
        <f>Assumptions!B14</f>
        <v>0.45</v>
      </c>
      <c r="D12" s="68">
        <f t="shared" si="0"/>
        <v>0</v>
      </c>
      <c r="E12" s="17" t="str">
        <f>IF(ABS(D12)&lt;0.0001,"OK","FAIL")</f>
        <v>OK</v>
      </c>
      <c r="F12" s="72" t="s">
        <v>333</v>
      </c>
    </row>
    <row r="13" spans="1:6">
      <c r="A13" s="67" t="s">
        <v>334</v>
      </c>
      <c r="B13" s="68">
        <f>Scenarios!C10</f>
        <v>1.25</v>
      </c>
      <c r="C13" s="68">
        <f>Assumptions!B15</f>
        <v>1.25</v>
      </c>
      <c r="D13" s="68">
        <f t="shared" si="0"/>
        <v>0</v>
      </c>
      <c r="E13" s="17" t="str">
        <f>IF(ABS(D13)&lt;0.0001,"OK","FAIL")</f>
        <v>OK</v>
      </c>
      <c r="F13" s="72" t="s">
        <v>333</v>
      </c>
    </row>
    <row r="14" spans="1:6">
      <c r="A14" s="67" t="s">
        <v>335</v>
      </c>
      <c r="B14" s="36">
        <f>'Annual_P&amp;L'!B12</f>
        <v>9885</v>
      </c>
      <c r="C14" s="36">
        <f>'Annual_P&amp;L'!B11*Assumptions!B19</f>
        <v>9885</v>
      </c>
      <c r="D14" s="36">
        <f t="shared" si="0"/>
        <v>0</v>
      </c>
      <c r="E14" s="17" t="str">
        <f>IF(ABS(D14)&lt;0.01,"OK","FAIL")</f>
        <v>OK</v>
      </c>
      <c r="F14" s="72" t="s">
        <v>336</v>
      </c>
    </row>
    <row r="15" spans="1:6">
      <c r="A15" s="67" t="s">
        <v>337</v>
      </c>
      <c r="B15" s="36">
        <f>Monthly_Cash!AK17</f>
        <v>327610</v>
      </c>
      <c r="C15" s="36">
        <f>SUM(Monthly_Cash!B13:AK13)+Assumptions!B4</f>
        <v>327610</v>
      </c>
      <c r="D15" s="36">
        <f>ROUND(B15-C15,4)</f>
        <v>0</v>
      </c>
      <c r="E15" s="17" t="str">
        <f>IF(ABS(D15)&lt;0.01,"OK","FAIL")</f>
        <v>OK</v>
      </c>
      <c r="F15" s="72" t="s">
        <v>338</v>
      </c>
    </row>
    <row r="16" spans="1:6">
      <c r="A16" s="67" t="s">
        <v>339</v>
      </c>
      <c r="B16" s="36">
        <f>Monthly_Cash!AK19</f>
        <v>302610</v>
      </c>
      <c r="C16" s="36">
        <f>SUM(Monthly_Cash!B13:AK13)+Assumptions!B5</f>
        <v>302610</v>
      </c>
      <c r="D16" s="36">
        <f>ROUND(B16-C16,4)</f>
        <v>0</v>
      </c>
      <c r="E16" s="17" t="str">
        <f>IF(ABS(D16)&lt;0.01,"OK","FAIL")</f>
        <v>OK</v>
      </c>
      <c r="F16" s="72" t="s">
        <v>338</v>
      </c>
    </row>
    <row r="17" spans="1:6">
      <c r="A17" s="67" t="s">
        <v>406</v>
      </c>
      <c r="B17" s="17">
        <f>SUMPRODUCT(--ISERROR('Annual_P&amp;L'!B4:D13))+SUMPRODUCT(--ISERROR(Monthly_Cash!B7:AK29))+SUMPRODUCT(--ISERROR(Contract_Cash!E7:AN28))+SUMPRODUCT(--ISERROR(Scenarios!B4:H10))</f>
        <v>0</v>
      </c>
      <c r="C17" s="17">
        <v>0</v>
      </c>
      <c r="D17" s="17">
        <f>B17-C17</f>
        <v>0</v>
      </c>
      <c r="E17" s="17" t="str">
        <f>IF(D17=0,"OK","FAIL")</f>
        <v>OK</v>
      </c>
      <c r="F17" s="72" t="s">
        <v>340</v>
      </c>
    </row>
    <row r="18" spans="1:6" ht="28">
      <c r="A18" s="69" t="s">
        <v>341</v>
      </c>
      <c r="B18" s="70" t="str">
        <f>IF(COUNTIF(E4:E17,"FAIL")&gt;0,"FAIL",IF(AND(Assumptions!B5&gt;=Assumptions!B4,COUNTIF(Monthly_Cash!B28:AK29,"BELOW MIN")=0,COUNTIF(P1_Gates!D3:D7,"Erledigt")=5,Assumptions!B18="CONFIRMED"),"PASS","CONDITIONAL"))</f>
        <v>CONDITIONAL</v>
      </c>
      <c r="C18" s="70" t="s">
        <v>342</v>
      </c>
      <c r="D18" s="70">
        <f>IF(B18=C18,0,1)</f>
        <v>1</v>
      </c>
      <c r="E18" s="70" t="str">
        <f>B18</f>
        <v>CONDITIONAL</v>
      </c>
      <c r="F18" s="73" t="s">
        <v>343</v>
      </c>
    </row>
  </sheetData>
  <mergeCells count="2">
    <mergeCell ref="A2:F2"/>
    <mergeCell ref="A1:F1"/>
  </mergeCells>
  <conditionalFormatting sqref="E4:E13">
    <cfRule type="containsText" dxfId="5" priority="1" operator="containsText" text="OK"/>
    <cfRule type="containsText" dxfId="4" priority="2" operator="containsText" text="FAIL"/>
  </conditionalFormatting>
  <conditionalFormatting sqref="E4:E18">
    <cfRule type="containsText" dxfId="3" priority="3" operator="containsText" text="OK"/>
    <cfRule type="containsText" dxfId="2" priority="4" operator="containsText" text="PASS"/>
    <cfRule type="containsText" dxfId="1" priority="5" operator="containsText" text="FAIL"/>
    <cfRule type="containsText" dxfId="0" priority="6" operator="containsText" text="CONDITIONAL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7"/>
  <sheetViews>
    <sheetView showGridLines="0" workbookViewId="0"/>
  </sheetViews>
  <sheetFormatPr baseColWidth="10" defaultColWidth="8.6640625" defaultRowHeight="14"/>
  <cols>
    <col min="1" max="1" width="26" customWidth="1"/>
    <col min="2" max="2" width="14" customWidth="1"/>
    <col min="3" max="3" width="17" customWidth="1"/>
    <col min="4" max="5" width="16" customWidth="1"/>
    <col min="6" max="6" width="30" customWidth="1"/>
  </cols>
  <sheetData>
    <row r="1" spans="1:6" ht="28" customHeight="1">
      <c r="A1" s="94" t="s">
        <v>344</v>
      </c>
      <c r="B1" s="86"/>
      <c r="C1" s="86"/>
      <c r="D1" s="86"/>
      <c r="E1" s="86"/>
      <c r="F1" s="86"/>
    </row>
    <row r="2" spans="1:6" ht="14.5">
      <c r="A2" s="89" t="s">
        <v>345</v>
      </c>
      <c r="B2" s="86"/>
      <c r="C2" s="86"/>
      <c r="D2" s="86"/>
      <c r="E2" s="86"/>
      <c r="F2" s="86"/>
    </row>
    <row r="3" spans="1:6">
      <c r="A3" s="22" t="s">
        <v>189</v>
      </c>
      <c r="B3" s="22" t="s">
        <v>346</v>
      </c>
      <c r="C3" s="22" t="s">
        <v>347</v>
      </c>
      <c r="D3" s="22" t="s">
        <v>348</v>
      </c>
      <c r="E3" s="22" t="s">
        <v>349</v>
      </c>
      <c r="F3" s="22" t="s">
        <v>350</v>
      </c>
    </row>
    <row r="4" spans="1:6">
      <c r="A4" s="23" t="s">
        <v>229</v>
      </c>
      <c r="B4" s="24">
        <v>3</v>
      </c>
      <c r="C4" s="25" t="s">
        <v>351</v>
      </c>
      <c r="D4" s="24">
        <v>3</v>
      </c>
      <c r="E4" s="24">
        <v>1</v>
      </c>
      <c r="F4" s="19" t="s">
        <v>352</v>
      </c>
    </row>
    <row r="5" spans="1:6">
      <c r="A5" s="26" t="s">
        <v>231</v>
      </c>
      <c r="B5" s="27">
        <v>6</v>
      </c>
      <c r="C5" s="28" t="s">
        <v>351</v>
      </c>
      <c r="D5" s="27">
        <v>3</v>
      </c>
      <c r="E5" s="27">
        <v>1</v>
      </c>
      <c r="F5" s="21" t="s">
        <v>352</v>
      </c>
    </row>
    <row r="6" spans="1:6">
      <c r="A6" s="26" t="s">
        <v>232</v>
      </c>
      <c r="B6" s="27">
        <v>7</v>
      </c>
      <c r="C6" s="28" t="s">
        <v>353</v>
      </c>
      <c r="D6" s="27">
        <v>4</v>
      </c>
      <c r="E6" s="27">
        <v>1</v>
      </c>
      <c r="F6" s="21" t="s">
        <v>354</v>
      </c>
    </row>
    <row r="7" spans="1:6">
      <c r="A7" s="26" t="s">
        <v>234</v>
      </c>
      <c r="B7" s="27">
        <v>10</v>
      </c>
      <c r="C7" s="28" t="s">
        <v>355</v>
      </c>
      <c r="D7" s="27">
        <v>3</v>
      </c>
      <c r="E7" s="27">
        <v>1</v>
      </c>
      <c r="F7" s="21" t="s">
        <v>356</v>
      </c>
    </row>
    <row r="8" spans="1:6">
      <c r="A8" s="26" t="s">
        <v>236</v>
      </c>
      <c r="B8" s="27">
        <v>10</v>
      </c>
      <c r="C8" s="28" t="s">
        <v>357</v>
      </c>
      <c r="D8" s="27">
        <v>3</v>
      </c>
      <c r="E8" s="27">
        <v>1</v>
      </c>
      <c r="F8" s="21" t="s">
        <v>358</v>
      </c>
    </row>
    <row r="9" spans="1:6">
      <c r="A9" s="26" t="s">
        <v>238</v>
      </c>
      <c r="B9" s="27">
        <v>10</v>
      </c>
      <c r="C9" s="28" t="s">
        <v>359</v>
      </c>
      <c r="D9" s="27">
        <v>3</v>
      </c>
      <c r="E9" s="27">
        <v>1</v>
      </c>
      <c r="F9" s="21" t="s">
        <v>360</v>
      </c>
    </row>
    <row r="10" spans="1:6">
      <c r="A10" s="26" t="s">
        <v>240</v>
      </c>
      <c r="B10" s="27">
        <v>13</v>
      </c>
      <c r="C10" s="28" t="s">
        <v>351</v>
      </c>
      <c r="D10" s="27">
        <v>3</v>
      </c>
      <c r="E10" s="27">
        <v>1</v>
      </c>
      <c r="F10" s="21" t="s">
        <v>352</v>
      </c>
    </row>
    <row r="11" spans="1:6">
      <c r="A11" s="26" t="s">
        <v>241</v>
      </c>
      <c r="B11" s="27">
        <v>16</v>
      </c>
      <c r="C11" s="28" t="s">
        <v>351</v>
      </c>
      <c r="D11" s="27">
        <v>3</v>
      </c>
      <c r="E11" s="27">
        <v>1</v>
      </c>
      <c r="F11" s="21" t="s">
        <v>352</v>
      </c>
    </row>
    <row r="12" spans="1:6">
      <c r="A12" s="26" t="s">
        <v>242</v>
      </c>
      <c r="B12" s="27">
        <v>19</v>
      </c>
      <c r="C12" s="28" t="s">
        <v>351</v>
      </c>
      <c r="D12" s="27">
        <v>3</v>
      </c>
      <c r="E12" s="27">
        <v>1</v>
      </c>
      <c r="F12" s="21" t="s">
        <v>352</v>
      </c>
    </row>
    <row r="13" spans="1:6">
      <c r="A13" s="26" t="s">
        <v>243</v>
      </c>
      <c r="B13" s="27">
        <v>14</v>
      </c>
      <c r="C13" s="28" t="s">
        <v>353</v>
      </c>
      <c r="D13" s="27">
        <v>4</v>
      </c>
      <c r="E13" s="27">
        <v>1</v>
      </c>
      <c r="F13" s="21" t="s">
        <v>354</v>
      </c>
    </row>
    <row r="14" spans="1:6">
      <c r="A14" s="26" t="s">
        <v>244</v>
      </c>
      <c r="B14" s="27">
        <v>18</v>
      </c>
      <c r="C14" s="28" t="s">
        <v>353</v>
      </c>
      <c r="D14" s="27">
        <v>4</v>
      </c>
      <c r="E14" s="27">
        <v>1</v>
      </c>
      <c r="F14" s="21" t="s">
        <v>354</v>
      </c>
    </row>
    <row r="15" spans="1:6">
      <c r="A15" s="26" t="s">
        <v>245</v>
      </c>
      <c r="B15" s="27">
        <v>18</v>
      </c>
      <c r="C15" s="28" t="s">
        <v>355</v>
      </c>
      <c r="D15" s="27">
        <v>3</v>
      </c>
      <c r="E15" s="27">
        <v>1</v>
      </c>
      <c r="F15" s="21" t="s">
        <v>356</v>
      </c>
    </row>
    <row r="16" spans="1:6">
      <c r="A16" s="26" t="s">
        <v>246</v>
      </c>
      <c r="B16" s="27">
        <v>13</v>
      </c>
      <c r="C16" s="28" t="s">
        <v>357</v>
      </c>
      <c r="D16" s="27">
        <v>12</v>
      </c>
      <c r="E16" s="27">
        <v>1</v>
      </c>
      <c r="F16" s="21" t="s">
        <v>361</v>
      </c>
    </row>
    <row r="17" spans="1:6">
      <c r="A17" s="26" t="s">
        <v>247</v>
      </c>
      <c r="B17" s="27">
        <v>17</v>
      </c>
      <c r="C17" s="28" t="s">
        <v>359</v>
      </c>
      <c r="D17" s="27">
        <v>3</v>
      </c>
      <c r="E17" s="27">
        <v>3</v>
      </c>
      <c r="F17" s="21" t="s">
        <v>362</v>
      </c>
    </row>
    <row r="18" spans="1:6">
      <c r="A18" s="26" t="s">
        <v>248</v>
      </c>
      <c r="B18" s="27">
        <v>25</v>
      </c>
      <c r="C18" s="28" t="s">
        <v>351</v>
      </c>
      <c r="D18" s="27">
        <v>3</v>
      </c>
      <c r="E18" s="27">
        <v>1</v>
      </c>
      <c r="F18" s="21" t="s">
        <v>352</v>
      </c>
    </row>
    <row r="19" spans="1:6">
      <c r="A19" s="26" t="s">
        <v>249</v>
      </c>
      <c r="B19" s="27">
        <v>27</v>
      </c>
      <c r="C19" s="28" t="s">
        <v>351</v>
      </c>
      <c r="D19" s="27">
        <v>3</v>
      </c>
      <c r="E19" s="27">
        <v>1</v>
      </c>
      <c r="F19" s="21" t="s">
        <v>352</v>
      </c>
    </row>
    <row r="20" spans="1:6">
      <c r="A20" s="26" t="s">
        <v>250</v>
      </c>
      <c r="B20" s="27">
        <v>29</v>
      </c>
      <c r="C20" s="28" t="s">
        <v>351</v>
      </c>
      <c r="D20" s="27">
        <v>3</v>
      </c>
      <c r="E20" s="27">
        <v>1</v>
      </c>
      <c r="F20" s="21" t="s">
        <v>352</v>
      </c>
    </row>
    <row r="21" spans="1:6">
      <c r="A21" s="26" t="s">
        <v>251</v>
      </c>
      <c r="B21" s="27">
        <v>31</v>
      </c>
      <c r="C21" s="28" t="s">
        <v>351</v>
      </c>
      <c r="D21" s="27">
        <v>3</v>
      </c>
      <c r="E21" s="27">
        <v>1</v>
      </c>
      <c r="F21" s="21" t="s">
        <v>352</v>
      </c>
    </row>
    <row r="22" spans="1:6">
      <c r="A22" s="26" t="s">
        <v>252</v>
      </c>
      <c r="B22" s="27">
        <v>25</v>
      </c>
      <c r="C22" s="28" t="s">
        <v>353</v>
      </c>
      <c r="D22" s="27">
        <v>4</v>
      </c>
      <c r="E22" s="27">
        <v>1</v>
      </c>
      <c r="F22" s="21" t="s">
        <v>354</v>
      </c>
    </row>
    <row r="23" spans="1:6">
      <c r="A23" s="26" t="s">
        <v>253</v>
      </c>
      <c r="B23" s="27">
        <v>30</v>
      </c>
      <c r="C23" s="28" t="s">
        <v>353</v>
      </c>
      <c r="D23" s="27">
        <v>4</v>
      </c>
      <c r="E23" s="27">
        <v>1</v>
      </c>
      <c r="F23" s="21" t="s">
        <v>354</v>
      </c>
    </row>
    <row r="24" spans="1:6">
      <c r="A24" s="26" t="s">
        <v>254</v>
      </c>
      <c r="B24" s="27">
        <v>27</v>
      </c>
      <c r="C24" s="28" t="s">
        <v>355</v>
      </c>
      <c r="D24" s="27">
        <v>3</v>
      </c>
      <c r="E24" s="27">
        <v>1</v>
      </c>
      <c r="F24" s="21" t="s">
        <v>356</v>
      </c>
    </row>
    <row r="25" spans="1:6">
      <c r="A25" s="26" t="s">
        <v>255</v>
      </c>
      <c r="B25" s="27">
        <v>32</v>
      </c>
      <c r="C25" s="28" t="s">
        <v>355</v>
      </c>
      <c r="D25" s="27">
        <v>3</v>
      </c>
      <c r="E25" s="27">
        <v>1</v>
      </c>
      <c r="F25" s="21" t="s">
        <v>356</v>
      </c>
    </row>
    <row r="26" spans="1:6">
      <c r="A26" s="26" t="s">
        <v>256</v>
      </c>
      <c r="B26" s="27">
        <v>25</v>
      </c>
      <c r="C26" s="28" t="s">
        <v>357</v>
      </c>
      <c r="D26" s="27">
        <v>12</v>
      </c>
      <c r="E26" s="27">
        <v>1</v>
      </c>
      <c r="F26" s="21" t="s">
        <v>361</v>
      </c>
    </row>
    <row r="27" spans="1:6">
      <c r="A27" s="26" t="s">
        <v>257</v>
      </c>
      <c r="B27" s="27">
        <v>25</v>
      </c>
      <c r="C27" s="28" t="s">
        <v>359</v>
      </c>
      <c r="D27" s="27">
        <v>12</v>
      </c>
      <c r="E27" s="27">
        <v>1</v>
      </c>
      <c r="F27" s="21" t="s">
        <v>363</v>
      </c>
    </row>
  </sheetData>
  <mergeCells count="2">
    <mergeCell ref="A2:F2"/>
    <mergeCell ref="A1:F1"/>
  </mergeCells>
  <dataValidations count="2">
    <dataValidation type="whole" sqref="B4:B27 D4:E27" xr:uid="{00000000-0002-0000-0B00-000000000000}">
      <formula1>1</formula1>
      <formula2>36</formula2>
    </dataValidation>
    <dataValidation type="list" sqref="C4:C27" xr:uid="{00000000-0002-0000-0B00-000001000000}">
      <formula1>"Blueprint,Launch,Office Setup,Monthly,Periodic"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"/>
  <sheetViews>
    <sheetView showGridLines="0" workbookViewId="0"/>
  </sheetViews>
  <sheetFormatPr baseColWidth="10" defaultColWidth="8.6640625" defaultRowHeight="14"/>
  <cols>
    <col min="1" max="1" width="24" customWidth="1"/>
    <col min="2" max="2" width="28" customWidth="1"/>
    <col min="3" max="4" width="20" customWidth="1"/>
    <col min="5" max="5" width="42" customWidth="1"/>
    <col min="6" max="6" width="40" customWidth="1"/>
  </cols>
  <sheetData>
    <row r="1" spans="1:6" ht="28" customHeight="1">
      <c r="A1" s="94" t="s">
        <v>364</v>
      </c>
      <c r="B1" s="86"/>
      <c r="C1" s="86"/>
      <c r="D1" s="86"/>
      <c r="E1" s="86"/>
      <c r="F1" s="86"/>
    </row>
    <row r="2" spans="1:6">
      <c r="A2" s="34"/>
      <c r="B2" s="34"/>
      <c r="C2" s="34"/>
      <c r="D2" s="34"/>
      <c r="E2" s="34"/>
      <c r="F2" s="34"/>
    </row>
    <row r="3" spans="1:6">
      <c r="A3" s="22" t="s">
        <v>18</v>
      </c>
      <c r="B3" s="22" t="s">
        <v>365</v>
      </c>
      <c r="C3" s="22" t="s">
        <v>366</v>
      </c>
      <c r="D3" s="22" t="s">
        <v>367</v>
      </c>
      <c r="E3" s="22" t="s">
        <v>368</v>
      </c>
      <c r="F3" s="22" t="s">
        <v>369</v>
      </c>
    </row>
    <row r="4" spans="1:6">
      <c r="A4" s="23" t="s">
        <v>370</v>
      </c>
      <c r="B4" s="11" t="s">
        <v>186</v>
      </c>
      <c r="C4" s="11" t="s">
        <v>371</v>
      </c>
      <c r="D4" s="11" t="s">
        <v>372</v>
      </c>
      <c r="E4" s="74" t="s">
        <v>410</v>
      </c>
      <c r="F4" s="19" t="s">
        <v>331</v>
      </c>
    </row>
    <row r="5" spans="1:6" ht="28">
      <c r="A5" s="26" t="s">
        <v>232</v>
      </c>
      <c r="B5" s="36">
        <v>29500</v>
      </c>
      <c r="C5" s="17" t="s">
        <v>373</v>
      </c>
      <c r="D5" s="17" t="s">
        <v>372</v>
      </c>
      <c r="E5" s="75" t="s">
        <v>411</v>
      </c>
      <c r="F5" s="21" t="s">
        <v>374</v>
      </c>
    </row>
    <row r="6" spans="1:6">
      <c r="A6" s="26" t="s">
        <v>165</v>
      </c>
      <c r="B6" s="36">
        <v>900</v>
      </c>
      <c r="C6" s="17" t="s">
        <v>166</v>
      </c>
      <c r="D6" s="17" t="s">
        <v>375</v>
      </c>
      <c r="E6" s="75" t="s">
        <v>412</v>
      </c>
      <c r="F6" s="21" t="s">
        <v>376</v>
      </c>
    </row>
    <row r="7" spans="1:6">
      <c r="A7" s="26" t="s">
        <v>377</v>
      </c>
      <c r="B7" s="17" t="s">
        <v>235</v>
      </c>
      <c r="C7" s="17" t="s">
        <v>138</v>
      </c>
      <c r="D7" s="17" t="s">
        <v>378</v>
      </c>
      <c r="E7" s="75" t="s">
        <v>413</v>
      </c>
      <c r="F7" s="21" t="s">
        <v>379</v>
      </c>
    </row>
    <row r="8" spans="1:6" ht="28">
      <c r="A8" s="26" t="s">
        <v>380</v>
      </c>
      <c r="B8" s="36">
        <v>25000</v>
      </c>
      <c r="C8" s="17" t="s">
        <v>133</v>
      </c>
      <c r="D8" s="17" t="s">
        <v>381</v>
      </c>
      <c r="E8" s="75" t="s">
        <v>414</v>
      </c>
      <c r="F8" s="21" t="s">
        <v>382</v>
      </c>
    </row>
    <row r="9" spans="1:6">
      <c r="A9" s="26" t="s">
        <v>291</v>
      </c>
      <c r="B9" s="68">
        <v>0.3</v>
      </c>
      <c r="C9" s="17" t="s">
        <v>383</v>
      </c>
      <c r="D9" s="17" t="s">
        <v>384</v>
      </c>
      <c r="E9" s="75" t="s">
        <v>410</v>
      </c>
      <c r="F9" s="21" t="s">
        <v>385</v>
      </c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5"/>
  <sheetViews>
    <sheetView showGridLines="0" workbookViewId="0"/>
  </sheetViews>
  <sheetFormatPr baseColWidth="10" defaultColWidth="8.6640625" defaultRowHeight="14"/>
  <cols>
    <col min="1" max="1" width="24" customWidth="1"/>
    <col min="2" max="2" width="18" customWidth="1"/>
    <col min="3" max="4" width="24" customWidth="1"/>
  </cols>
  <sheetData>
    <row r="1" spans="1:14" ht="28" customHeight="1">
      <c r="A1" s="94" t="s">
        <v>404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2" spans="1:14" ht="14.5">
      <c r="A2" s="89" t="s">
        <v>386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</row>
    <row r="3" spans="1:14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>
      <c r="A4" s="22" t="s">
        <v>387</v>
      </c>
      <c r="B4" s="22" t="s">
        <v>19</v>
      </c>
      <c r="C4" s="22" t="s">
        <v>388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1:14" ht="15.5">
      <c r="A5" s="9" t="s">
        <v>341</v>
      </c>
      <c r="B5" s="76" t="str">
        <f>Checks!E18</f>
        <v>CONDITIONAL</v>
      </c>
      <c r="C5" s="12" t="s">
        <v>389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1:14" ht="15.5">
      <c r="A6" s="15" t="s">
        <v>390</v>
      </c>
      <c r="B6" s="77">
        <f>'Annual_P&amp;L'!B4</f>
        <v>93500</v>
      </c>
      <c r="C6" s="18" t="s">
        <v>391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7" spans="1:14" ht="15.5">
      <c r="A7" s="15" t="s">
        <v>392</v>
      </c>
      <c r="B7" s="77">
        <f>'Annual_P&amp;L'!B11</f>
        <v>32950</v>
      </c>
      <c r="C7" s="18" t="s">
        <v>393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</row>
    <row r="8" spans="1:14" ht="15.5">
      <c r="A8" s="15" t="s">
        <v>394</v>
      </c>
      <c r="B8" s="77">
        <f>'Annual_P&amp;L'!B13</f>
        <v>23065</v>
      </c>
      <c r="C8" s="18" t="s">
        <v>395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</row>
    <row r="9" spans="1:14" ht="15.5">
      <c r="A9" s="15" t="s">
        <v>396</v>
      </c>
      <c r="B9" s="77">
        <f>MIN(Monthly_Cash!B26:AK26)</f>
        <v>-792.5</v>
      </c>
      <c r="C9" s="18" t="s">
        <v>397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</row>
    <row r="10" spans="1:14" ht="15.5">
      <c r="A10" s="15" t="s">
        <v>398</v>
      </c>
      <c r="B10" s="77">
        <f>MIN(Monthly_Cash!B27:AK27)</f>
        <v>-25792.5</v>
      </c>
      <c r="C10" s="18" t="s">
        <v>399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</row>
    <row r="12" spans="1:14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</row>
    <row r="13" spans="1:14">
      <c r="A13" s="22" t="s">
        <v>190</v>
      </c>
      <c r="B13" s="22" t="s">
        <v>298</v>
      </c>
      <c r="C13" s="22" t="s">
        <v>289</v>
      </c>
      <c r="D13" s="22" t="s">
        <v>400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</row>
    <row r="14" spans="1:14">
      <c r="A14" s="23">
        <v>1</v>
      </c>
      <c r="B14" s="78">
        <f>'Annual_P&amp;L'!B4</f>
        <v>93500</v>
      </c>
      <c r="C14" s="78">
        <f>'Annual_P&amp;L'!B9</f>
        <v>34950</v>
      </c>
      <c r="D14" s="79">
        <f>'Annual_P&amp;L'!B13</f>
        <v>23065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</row>
    <row r="15" spans="1:14">
      <c r="A15" s="26">
        <v>2</v>
      </c>
      <c r="B15" s="36">
        <f>'Annual_P&amp;L'!C4</f>
        <v>269000</v>
      </c>
      <c r="C15" s="36">
        <f>'Annual_P&amp;L'!C9</f>
        <v>120320</v>
      </c>
      <c r="D15" s="80">
        <f>'Annual_P&amp;L'!C13</f>
        <v>82124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</row>
    <row r="16" spans="1:14">
      <c r="A16" s="26">
        <v>3</v>
      </c>
      <c r="B16" s="36">
        <f>'Annual_P&amp;L'!D4</f>
        <v>442000</v>
      </c>
      <c r="C16" s="36">
        <f>'Annual_P&amp;L'!D9</f>
        <v>169300</v>
      </c>
      <c r="D16" s="80">
        <f>'Annual_P&amp;L'!D13</f>
        <v>115010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</row>
    <row r="17" spans="1:14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</row>
    <row r="18" spans="1:14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</row>
    <row r="19" spans="1:14">
      <c r="A19" s="22" t="s">
        <v>401</v>
      </c>
      <c r="B19" s="22" t="s">
        <v>279</v>
      </c>
      <c r="C19" s="22" t="s">
        <v>280</v>
      </c>
      <c r="D19" s="22" t="s">
        <v>155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</row>
    <row r="20" spans="1:14">
      <c r="A20" s="23" t="s">
        <v>193</v>
      </c>
      <c r="B20" s="78">
        <f>Monthly_Cash!B23</f>
        <v>18576.25</v>
      </c>
      <c r="C20" s="78">
        <f>Monthly_Cash!B24</f>
        <v>-6423.75</v>
      </c>
      <c r="D20" s="79">
        <f>Monthly_Cash!B25</f>
        <v>10000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</row>
    <row r="21" spans="1:14">
      <c r="A21" s="26" t="s">
        <v>194</v>
      </c>
      <c r="B21" s="36">
        <f>Monthly_Cash!C23</f>
        <v>13152.5</v>
      </c>
      <c r="C21" s="36">
        <f>Monthly_Cash!C24</f>
        <v>-11847.5</v>
      </c>
      <c r="D21" s="80">
        <f>Monthly_Cash!C25</f>
        <v>10000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</row>
    <row r="22" spans="1:14">
      <c r="A22" s="26" t="s">
        <v>195</v>
      </c>
      <c r="B22" s="36">
        <f>Monthly_Cash!D23</f>
        <v>12728.75</v>
      </c>
      <c r="C22" s="36">
        <f>Monthly_Cash!D24</f>
        <v>-12271.25</v>
      </c>
      <c r="D22" s="80">
        <f>Monthly_Cash!D25</f>
        <v>10000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</row>
    <row r="23" spans="1:14">
      <c r="A23" s="26" t="s">
        <v>196</v>
      </c>
      <c r="B23" s="36">
        <f>Monthly_Cash!E23</f>
        <v>12305</v>
      </c>
      <c r="C23" s="36">
        <f>Monthly_Cash!E24</f>
        <v>-12695</v>
      </c>
      <c r="D23" s="80">
        <f>Monthly_Cash!E25</f>
        <v>10000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1:14">
      <c r="A24" s="26" t="s">
        <v>197</v>
      </c>
      <c r="B24" s="36">
        <f>Monthly_Cash!F23</f>
        <v>9631.25</v>
      </c>
      <c r="C24" s="36">
        <f>Monthly_Cash!F24</f>
        <v>-15368.75</v>
      </c>
      <c r="D24" s="80">
        <f>Monthly_Cash!F25</f>
        <v>10000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spans="1:14">
      <c r="A25" s="26" t="s">
        <v>198</v>
      </c>
      <c r="B25" s="36">
        <f>Monthly_Cash!G23</f>
        <v>9207.5</v>
      </c>
      <c r="C25" s="36">
        <f>Monthly_Cash!G24</f>
        <v>-15792.5</v>
      </c>
      <c r="D25" s="80">
        <f>Monthly_Cash!G25</f>
        <v>10000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14">
      <c r="A26" s="26" t="s">
        <v>199</v>
      </c>
      <c r="B26" s="36">
        <f>Monthly_Cash!H23</f>
        <v>16748.75</v>
      </c>
      <c r="C26" s="36">
        <f>Monthly_Cash!H24</f>
        <v>-8251.25</v>
      </c>
      <c r="D26" s="80">
        <f>Monthly_Cash!H25</f>
        <v>10000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</row>
    <row r="27" spans="1:14">
      <c r="A27" s="26" t="s">
        <v>200</v>
      </c>
      <c r="B27" s="36">
        <f>Monthly_Cash!I23</f>
        <v>22040</v>
      </c>
      <c r="C27" s="36">
        <f>Monthly_Cash!I24</f>
        <v>-2960</v>
      </c>
      <c r="D27" s="80">
        <f>Monthly_Cash!I25</f>
        <v>10000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</row>
    <row r="28" spans="1:14">
      <c r="A28" s="26" t="s">
        <v>201</v>
      </c>
      <c r="B28" s="36">
        <f>Monthly_Cash!J23</f>
        <v>25081.25</v>
      </c>
      <c r="C28" s="36">
        <f>Monthly_Cash!J24</f>
        <v>81.25</v>
      </c>
      <c r="D28" s="80">
        <f>Monthly_Cash!J25</f>
        <v>10000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</row>
    <row r="29" spans="1:14">
      <c r="A29" s="26" t="s">
        <v>202</v>
      </c>
      <c r="B29" s="36">
        <f>Monthly_Cash!K23</f>
        <v>36762.5</v>
      </c>
      <c r="C29" s="36">
        <f>Monthly_Cash!K24</f>
        <v>11762.5</v>
      </c>
      <c r="D29" s="80">
        <f>Monthly_Cash!K25</f>
        <v>10000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</row>
    <row r="30" spans="1:14">
      <c r="A30" s="26" t="s">
        <v>203</v>
      </c>
      <c r="B30" s="36">
        <f>Monthly_Cash!L23</f>
        <v>43088.75</v>
      </c>
      <c r="C30" s="36">
        <f>Monthly_Cash!L24</f>
        <v>18088.75</v>
      </c>
      <c r="D30" s="80">
        <f>Monthly_Cash!L25</f>
        <v>10000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</row>
    <row r="31" spans="1:14">
      <c r="A31" s="26" t="s">
        <v>204</v>
      </c>
      <c r="B31" s="36">
        <f>Monthly_Cash!M23</f>
        <v>48065</v>
      </c>
      <c r="C31" s="36">
        <f>Monthly_Cash!M24</f>
        <v>23065</v>
      </c>
      <c r="D31" s="80">
        <f>Monthly_Cash!M25</f>
        <v>10000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</row>
    <row r="32" spans="1:14">
      <c r="A32" s="26" t="s">
        <v>205</v>
      </c>
      <c r="B32" s="36">
        <f>Monthly_Cash!N23</f>
        <v>44104</v>
      </c>
      <c r="C32" s="36">
        <f>Monthly_Cash!N24</f>
        <v>19104</v>
      </c>
      <c r="D32" s="80">
        <f>Monthly_Cash!N25</f>
        <v>15000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</row>
    <row r="33" spans="1:14">
      <c r="A33" s="26" t="s">
        <v>206</v>
      </c>
      <c r="B33" s="36">
        <f>Monthly_Cash!O23</f>
        <v>55343</v>
      </c>
      <c r="C33" s="36">
        <f>Monthly_Cash!O24</f>
        <v>30343</v>
      </c>
      <c r="D33" s="80">
        <f>Monthly_Cash!O25</f>
        <v>15000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</row>
    <row r="34" spans="1:14">
      <c r="A34" s="26" t="s">
        <v>207</v>
      </c>
      <c r="B34" s="36">
        <f>Monthly_Cash!P23</f>
        <v>62886</v>
      </c>
      <c r="C34" s="36">
        <f>Monthly_Cash!P24</f>
        <v>37886</v>
      </c>
      <c r="D34" s="80">
        <f>Monthly_Cash!P25</f>
        <v>15000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</row>
    <row r="35" spans="1:14">
      <c r="A35" s="26" t="s">
        <v>208</v>
      </c>
      <c r="B35" s="36">
        <f>Monthly_Cash!Q23</f>
        <v>76125</v>
      </c>
      <c r="C35" s="36">
        <f>Monthly_Cash!Q24</f>
        <v>51125</v>
      </c>
      <c r="D35" s="80">
        <f>Monthly_Cash!Q25</f>
        <v>15000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</row>
    <row r="36" spans="1:14">
      <c r="A36" s="26" t="s">
        <v>209</v>
      </c>
      <c r="B36" s="36">
        <f>Monthly_Cash!R23</f>
        <v>83204</v>
      </c>
      <c r="C36" s="36">
        <f>Monthly_Cash!R24</f>
        <v>58204</v>
      </c>
      <c r="D36" s="80">
        <f>Monthly_Cash!R25</f>
        <v>15000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</row>
    <row r="37" spans="1:14">
      <c r="A37" s="26" t="s">
        <v>210</v>
      </c>
      <c r="B37" s="36">
        <f>Monthly_Cash!S23</f>
        <v>103747</v>
      </c>
      <c r="C37" s="36">
        <f>Monthly_Cash!S24</f>
        <v>78747</v>
      </c>
      <c r="D37" s="80">
        <f>Monthly_Cash!S25</f>
        <v>15000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</row>
    <row r="38" spans="1:14">
      <c r="A38" s="26" t="s">
        <v>211</v>
      </c>
      <c r="B38" s="36">
        <f>Monthly_Cash!T23</f>
        <v>123586</v>
      </c>
      <c r="C38" s="36">
        <f>Monthly_Cash!T24</f>
        <v>98586</v>
      </c>
      <c r="D38" s="80">
        <f>Monthly_Cash!T25</f>
        <v>15000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</row>
    <row r="39" spans="1:14">
      <c r="A39" s="26" t="s">
        <v>212</v>
      </c>
      <c r="B39" s="36">
        <f>Monthly_Cash!U23</f>
        <v>143865</v>
      </c>
      <c r="C39" s="36">
        <f>Monthly_Cash!U24</f>
        <v>118865</v>
      </c>
      <c r="D39" s="80">
        <f>Monthly_Cash!U25</f>
        <v>15000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1:14">
      <c r="A40" s="26" t="s">
        <v>213</v>
      </c>
      <c r="B40" s="36">
        <f>Monthly_Cash!V23</f>
        <v>144608</v>
      </c>
      <c r="C40" s="36">
        <f>Monthly_Cash!V24</f>
        <v>119608</v>
      </c>
      <c r="D40" s="80">
        <f>Monthly_Cash!V25</f>
        <v>15000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</row>
    <row r="41" spans="1:14">
      <c r="A41" s="26" t="s">
        <v>214</v>
      </c>
      <c r="B41" s="36">
        <f>Monthly_Cash!W23</f>
        <v>137255</v>
      </c>
      <c r="C41" s="36">
        <f>Monthly_Cash!W24</f>
        <v>112255</v>
      </c>
      <c r="D41" s="80">
        <f>Monthly_Cash!W25</f>
        <v>15000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</row>
    <row r="42" spans="1:14">
      <c r="A42" s="26" t="s">
        <v>215</v>
      </c>
      <c r="B42" s="36">
        <f>Monthly_Cash!X23</f>
        <v>132542</v>
      </c>
      <c r="C42" s="36">
        <f>Monthly_Cash!X24</f>
        <v>107542</v>
      </c>
      <c r="D42" s="80">
        <f>Monthly_Cash!X25</f>
        <v>15000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</row>
    <row r="43" spans="1:14">
      <c r="A43" s="26" t="s">
        <v>216</v>
      </c>
      <c r="B43" s="36">
        <f>Monthly_Cash!Y23</f>
        <v>125189</v>
      </c>
      <c r="C43" s="36">
        <f>Monthly_Cash!Y24</f>
        <v>100189</v>
      </c>
      <c r="D43" s="80">
        <f>Monthly_Cash!Y25</f>
        <v>15000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</row>
    <row r="44" spans="1:14">
      <c r="A44" s="26" t="s">
        <v>217</v>
      </c>
      <c r="B44" s="36">
        <f>Monthly_Cash!Z23</f>
        <v>133646.5</v>
      </c>
      <c r="C44" s="36">
        <f>Monthly_Cash!Z24</f>
        <v>108646.5</v>
      </c>
      <c r="D44" s="80">
        <f>Monthly_Cash!Z25</f>
        <v>25000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</row>
    <row r="45" spans="1:14">
      <c r="A45" s="26" t="s">
        <v>218</v>
      </c>
      <c r="B45" s="36">
        <f>Monthly_Cash!AA23</f>
        <v>142104</v>
      </c>
      <c r="C45" s="36">
        <f>Monthly_Cash!AA24</f>
        <v>117104</v>
      </c>
      <c r="D45" s="80">
        <f>Monthly_Cash!AA25</f>
        <v>25000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</row>
    <row r="46" spans="1:14">
      <c r="A46" s="26" t="s">
        <v>219</v>
      </c>
      <c r="B46" s="36">
        <f>Monthly_Cash!AB23</f>
        <v>166031.5</v>
      </c>
      <c r="C46" s="36">
        <f>Monthly_Cash!AB24</f>
        <v>141031.5</v>
      </c>
      <c r="D46" s="80">
        <f>Monthly_Cash!AB25</f>
        <v>25000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</row>
    <row r="47" spans="1:14">
      <c r="A47" s="26" t="s">
        <v>220</v>
      </c>
      <c r="B47" s="36">
        <f>Monthly_Cash!AC23</f>
        <v>177279</v>
      </c>
      <c r="C47" s="36">
        <f>Monthly_Cash!AC24</f>
        <v>152279</v>
      </c>
      <c r="D47" s="80">
        <f>Monthly_Cash!AC25</f>
        <v>25000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</row>
    <row r="48" spans="1:14">
      <c r="A48" s="26" t="s">
        <v>221</v>
      </c>
      <c r="B48" s="36">
        <f>Monthly_Cash!AD23</f>
        <v>185041.5</v>
      </c>
      <c r="C48" s="36">
        <f>Monthly_Cash!AD24</f>
        <v>160041.5</v>
      </c>
      <c r="D48" s="80">
        <f>Monthly_Cash!AD25</f>
        <v>25000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</row>
    <row r="49" spans="1:14">
      <c r="A49" s="26" t="s">
        <v>222</v>
      </c>
      <c r="B49" s="36">
        <f>Monthly_Cash!AE23</f>
        <v>198499</v>
      </c>
      <c r="C49" s="36">
        <f>Monthly_Cash!AE24</f>
        <v>173499</v>
      </c>
      <c r="D49" s="80">
        <f>Monthly_Cash!AE25</f>
        <v>25000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</row>
    <row r="50" spans="1:14">
      <c r="A50" s="26" t="s">
        <v>223</v>
      </c>
      <c r="B50" s="36">
        <f>Monthly_Cash!AF23</f>
        <v>215526.5</v>
      </c>
      <c r="C50" s="36">
        <f>Monthly_Cash!AF24</f>
        <v>190526.5</v>
      </c>
      <c r="D50" s="80">
        <f>Monthly_Cash!AF25</f>
        <v>25000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</row>
    <row r="51" spans="1:14">
      <c r="A51" s="26" t="s">
        <v>224</v>
      </c>
      <c r="B51" s="36">
        <f>Monthly_Cash!AG23</f>
        <v>240884</v>
      </c>
      <c r="C51" s="36">
        <f>Monthly_Cash!AG24</f>
        <v>215884</v>
      </c>
      <c r="D51" s="80">
        <f>Monthly_Cash!AG25</f>
        <v>25000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</row>
    <row r="52" spans="1:14">
      <c r="A52" s="26" t="s">
        <v>225</v>
      </c>
      <c r="B52" s="36">
        <f>Monthly_Cash!AH23</f>
        <v>248561.5</v>
      </c>
      <c r="C52" s="36">
        <f>Monthly_Cash!AH24</f>
        <v>223561.5</v>
      </c>
      <c r="D52" s="80">
        <f>Monthly_Cash!AH25</f>
        <v>25000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</row>
    <row r="53" spans="1:14">
      <c r="A53" s="26" t="s">
        <v>226</v>
      </c>
      <c r="B53" s="36">
        <f>Monthly_Cash!AI23</f>
        <v>245614</v>
      </c>
      <c r="C53" s="36">
        <f>Monthly_Cash!AI24</f>
        <v>220614</v>
      </c>
      <c r="D53" s="80">
        <f>Monthly_Cash!AI25</f>
        <v>25000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</row>
    <row r="54" spans="1:14">
      <c r="A54" s="26" t="s">
        <v>227</v>
      </c>
      <c r="B54" s="36">
        <f>Monthly_Cash!AJ23</f>
        <v>237906.5</v>
      </c>
      <c r="C54" s="36">
        <f>Monthly_Cash!AJ24</f>
        <v>212906.5</v>
      </c>
      <c r="D54" s="80">
        <f>Monthly_Cash!AJ25</f>
        <v>25000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</row>
    <row r="55" spans="1:14">
      <c r="A55" s="26" t="s">
        <v>228</v>
      </c>
      <c r="B55" s="36">
        <f>Monthly_Cash!AK23</f>
        <v>230199</v>
      </c>
      <c r="C55" s="36">
        <f>Monthly_Cash!AK24</f>
        <v>205199</v>
      </c>
      <c r="D55" s="80">
        <f>Monthly_Cash!AK25</f>
        <v>25000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</row>
  </sheetData>
  <mergeCells count="2">
    <mergeCell ref="A2:N2"/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Cover</vt:lpstr>
      <vt:lpstr>Source_of_Truth</vt:lpstr>
      <vt:lpstr>Funding_Scenarios</vt:lpstr>
      <vt:lpstr>Cash_Timing_Stress</vt:lpstr>
      <vt:lpstr>P1_Gates</vt:lpstr>
      <vt:lpstr>Assumptions</vt:lpstr>
      <vt:lpstr>Contract_Cash</vt:lpstr>
      <vt:lpstr>Monthly_Cash</vt:lpstr>
      <vt:lpstr>Annual_P&amp;L</vt:lpstr>
      <vt:lpstr>Scenarios</vt:lpstr>
      <vt:lpstr>Checks</vt:lpstr>
      <vt:lpstr>Schedule_Inputs</vt:lpstr>
      <vt:lpstr>Sources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zaki amawi</cp:lastModifiedBy>
  <dcterms:created xsi:type="dcterms:W3CDTF">2026-07-28T10:12:27Z</dcterms:created>
  <dcterms:modified xsi:type="dcterms:W3CDTF">2026-07-30T08:59:20Z</dcterms:modified>
</cp:coreProperties>
</file>