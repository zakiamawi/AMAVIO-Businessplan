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ntract_Cash" sheetId="3" state="visible" r:id="rId3"/>
    <sheet xmlns:r="http://schemas.openxmlformats.org/officeDocument/2006/relationships" name="Monthly_Cash" sheetId="4" state="visible" r:id="rId4"/>
    <sheet xmlns:r="http://schemas.openxmlformats.org/officeDocument/2006/relationships" name="Annual_P&amp;L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hecks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€#,##0;[Red](€#,##0);-"/>
    <numFmt numFmtId="165" formatCode="0.0%;[Red](0.0%);-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52606D"/>
      <sz val="11"/>
    </font>
    <font>
      <name val="Carlito"/>
      <b val="1"/>
      <color rgb="FF102A43"/>
      <sz val="11"/>
    </font>
    <font>
      <name val="Carlito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8EEF5"/>
      </patternFill>
    </fill>
  </fills>
  <borders count="4">
    <border/>
    <border>
      <left style="thin">
        <color rgb="FFB8BCC4"/>
      </left>
      <right style="thin">
        <color rgb="FFB8BCC4"/>
      </right>
      <top style="thin">
        <color rgb="FFB8BCC4"/>
      </top>
      <bottom style="thin">
        <color rgb="FFB8BCC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double">
        <color rgb="FF102A4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3" fillId="3" borderId="3" pivotButton="0" quotePrefix="0" xfId="0"/>
    <xf numFmtId="0" fontId="3" fillId="3" borderId="2" pivotButton="0" quotePrefix="0" xfId="0"/>
    <xf numFmtId="164" fontId="0" fillId="0" borderId="2" pivotButton="0" quotePrefix="0" xfId="0"/>
    <xf numFmtId="164" fontId="3" fillId="3" borderId="2" pivotButton="0" quotePrefix="0" xfId="0"/>
    <xf numFmtId="165" fontId="0" fillId="0" borderId="2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/>
  </cellStyles>
  <dxfs count="4">
    <dxf>
      <font>
        <b val="1"/>
        <color rgb="FF9B1C1C"/>
      </font>
      <fill>
        <patternFill>
          <bgColor rgb="FFFDECEC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9B1C1C"/>
      </font>
      <fill>
        <patternFill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25" t="inlineStr">
        <is>
          <t>AMAVIO | Finanzmodell 36 Monate v1.6</t>
        </is>
      </c>
    </row>
    <row r="2">
      <c r="A2" s="26" t="inlineStr">
        <is>
          <t>P0-Remediation: Cash Collection, VAT timing, unified capital logic, corrected scenarios and checks</t>
        </is>
      </c>
    </row>
    <row r="3">
      <c r="A3" s="27" t="n"/>
      <c r="B3" s="27" t="inlineStr">
        <is>
          <t>Version 1.7 · AMAVIO Living · commercial pricing aligned 28 July 2026</t>
        </is>
      </c>
      <c r="C3" s="27" t="n"/>
      <c r="D3" s="27" t="n"/>
      <c r="E3" s="27" t="n"/>
      <c r="F3" s="27" t="n"/>
      <c r="G3" s="27" t="n"/>
      <c r="H3" s="27" t="n"/>
    </row>
    <row r="4" ht="28" customHeight="1">
      <c r="A4" s="28" t="inlineStr">
        <is>
          <t>Status</t>
        </is>
      </c>
      <c r="B4" s="28" t="inlineStr">
        <is>
          <t>P0 CONDITIONAL – no external market clearance</t>
        </is>
      </c>
      <c r="C4" s="27" t="str"/>
      <c r="D4" s="27" t="str"/>
      <c r="E4" s="27" t="n"/>
      <c r="F4" s="27" t="n"/>
      <c r="G4" s="27" t="n"/>
      <c r="H4" s="27" t="n"/>
    </row>
    <row r="5" ht="28" customHeight="1">
      <c r="A5" s="29" t="inlineStr">
        <is>
          <t>Model purpose</t>
        </is>
      </c>
      <c r="B5" s="29" t="inlineStr">
        <is>
          <t>Plan P&amp;L and cash collections for a capital-light service business</t>
        </is>
      </c>
      <c r="C5" s="27" t="str"/>
      <c r="D5" s="27" t="str"/>
      <c r="E5" s="27" t="n"/>
      <c r="F5" s="27" t="n"/>
      <c r="G5" s="27" t="n"/>
      <c r="H5" s="27" t="n"/>
    </row>
    <row r="6" ht="28" customHeight="1">
      <c r="A6" s="29" t="inlineStr">
        <is>
          <t>Capital convention</t>
        </is>
      </c>
      <c r="B6" s="29" t="inlineStr">
        <is>
          <t>€25,000 total planned start funding: €500 share capital + €24,500 separately documented contribution/loan</t>
        </is>
      </c>
      <c r="C6" s="27" t="str"/>
      <c r="D6" s="27" t="str"/>
      <c r="E6" s="27" t="n"/>
      <c r="F6" s="27" t="n"/>
      <c r="G6" s="27" t="n"/>
      <c r="H6" s="27" t="n"/>
    </row>
    <row r="7" ht="28" customHeight="1">
      <c r="A7" s="29" t="inlineStr">
        <is>
          <t>Cash convention</t>
        </is>
      </c>
      <c r="B7" s="29" t="inlineStr">
        <is>
          <t>Cash receipts follow planned package instalments; P&amp;L revenue is separate. VAT is a timing reserve, not profit.</t>
        </is>
      </c>
      <c r="C7" s="27" t="str"/>
      <c r="D7" s="27" t="str"/>
      <c r="E7" s="27" t="n"/>
      <c r="F7" s="27" t="n"/>
      <c r="G7" s="27" t="n"/>
      <c r="H7" s="27" t="n"/>
    </row>
    <row r="8" ht="28" customHeight="1">
      <c r="A8" s="29" t="inlineStr">
        <is>
          <t>Limit</t>
        </is>
      </c>
      <c r="B8" s="29" t="inlineStr">
        <is>
          <t>No object operation, tenant deposits, customer funds, receivables financing or input-VAT recovery modelled.</t>
        </is>
      </c>
      <c r="C8" s="27" t="str"/>
      <c r="D8" s="27" t="str"/>
      <c r="E8" s="27" t="n"/>
      <c r="F8" s="27" t="n"/>
      <c r="G8" s="27" t="n"/>
      <c r="H8" s="27" t="n"/>
    </row>
    <row r="9" ht="28" customHeight="1">
      <c r="A9" s="29" t="inlineStr">
        <is>
          <t>Gate</t>
        </is>
      </c>
      <c r="B9" s="29" t="inlineStr">
        <is>
          <t>Replace planned funding by documented received funding before live cash decision.</t>
        </is>
      </c>
      <c r="C9" s="27" t="str"/>
      <c r="D9" s="27" t="str"/>
      <c r="E9" s="27" t="n"/>
      <c r="F9" s="27" t="n"/>
      <c r="G9" s="27" t="n"/>
      <c r="H9" s="27" t="n"/>
    </row>
    <row r="10" ht="28" customHeight="1">
      <c r="A10" s="29" t="inlineStr">
        <is>
          <t>Source</t>
        </is>
      </c>
      <c r="B10" s="29" t="inlineStr">
        <is>
          <t>P0 pricing: Blueprint 40/40/20; Launch 30/30/30/10; Office setup 50/50; retainer monthly in advance.</t>
        </is>
      </c>
      <c r="C10" s="27" t="str"/>
      <c r="D10" s="27" t="str"/>
      <c r="E10" s="27" t="n"/>
      <c r="F10" s="27" t="n"/>
      <c r="G10" s="27" t="n"/>
      <c r="H10" s="27" t="n"/>
    </row>
    <row r="11" ht="28" customHeight="1">
      <c r="A11" s="29" t="inlineStr">
        <is>
          <t>Owner</t>
        </is>
      </c>
      <c r="B11" s="29" t="inlineStr">
        <is>
          <t>Zaki Amawi / finance review required before use for commitments</t>
        </is>
      </c>
      <c r="C11" s="27" t="str"/>
      <c r="D11" s="27" t="str"/>
      <c r="E11" s="27" t="n"/>
      <c r="F11" s="27" t="n"/>
      <c r="G11" s="27" t="n"/>
      <c r="H11" s="27" t="n"/>
    </row>
    <row r="12" ht="28" customHeight="1">
      <c r="A12" s="29" t="inlineStr">
        <is>
          <t>Version date</t>
        </is>
      </c>
      <c r="B12" s="29" t="inlineStr">
        <is>
          <t>28 July 2026</t>
        </is>
      </c>
      <c r="C12" s="27" t="str"/>
      <c r="D12" s="27" t="str"/>
      <c r="E12" s="27" t="n"/>
      <c r="F12" s="27" t="n"/>
      <c r="G12" s="27" t="n"/>
      <c r="H12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  <col width="55" customWidth="1" min="6" max="6"/>
  </cols>
  <sheetData>
    <row r="1">
      <c r="A1" s="25" t="inlineStr">
        <is>
          <t>AMAVIO | Inputs – edit blue cells only</t>
        </is>
      </c>
    </row>
    <row r="2">
      <c r="A2" s="27" t="n"/>
      <c r="B2" s="27" t="n"/>
      <c r="C2" s="27" t="n"/>
      <c r="D2" s="27" t="n"/>
      <c r="E2" s="27" t="n"/>
      <c r="F2" s="27" t="n"/>
    </row>
    <row r="3">
      <c r="A3" s="28" t="inlineStr">
        <is>
          <t>Parameter</t>
        </is>
      </c>
      <c r="B3" s="28" t="inlineStr">
        <is>
          <t>Year 1</t>
        </is>
      </c>
      <c r="C3" s="28" t="inlineStr">
        <is>
          <t>Year 2</t>
        </is>
      </c>
      <c r="D3" s="28" t="inlineStr">
        <is>
          <t>Year 3</t>
        </is>
      </c>
      <c r="E3" s="28" t="inlineStr">
        <is>
          <t>Unit</t>
        </is>
      </c>
      <c r="F3" s="28" t="inlineStr">
        <is>
          <t>Note</t>
        </is>
      </c>
    </row>
    <row r="4">
      <c r="A4" s="29" t="inlineStr">
        <is>
          <t>Planned total start funding</t>
        </is>
      </c>
      <c r="B4" s="39" t="n">
        <v>25000</v>
      </c>
      <c r="C4" s="39" t="n">
        <v>0</v>
      </c>
      <c r="D4" s="39" t="n">
        <v>0</v>
      </c>
      <c r="E4" s="29" t="inlineStr">
        <is>
          <t>EUR</t>
        </is>
      </c>
      <c r="F4" s="29" t="inlineStr">
        <is>
          <t>€500 share capital + €24,500 documented contribution/loan; do not double count</t>
        </is>
      </c>
    </row>
    <row r="5">
      <c r="A5" s="29" t="inlineStr">
        <is>
          <t>Documented received start funding</t>
        </is>
      </c>
      <c r="B5" s="39" t="n">
        <v>0</v>
      </c>
      <c r="C5" s="39" t="n">
        <v>0</v>
      </c>
      <c r="D5" s="39" t="n">
        <v>0</v>
      </c>
      <c r="E5" s="29" t="inlineStr">
        <is>
          <t>EUR</t>
        </is>
      </c>
      <c r="F5" s="29" t="inlineStr">
        <is>
          <t>Set to actual received amount before live use</t>
        </is>
      </c>
    </row>
    <row r="6">
      <c r="A6" s="29" t="inlineStr">
        <is>
          <t>VAT rate</t>
        </is>
      </c>
      <c r="B6" s="40" t="n">
        <v>0.19</v>
      </c>
      <c r="C6" s="40" t="n">
        <v>0.19</v>
      </c>
      <c r="D6" s="40" t="n">
        <v>0.19</v>
      </c>
      <c r="E6" s="29" t="inlineStr">
        <is>
          <t>%</t>
        </is>
      </c>
      <c r="F6" s="29" t="inlineStr">
        <is>
          <t>VAT timing only; input VAT excluded</t>
        </is>
      </c>
    </row>
    <row r="7">
      <c r="A7" s="29" t="inlineStr">
        <is>
          <t>Variable external cost rate</t>
        </is>
      </c>
      <c r="B7" s="40" t="n">
        <v>0.1</v>
      </c>
      <c r="C7" s="40" t="n">
        <v>0.12</v>
      </c>
      <c r="D7" s="40" t="n">
        <v>0.15</v>
      </c>
      <c r="E7" s="29" t="inlineStr">
        <is>
          <t>% revenue</t>
        </is>
      </c>
      <c r="F7" s="29" t="inlineStr">
        <is>
          <t>Non-recharged service external costs</t>
        </is>
      </c>
    </row>
    <row r="8">
      <c r="A8" s="29" t="inlineStr">
        <is>
          <t>Monthly overhead</t>
        </is>
      </c>
      <c r="B8" s="39" t="n">
        <v>1600</v>
      </c>
      <c r="C8" s="39" t="n">
        <v>2200</v>
      </c>
      <c r="D8" s="39" t="n">
        <v>3200</v>
      </c>
      <c r="E8" s="29" t="inlineStr">
        <is>
          <t>EUR/month</t>
        </is>
      </c>
      <c r="F8" s="29" t="inlineStr">
        <is>
          <t>Software, insurance, marketing, advisers</t>
        </is>
      </c>
    </row>
    <row r="9">
      <c r="A9" s="29" t="inlineStr">
        <is>
          <t>Founder gross compensation</t>
        </is>
      </c>
      <c r="B9" s="39" t="n">
        <v>2500</v>
      </c>
      <c r="C9" s="39" t="n">
        <v>3500</v>
      </c>
      <c r="D9" s="39" t="n">
        <v>5000</v>
      </c>
      <c r="E9" s="29" t="inlineStr">
        <is>
          <t>EUR/month</t>
        </is>
      </c>
      <c r="F9" s="29" t="inlineStr">
        <is>
          <t>Only after GF agreement + resolution + cash gate. HINWEIS: Gründungszuschuss BA prüfen (ggf. +€1.200-2.000/Monat persönlich für 6 Monate).</t>
        </is>
      </c>
    </row>
    <row r="10">
      <c r="A10" s="29" t="inlineStr">
        <is>
          <t>Project coordination staff</t>
        </is>
      </c>
      <c r="B10" s="39" t="n">
        <v>0</v>
      </c>
      <c r="C10" s="39" t="n">
        <v>4000</v>
      </c>
      <c r="D10" s="39" t="n">
        <v>9000</v>
      </c>
      <c r="E10" s="29" t="inlineStr">
        <is>
          <t>EUR/month</t>
        </is>
      </c>
      <c r="F10" s="29" t="inlineStr">
        <is>
          <t>Only after personnel gate</t>
        </is>
      </c>
    </row>
    <row r="11">
      <c r="A11" s="29" t="inlineStr">
        <is>
          <t>Depreciation</t>
        </is>
      </c>
      <c r="B11" s="39" t="n">
        <v>2000</v>
      </c>
      <c r="C11" s="39" t="n">
        <v>3000</v>
      </c>
      <c r="D11" s="39" t="n">
        <v>5000</v>
      </c>
      <c r="E11" s="29" t="inlineStr">
        <is>
          <t>EUR/year</t>
        </is>
      </c>
      <c r="F11" s="29" t="inlineStr">
        <is>
          <t>P&amp;L only</t>
        </is>
      </c>
    </row>
    <row r="12">
      <c r="A12" s="29" t="inlineStr">
        <is>
          <t>Capex</t>
        </is>
      </c>
      <c r="B12" s="39" t="n">
        <v>2000</v>
      </c>
      <c r="C12" s="39" t="n">
        <v>8000</v>
      </c>
      <c r="D12" s="39" t="n">
        <v>15000</v>
      </c>
      <c r="E12" s="29" t="inlineStr">
        <is>
          <t>EUR/year</t>
        </is>
      </c>
      <c r="F12" s="29" t="inlineStr">
        <is>
          <t>Cash use</t>
        </is>
      </c>
    </row>
    <row r="13">
      <c r="A13" s="29" t="inlineStr">
        <is>
          <t>Minimum liquidity</t>
        </is>
      </c>
      <c r="B13" s="39" t="n">
        <v>10000</v>
      </c>
      <c r="C13" s="39" t="n">
        <v>15000</v>
      </c>
      <c r="D13" s="39" t="n">
        <v>25000</v>
      </c>
      <c r="E13" s="29" t="inlineStr">
        <is>
          <t>EUR</t>
        </is>
      </c>
      <c r="F13" s="29" t="inlineStr">
        <is>
          <t>Management threshold</t>
        </is>
      </c>
    </row>
    <row r="14">
      <c r="A14" s="29" t="inlineStr">
        <is>
          <t>Downside revenue factor</t>
        </is>
      </c>
      <c r="B14" s="40" t="n">
        <v>0.45</v>
      </c>
      <c r="C14" s="40" t="n">
        <v>0.45</v>
      </c>
      <c r="D14" s="40" t="n">
        <v>0.45</v>
      </c>
      <c r="E14" s="29" t="inlineStr">
        <is>
          <t>% of Base</t>
        </is>
      </c>
      <c r="F14" s="29" t="inlineStr">
        <is>
          <t>Corrected to 45%</t>
        </is>
      </c>
    </row>
    <row r="15">
      <c r="A15" s="29" t="inlineStr">
        <is>
          <t>Growth revenue factor</t>
        </is>
      </c>
      <c r="B15" s="40" t="n">
        <v>1.25</v>
      </c>
      <c r="C15" s="40" t="n">
        <v>1.25</v>
      </c>
      <c r="D15" s="40" t="n">
        <v>1.25</v>
      </c>
      <c r="E15" s="29" t="inlineStr">
        <is>
          <t>% of Base</t>
        </is>
      </c>
      <c r="F15" s="29" t="inlineStr">
        <is>
          <t>Planning sensitivity</t>
        </is>
      </c>
    </row>
    <row r="16">
      <c r="A16" s="29" t="inlineStr">
        <is>
          <t>Start-year billable founder days</t>
        </is>
      </c>
      <c r="B16" s="32" t="n">
        <v>102</v>
      </c>
      <c r="C16" s="32" t="n">
        <v>130</v>
      </c>
      <c r="D16" s="32" t="n">
        <v>140</v>
      </c>
      <c r="E16" s="29" t="inlineStr">
        <is>
          <t>days</t>
        </is>
      </c>
      <c r="F16" s="29" t="inlineStr">
        <is>
          <t>Year 1 launch capacity; years 2–3 mature target capacity</t>
        </is>
      </c>
    </row>
    <row r="17">
      <c r="A17" s="29" t="inlineStr">
        <is>
          <t>Standard day rate</t>
        </is>
      </c>
      <c r="B17" s="39" t="n">
        <v>1100</v>
      </c>
      <c r="C17" s="39" t="n">
        <v>1100</v>
      </c>
      <c r="D17" s="39" t="n">
        <v>1100</v>
      </c>
      <c r="E17" s="29" t="inlineStr">
        <is>
          <t>EUR/day</t>
        </is>
      </c>
      <c r="F17" s="29" t="inlineStr">
        <is>
          <t>Internal calibration; packages are client-facing</t>
        </is>
      </c>
    </row>
    <row r="18">
      <c r="A18" s="29" t="inlineStr">
        <is>
          <t>P0 finance status</t>
        </is>
      </c>
      <c r="B18" s="32" t="inlineStr">
        <is>
          <t>CONDITIONAL</t>
        </is>
      </c>
      <c r="C18" s="32" t="inlineStr">
        <is>
          <t>CONDITIONAL</t>
        </is>
      </c>
      <c r="D18" s="32" t="inlineStr">
        <is>
          <t>CONDITIONAL</t>
        </is>
      </c>
      <c r="E18" s="29" t="inlineStr">
        <is>
          <t>status</t>
        </is>
      </c>
      <c r="F18" s="29" t="inlineStr">
        <is>
          <t>Requires documented funding + legal/data/brand gates before commitments. Gate §34c GewO: Maklertätigkeit vor erstem Launch rechtlich klären.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20" customWidth="1" min="4" max="4"/>
    <col width="12" customWidth="1" min="5" max="5"/>
  </cols>
  <sheetData>
    <row r="1">
      <c r="A1" s="25" t="inlineStr">
        <is>
          <t>AMAVIO | Contract value and planned cash collection schedule</t>
        </is>
      </c>
      <c r="AM1" s="27" t="n"/>
      <c r="AN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>
      <c r="A3" s="28" t="inlineStr">
        <is>
          <t>Contract / package</t>
        </is>
      </c>
      <c r="B3" s="28" t="inlineStr">
        <is>
          <t>Year</t>
        </is>
      </c>
      <c r="C3" s="28" t="inlineStr">
        <is>
          <t>Net contract value</t>
        </is>
      </c>
      <c r="D3" s="28" t="inlineStr">
        <is>
          <t>Payment logic</t>
        </is>
      </c>
      <c r="E3" s="28" t="inlineStr">
        <is>
          <t>M1</t>
        </is>
      </c>
      <c r="F3" s="28" t="inlineStr">
        <is>
          <t>M2</t>
        </is>
      </c>
      <c r="G3" s="28" t="inlineStr">
        <is>
          <t>M3</t>
        </is>
      </c>
      <c r="H3" s="28" t="inlineStr">
        <is>
          <t>M4</t>
        </is>
      </c>
      <c r="I3" s="28" t="inlineStr">
        <is>
          <t>M5</t>
        </is>
      </c>
      <c r="J3" s="28" t="inlineStr">
        <is>
          <t>M6</t>
        </is>
      </c>
      <c r="K3" s="28" t="inlineStr">
        <is>
          <t>M7</t>
        </is>
      </c>
      <c r="L3" s="28" t="inlineStr">
        <is>
          <t>M8</t>
        </is>
      </c>
      <c r="M3" s="28" t="inlineStr">
        <is>
          <t>M9</t>
        </is>
      </c>
      <c r="N3" s="28" t="inlineStr">
        <is>
          <t>M10</t>
        </is>
      </c>
      <c r="O3" s="28" t="inlineStr">
        <is>
          <t>M11</t>
        </is>
      </c>
      <c r="P3" s="28" t="inlineStr">
        <is>
          <t>M12</t>
        </is>
      </c>
      <c r="Q3" s="28" t="inlineStr">
        <is>
          <t>M13</t>
        </is>
      </c>
      <c r="R3" s="28" t="inlineStr">
        <is>
          <t>M14</t>
        </is>
      </c>
      <c r="S3" s="28" t="inlineStr">
        <is>
          <t>M15</t>
        </is>
      </c>
      <c r="T3" s="28" t="inlineStr">
        <is>
          <t>M16</t>
        </is>
      </c>
      <c r="U3" s="28" t="inlineStr">
        <is>
          <t>M17</t>
        </is>
      </c>
      <c r="V3" s="28" t="inlineStr">
        <is>
          <t>M18</t>
        </is>
      </c>
      <c r="W3" s="28" t="inlineStr">
        <is>
          <t>M19</t>
        </is>
      </c>
      <c r="X3" s="28" t="inlineStr">
        <is>
          <t>M20</t>
        </is>
      </c>
      <c r="Y3" s="28" t="inlineStr">
        <is>
          <t>M21</t>
        </is>
      </c>
      <c r="Z3" s="28" t="inlineStr">
        <is>
          <t>M22</t>
        </is>
      </c>
      <c r="AA3" s="28" t="inlineStr">
        <is>
          <t>M23</t>
        </is>
      </c>
      <c r="AB3" s="28" t="inlineStr">
        <is>
          <t>M24</t>
        </is>
      </c>
      <c r="AC3" s="28" t="inlineStr">
        <is>
          <t>M25</t>
        </is>
      </c>
      <c r="AD3" s="28" t="inlineStr">
        <is>
          <t>M26</t>
        </is>
      </c>
      <c r="AE3" s="28" t="inlineStr">
        <is>
          <t>M27</t>
        </is>
      </c>
      <c r="AF3" s="28" t="inlineStr">
        <is>
          <t>M28</t>
        </is>
      </c>
      <c r="AG3" s="28" t="inlineStr">
        <is>
          <t>M29</t>
        </is>
      </c>
      <c r="AH3" s="28" t="inlineStr">
        <is>
          <t>M30</t>
        </is>
      </c>
      <c r="AI3" s="28" t="inlineStr">
        <is>
          <t>M31</t>
        </is>
      </c>
      <c r="AJ3" s="28" t="inlineStr">
        <is>
          <t>M32</t>
        </is>
      </c>
      <c r="AK3" s="28" t="inlineStr">
        <is>
          <t>M33</t>
        </is>
      </c>
      <c r="AL3" s="28" t="inlineStr">
        <is>
          <t>M34</t>
        </is>
      </c>
      <c r="AM3" s="28" t="inlineStr">
        <is>
          <t>M35</t>
        </is>
      </c>
      <c r="AN3" s="28" t="inlineStr">
        <is>
          <t>M36</t>
        </is>
      </c>
    </row>
    <row r="4">
      <c r="A4" s="33" t="inlineStr">
        <is>
          <t>Blueprint 01</t>
        </is>
      </c>
      <c r="B4" s="33" t="n">
        <v>1</v>
      </c>
      <c r="C4" s="41" t="n">
        <v>12500</v>
      </c>
      <c r="D4" s="42" t="inlineStr">
        <is>
          <t>40 / 40 / 20</t>
        </is>
      </c>
      <c r="E4" s="42" t="n">
        <v>0</v>
      </c>
      <c r="F4" s="42" t="n">
        <v>0</v>
      </c>
      <c r="G4" s="42">
        <f>12500*0.4</f>
        <v/>
      </c>
      <c r="H4" s="42">
        <f>12500*0.4</f>
        <v/>
      </c>
      <c r="I4" s="42">
        <f>12500*0.2</f>
        <v/>
      </c>
      <c r="J4" s="42" t="n">
        <v>0</v>
      </c>
      <c r="K4" s="42" t="n">
        <v>0</v>
      </c>
      <c r="L4" s="42" t="n">
        <v>0</v>
      </c>
      <c r="M4" s="42" t="n">
        <v>0</v>
      </c>
      <c r="N4" s="42" t="n">
        <v>0</v>
      </c>
      <c r="O4" s="42" t="n">
        <v>0</v>
      </c>
      <c r="P4" s="42" t="n">
        <v>0</v>
      </c>
      <c r="Q4" s="42" t="n">
        <v>0</v>
      </c>
      <c r="R4" s="42" t="n">
        <v>0</v>
      </c>
      <c r="S4" s="42" t="n">
        <v>0</v>
      </c>
      <c r="T4" s="42" t="n">
        <v>0</v>
      </c>
      <c r="U4" s="42" t="n">
        <v>0</v>
      </c>
      <c r="V4" s="42" t="n">
        <v>0</v>
      </c>
      <c r="W4" s="42" t="n">
        <v>0</v>
      </c>
      <c r="X4" s="42" t="n">
        <v>0</v>
      </c>
      <c r="Y4" s="42" t="n">
        <v>0</v>
      </c>
      <c r="Z4" s="42" t="n">
        <v>0</v>
      </c>
      <c r="AA4" s="42" t="n">
        <v>0</v>
      </c>
      <c r="AB4" s="42" t="n">
        <v>0</v>
      </c>
      <c r="AC4" s="42" t="n">
        <v>0</v>
      </c>
      <c r="AD4" s="42" t="n">
        <v>0</v>
      </c>
      <c r="AE4" s="42" t="n">
        <v>0</v>
      </c>
      <c r="AF4" s="42" t="n">
        <v>0</v>
      </c>
      <c r="AG4" s="42" t="n">
        <v>0</v>
      </c>
      <c r="AH4" s="42" t="n">
        <v>0</v>
      </c>
      <c r="AI4" s="42" t="n">
        <v>0</v>
      </c>
      <c r="AJ4" s="42" t="n">
        <v>0</v>
      </c>
      <c r="AK4" s="42" t="n">
        <v>0</v>
      </c>
      <c r="AL4" s="42" t="n">
        <v>0</v>
      </c>
      <c r="AM4" s="42" t="n">
        <v>0</v>
      </c>
      <c r="AN4" s="42" t="n">
        <v>0</v>
      </c>
    </row>
    <row r="5">
      <c r="A5" s="33" t="inlineStr">
        <is>
          <t>Blueprint 02</t>
        </is>
      </c>
      <c r="B5" s="33" t="n">
        <v>1</v>
      </c>
      <c r="C5" s="41" t="n">
        <v>12500</v>
      </c>
      <c r="D5" s="42" t="inlineStr">
        <is>
          <t>40 / 40 / 20</t>
        </is>
      </c>
      <c r="E5" s="42" t="n">
        <v>0</v>
      </c>
      <c r="F5" s="42" t="n">
        <v>0</v>
      </c>
      <c r="G5" s="42" t="n">
        <v>0</v>
      </c>
      <c r="H5" s="42" t="n">
        <v>0</v>
      </c>
      <c r="I5" s="42" t="n">
        <v>0</v>
      </c>
      <c r="J5" s="42">
        <f>12500*0.4</f>
        <v/>
      </c>
      <c r="K5" s="42">
        <f>12500*0.4</f>
        <v/>
      </c>
      <c r="L5" s="42">
        <f>12500*0.2</f>
        <v/>
      </c>
      <c r="M5" s="42" t="n">
        <v>0</v>
      </c>
      <c r="N5" s="42" t="n">
        <v>0</v>
      </c>
      <c r="O5" s="42" t="n">
        <v>0</v>
      </c>
      <c r="P5" s="42" t="n">
        <v>0</v>
      </c>
      <c r="Q5" s="42" t="n">
        <v>0</v>
      </c>
      <c r="R5" s="42" t="n">
        <v>0</v>
      </c>
      <c r="S5" s="42" t="n">
        <v>0</v>
      </c>
      <c r="T5" s="42" t="n">
        <v>0</v>
      </c>
      <c r="U5" s="42" t="n">
        <v>0</v>
      </c>
      <c r="V5" s="42" t="n">
        <v>0</v>
      </c>
      <c r="W5" s="42" t="n">
        <v>0</v>
      </c>
      <c r="X5" s="42" t="n">
        <v>0</v>
      </c>
      <c r="Y5" s="42" t="n">
        <v>0</v>
      </c>
      <c r="Z5" s="42" t="n">
        <v>0</v>
      </c>
      <c r="AA5" s="42" t="n">
        <v>0</v>
      </c>
      <c r="AB5" s="42" t="n">
        <v>0</v>
      </c>
      <c r="AC5" s="42" t="n">
        <v>0</v>
      </c>
      <c r="AD5" s="42" t="n">
        <v>0</v>
      </c>
      <c r="AE5" s="42" t="n">
        <v>0</v>
      </c>
      <c r="AF5" s="42" t="n">
        <v>0</v>
      </c>
      <c r="AG5" s="42" t="n">
        <v>0</v>
      </c>
      <c r="AH5" s="42" t="n">
        <v>0</v>
      </c>
      <c r="AI5" s="42" t="n">
        <v>0</v>
      </c>
      <c r="AJ5" s="42" t="n">
        <v>0</v>
      </c>
      <c r="AK5" s="42" t="n">
        <v>0</v>
      </c>
      <c r="AL5" s="42" t="n">
        <v>0</v>
      </c>
      <c r="AM5" s="42" t="n">
        <v>0</v>
      </c>
      <c r="AN5" s="42" t="n">
        <v>0</v>
      </c>
    </row>
    <row r="6">
      <c r="A6" s="33" t="inlineStr">
        <is>
          <t>Launch 01</t>
        </is>
      </c>
      <c r="B6" s="33" t="n">
        <v>1</v>
      </c>
      <c r="C6" s="41" t="n">
        <v>29500</v>
      </c>
      <c r="D6" s="42" t="inlineStr">
        <is>
          <t>30 / 30 / 30 / 10</t>
        </is>
      </c>
      <c r="E6" s="42" t="n">
        <v>0</v>
      </c>
      <c r="F6" s="42" t="n">
        <v>0</v>
      </c>
      <c r="G6" s="42" t="n">
        <v>0</v>
      </c>
      <c r="H6" s="42" t="n">
        <v>0</v>
      </c>
      <c r="I6" s="42" t="n">
        <v>0</v>
      </c>
      <c r="J6" s="42" t="n">
        <v>0</v>
      </c>
      <c r="K6" s="42" t="n">
        <v>8850</v>
      </c>
      <c r="L6" s="42" t="n">
        <v>8850</v>
      </c>
      <c r="M6" s="42" t="n">
        <v>8850</v>
      </c>
      <c r="N6" s="42" t="n">
        <v>2950</v>
      </c>
      <c r="O6" s="42" t="n">
        <v>0</v>
      </c>
      <c r="P6" s="42" t="n">
        <v>0</v>
      </c>
      <c r="Q6" s="42" t="n">
        <v>0</v>
      </c>
      <c r="R6" s="42" t="n">
        <v>0</v>
      </c>
      <c r="S6" s="42" t="n">
        <v>0</v>
      </c>
      <c r="T6" s="42" t="n">
        <v>0</v>
      </c>
      <c r="U6" s="42" t="n">
        <v>0</v>
      </c>
      <c r="V6" s="42" t="n">
        <v>0</v>
      </c>
      <c r="W6" s="42" t="n">
        <v>0</v>
      </c>
      <c r="X6" s="42" t="n">
        <v>0</v>
      </c>
      <c r="Y6" s="42" t="n">
        <v>0</v>
      </c>
      <c r="Z6" s="42" t="n">
        <v>0</v>
      </c>
      <c r="AA6" s="42" t="n">
        <v>0</v>
      </c>
      <c r="AB6" s="42" t="n">
        <v>0</v>
      </c>
      <c r="AC6" s="42" t="n">
        <v>0</v>
      </c>
      <c r="AD6" s="42" t="n">
        <v>0</v>
      </c>
      <c r="AE6" s="42" t="n">
        <v>0</v>
      </c>
      <c r="AF6" s="42" t="n">
        <v>0</v>
      </c>
      <c r="AG6" s="42" t="n">
        <v>0</v>
      </c>
      <c r="AH6" s="42" t="n">
        <v>0</v>
      </c>
      <c r="AI6" s="42" t="n">
        <v>0</v>
      </c>
      <c r="AJ6" s="42" t="n">
        <v>0</v>
      </c>
      <c r="AK6" s="42" t="n">
        <v>0</v>
      </c>
      <c r="AL6" s="42" t="n">
        <v>0</v>
      </c>
      <c r="AM6" s="42" t="n">
        <v>0</v>
      </c>
      <c r="AN6" s="42" t="n">
        <v>0</v>
      </c>
    </row>
    <row r="7">
      <c r="A7" s="33" t="inlineStr">
        <is>
          <t>Office Setup 01</t>
        </is>
      </c>
      <c r="B7" s="33" t="n">
        <v>1</v>
      </c>
      <c r="C7" s="41" t="n">
        <v>15000</v>
      </c>
      <c r="D7" s="42" t="inlineStr">
        <is>
          <t>50 / 50</t>
        </is>
      </c>
      <c r="E7" s="42" t="n">
        <v>0</v>
      </c>
      <c r="F7" s="42" t="n">
        <v>0</v>
      </c>
      <c r="G7" s="42" t="n">
        <v>0</v>
      </c>
      <c r="H7" s="42" t="n">
        <v>0</v>
      </c>
      <c r="I7" s="42" t="n">
        <v>0</v>
      </c>
      <c r="J7" s="42" t="n">
        <v>0</v>
      </c>
      <c r="K7" s="42" t="n">
        <v>0</v>
      </c>
      <c r="L7" s="42" t="n">
        <v>0</v>
      </c>
      <c r="M7" s="42" t="n">
        <v>0</v>
      </c>
      <c r="N7" s="42">
        <f>15000*0.5</f>
        <v/>
      </c>
      <c r="O7" s="42">
        <f>15000*0.5</f>
        <v/>
      </c>
      <c r="P7" s="42" t="n">
        <v>0</v>
      </c>
      <c r="Q7" s="42" t="n">
        <v>0</v>
      </c>
      <c r="R7" s="42" t="n">
        <v>0</v>
      </c>
      <c r="S7" s="42" t="n">
        <v>0</v>
      </c>
      <c r="T7" s="42" t="n">
        <v>0</v>
      </c>
      <c r="U7" s="42" t="n">
        <v>0</v>
      </c>
      <c r="V7" s="42" t="n">
        <v>0</v>
      </c>
      <c r="W7" s="42" t="n">
        <v>0</v>
      </c>
      <c r="X7" s="42" t="n">
        <v>0</v>
      </c>
      <c r="Y7" s="42" t="n">
        <v>0</v>
      </c>
      <c r="Z7" s="42" t="n">
        <v>0</v>
      </c>
      <c r="AA7" s="42" t="n">
        <v>0</v>
      </c>
      <c r="AB7" s="42" t="n">
        <v>0</v>
      </c>
      <c r="AC7" s="42" t="n">
        <v>0</v>
      </c>
      <c r="AD7" s="42" t="n">
        <v>0</v>
      </c>
      <c r="AE7" s="42" t="n">
        <v>0</v>
      </c>
      <c r="AF7" s="42" t="n">
        <v>0</v>
      </c>
      <c r="AG7" s="42" t="n">
        <v>0</v>
      </c>
      <c r="AH7" s="42" t="n">
        <v>0</v>
      </c>
      <c r="AI7" s="42" t="n">
        <v>0</v>
      </c>
      <c r="AJ7" s="42" t="n">
        <v>0</v>
      </c>
      <c r="AK7" s="42" t="n">
        <v>0</v>
      </c>
      <c r="AL7" s="42" t="n">
        <v>0</v>
      </c>
      <c r="AM7" s="42" t="n">
        <v>0</v>
      </c>
      <c r="AN7" s="42" t="n">
        <v>0</v>
      </c>
    </row>
    <row r="8">
      <c r="A8" s="33" t="inlineStr">
        <is>
          <t>Retainer 01</t>
        </is>
      </c>
      <c r="B8" s="33" t="n">
        <v>1</v>
      </c>
      <c r="C8" s="41" t="n">
        <v>13500</v>
      </c>
      <c r="D8" s="42" t="inlineStr">
        <is>
          <t>monthly in advance</t>
        </is>
      </c>
      <c r="E8" s="42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42" t="n">
        <v>0</v>
      </c>
      <c r="K8" s="42" t="n">
        <v>0</v>
      </c>
      <c r="L8" s="42" t="n">
        <v>0</v>
      </c>
      <c r="M8" s="42" t="n">
        <v>0</v>
      </c>
      <c r="N8" s="42">
        <f>13500*0.3333333333333333</f>
        <v/>
      </c>
      <c r="O8" s="42">
        <f>13500*0.3333333333333333</f>
        <v/>
      </c>
      <c r="P8" s="42">
        <f>13500*0.3333333333333333</f>
        <v/>
      </c>
      <c r="Q8" s="42" t="n">
        <v>0</v>
      </c>
      <c r="R8" s="42" t="n">
        <v>0</v>
      </c>
      <c r="S8" s="42" t="n">
        <v>0</v>
      </c>
      <c r="T8" s="42" t="n">
        <v>0</v>
      </c>
      <c r="U8" s="42" t="n">
        <v>0</v>
      </c>
      <c r="V8" s="42" t="n">
        <v>0</v>
      </c>
      <c r="W8" s="42" t="n">
        <v>0</v>
      </c>
      <c r="X8" s="42" t="n">
        <v>0</v>
      </c>
      <c r="Y8" s="42" t="n">
        <v>0</v>
      </c>
      <c r="Z8" s="42" t="n">
        <v>0</v>
      </c>
      <c r="AA8" s="42" t="n">
        <v>0</v>
      </c>
      <c r="AB8" s="42" t="n">
        <v>0</v>
      </c>
      <c r="AC8" s="42" t="n">
        <v>0</v>
      </c>
      <c r="AD8" s="42" t="n">
        <v>0</v>
      </c>
      <c r="AE8" s="42" t="n">
        <v>0</v>
      </c>
      <c r="AF8" s="42" t="n">
        <v>0</v>
      </c>
      <c r="AG8" s="42" t="n">
        <v>0</v>
      </c>
      <c r="AH8" s="42" t="n">
        <v>0</v>
      </c>
      <c r="AI8" s="42" t="n">
        <v>0</v>
      </c>
      <c r="AJ8" s="42" t="n">
        <v>0</v>
      </c>
      <c r="AK8" s="42" t="n">
        <v>0</v>
      </c>
      <c r="AL8" s="42" t="n">
        <v>0</v>
      </c>
      <c r="AM8" s="42" t="n">
        <v>0</v>
      </c>
      <c r="AN8" s="42" t="n">
        <v>0</v>
      </c>
    </row>
    <row r="9">
      <c r="A9" s="33" t="inlineStr">
        <is>
          <t>Add-ons 01</t>
        </is>
      </c>
      <c r="B9" s="33" t="n">
        <v>1</v>
      </c>
      <c r="C9" s="41" t="n">
        <v>10500</v>
      </c>
      <c r="D9" s="42" t="inlineStr">
        <is>
          <t>approved scope</t>
        </is>
      </c>
      <c r="E9" s="42" t="n">
        <v>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  <c r="K9" s="42" t="n">
        <v>0</v>
      </c>
      <c r="L9" s="42" t="n">
        <v>0</v>
      </c>
      <c r="M9" s="42" t="n">
        <v>0</v>
      </c>
      <c r="N9" s="42">
        <f>10500*0.3333333333333333</f>
        <v/>
      </c>
      <c r="O9" s="42">
        <f>10500*0.3333333333333333</f>
        <v/>
      </c>
      <c r="P9" s="42">
        <f>10500*0.3333333333333333</f>
        <v/>
      </c>
      <c r="Q9" s="42" t="n">
        <v>0</v>
      </c>
      <c r="R9" s="42" t="n">
        <v>0</v>
      </c>
      <c r="S9" s="42" t="n">
        <v>0</v>
      </c>
      <c r="T9" s="42" t="n">
        <v>0</v>
      </c>
      <c r="U9" s="42" t="n">
        <v>0</v>
      </c>
      <c r="V9" s="42" t="n">
        <v>0</v>
      </c>
      <c r="W9" s="42" t="n">
        <v>0</v>
      </c>
      <c r="X9" s="42" t="n">
        <v>0</v>
      </c>
      <c r="Y9" s="42" t="n">
        <v>0</v>
      </c>
      <c r="Z9" s="42" t="n">
        <v>0</v>
      </c>
      <c r="AA9" s="42" t="n">
        <v>0</v>
      </c>
      <c r="AB9" s="42" t="n">
        <v>0</v>
      </c>
      <c r="AC9" s="42" t="n">
        <v>0</v>
      </c>
      <c r="AD9" s="42" t="n">
        <v>0</v>
      </c>
      <c r="AE9" s="42" t="n">
        <v>0</v>
      </c>
      <c r="AF9" s="42" t="n">
        <v>0</v>
      </c>
      <c r="AG9" s="42" t="n">
        <v>0</v>
      </c>
      <c r="AH9" s="42" t="n">
        <v>0</v>
      </c>
      <c r="AI9" s="42" t="n">
        <v>0</v>
      </c>
      <c r="AJ9" s="42" t="n">
        <v>0</v>
      </c>
      <c r="AK9" s="42" t="n">
        <v>0</v>
      </c>
      <c r="AL9" s="42" t="n">
        <v>0</v>
      </c>
      <c r="AM9" s="42" t="n">
        <v>0</v>
      </c>
      <c r="AN9" s="42" t="n">
        <v>0</v>
      </c>
    </row>
    <row r="10">
      <c r="A10" s="33" t="inlineStr">
        <is>
          <t>Blueprint 03</t>
        </is>
      </c>
      <c r="B10" s="33" t="n">
        <v>2</v>
      </c>
      <c r="C10" s="41" t="n">
        <v>21000</v>
      </c>
      <c r="D10" s="42" t="inlineStr">
        <is>
          <t>40 / 40 / 20</t>
        </is>
      </c>
      <c r="E10" s="42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  <c r="K10" s="42" t="n">
        <v>0</v>
      </c>
      <c r="L10" s="42" t="n">
        <v>0</v>
      </c>
      <c r="M10" s="42" t="n">
        <v>0</v>
      </c>
      <c r="N10" s="42" t="n">
        <v>0</v>
      </c>
      <c r="O10" s="42" t="n">
        <v>0</v>
      </c>
      <c r="P10" s="42" t="n">
        <v>0</v>
      </c>
      <c r="Q10" s="42">
        <f>21000*0.4</f>
        <v/>
      </c>
      <c r="R10" s="42">
        <f>21000*0.4</f>
        <v/>
      </c>
      <c r="S10" s="42">
        <f>21000*0.2</f>
        <v/>
      </c>
      <c r="T10" s="42" t="n">
        <v>0</v>
      </c>
      <c r="U10" s="42" t="n">
        <v>0</v>
      </c>
      <c r="V10" s="42" t="n">
        <v>0</v>
      </c>
      <c r="W10" s="42" t="n">
        <v>0</v>
      </c>
      <c r="X10" s="42" t="n">
        <v>0</v>
      </c>
      <c r="Y10" s="42" t="n">
        <v>0</v>
      </c>
      <c r="Z10" s="42" t="n">
        <v>0</v>
      </c>
      <c r="AA10" s="42" t="n">
        <v>0</v>
      </c>
      <c r="AB10" s="42" t="n">
        <v>0</v>
      </c>
      <c r="AC10" s="42" t="n">
        <v>0</v>
      </c>
      <c r="AD10" s="42" t="n">
        <v>0</v>
      </c>
      <c r="AE10" s="42" t="n">
        <v>0</v>
      </c>
      <c r="AF10" s="42" t="n">
        <v>0</v>
      </c>
      <c r="AG10" s="42" t="n">
        <v>0</v>
      </c>
      <c r="AH10" s="42" t="n">
        <v>0</v>
      </c>
      <c r="AI10" s="42" t="n">
        <v>0</v>
      </c>
      <c r="AJ10" s="42" t="n">
        <v>0</v>
      </c>
      <c r="AK10" s="42" t="n">
        <v>0</v>
      </c>
      <c r="AL10" s="42" t="n">
        <v>0</v>
      </c>
      <c r="AM10" s="42" t="n">
        <v>0</v>
      </c>
      <c r="AN10" s="42" t="n">
        <v>0</v>
      </c>
    </row>
    <row r="11">
      <c r="A11" s="33" t="inlineStr">
        <is>
          <t>Blueprint 04</t>
        </is>
      </c>
      <c r="B11" s="33" t="n">
        <v>2</v>
      </c>
      <c r="C11" s="41" t="n">
        <v>21000</v>
      </c>
      <c r="D11" s="42" t="inlineStr">
        <is>
          <t>40 / 40 / 20</t>
        </is>
      </c>
      <c r="E11" s="42" t="n">
        <v>0</v>
      </c>
      <c r="F11" s="42" t="n">
        <v>0</v>
      </c>
      <c r="G11" s="42" t="n">
        <v>0</v>
      </c>
      <c r="H11" s="42" t="n">
        <v>0</v>
      </c>
      <c r="I11" s="42" t="n">
        <v>0</v>
      </c>
      <c r="J11" s="42" t="n">
        <v>0</v>
      </c>
      <c r="K11" s="42" t="n">
        <v>0</v>
      </c>
      <c r="L11" s="42" t="n">
        <v>0</v>
      </c>
      <c r="M11" s="42" t="n">
        <v>0</v>
      </c>
      <c r="N11" s="42" t="n">
        <v>0</v>
      </c>
      <c r="O11" s="42" t="n">
        <v>0</v>
      </c>
      <c r="P11" s="42" t="n">
        <v>0</v>
      </c>
      <c r="Q11" s="42" t="n">
        <v>0</v>
      </c>
      <c r="R11" s="42" t="n">
        <v>0</v>
      </c>
      <c r="S11" s="42" t="n">
        <v>0</v>
      </c>
      <c r="T11" s="42">
        <f>21000*0.4</f>
        <v/>
      </c>
      <c r="U11" s="42">
        <f>21000*0.4</f>
        <v/>
      </c>
      <c r="V11" s="42">
        <f>21000*0.2</f>
        <v/>
      </c>
      <c r="W11" s="42" t="n">
        <v>0</v>
      </c>
      <c r="X11" s="42" t="n">
        <v>0</v>
      </c>
      <c r="Y11" s="42" t="n">
        <v>0</v>
      </c>
      <c r="Z11" s="42" t="n">
        <v>0</v>
      </c>
      <c r="AA11" s="42" t="n">
        <v>0</v>
      </c>
      <c r="AB11" s="42" t="n">
        <v>0</v>
      </c>
      <c r="AC11" s="42" t="n">
        <v>0</v>
      </c>
      <c r="AD11" s="42" t="n">
        <v>0</v>
      </c>
      <c r="AE11" s="42" t="n">
        <v>0</v>
      </c>
      <c r="AF11" s="42" t="n">
        <v>0</v>
      </c>
      <c r="AG11" s="42" t="n">
        <v>0</v>
      </c>
      <c r="AH11" s="42" t="n">
        <v>0</v>
      </c>
      <c r="AI11" s="42" t="n">
        <v>0</v>
      </c>
      <c r="AJ11" s="42" t="n">
        <v>0</v>
      </c>
      <c r="AK11" s="42" t="n">
        <v>0</v>
      </c>
      <c r="AL11" s="42" t="n">
        <v>0</v>
      </c>
      <c r="AM11" s="42" t="n">
        <v>0</v>
      </c>
      <c r="AN11" s="42" t="n">
        <v>0</v>
      </c>
    </row>
    <row r="12">
      <c r="A12" s="33" t="inlineStr">
        <is>
          <t>Blueprint 05</t>
        </is>
      </c>
      <c r="B12" s="33" t="n">
        <v>2</v>
      </c>
      <c r="C12" s="41" t="n">
        <v>21000</v>
      </c>
      <c r="D12" s="42" t="inlineStr">
        <is>
          <t>40 / 40 / 20</t>
        </is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  <c r="K12" s="42" t="n">
        <v>0</v>
      </c>
      <c r="L12" s="42" t="n">
        <v>0</v>
      </c>
      <c r="M12" s="42" t="n">
        <v>0</v>
      </c>
      <c r="N12" s="42" t="n">
        <v>0</v>
      </c>
      <c r="O12" s="42" t="n">
        <v>0</v>
      </c>
      <c r="P12" s="42" t="n">
        <v>0</v>
      </c>
      <c r="Q12" s="42" t="n">
        <v>0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  <c r="W12" s="42">
        <f>21000*0.4</f>
        <v/>
      </c>
      <c r="X12" s="42">
        <f>21000*0.4</f>
        <v/>
      </c>
      <c r="Y12" s="42">
        <f>21000*0.2</f>
        <v/>
      </c>
      <c r="Z12" s="42" t="n">
        <v>0</v>
      </c>
      <c r="AA12" s="42" t="n">
        <v>0</v>
      </c>
      <c r="AB12" s="42" t="n">
        <v>0</v>
      </c>
      <c r="AC12" s="42" t="n">
        <v>0</v>
      </c>
      <c r="AD12" s="42" t="n">
        <v>0</v>
      </c>
      <c r="AE12" s="42" t="n">
        <v>0</v>
      </c>
      <c r="AF12" s="42" t="n">
        <v>0</v>
      </c>
      <c r="AG12" s="42" t="n">
        <v>0</v>
      </c>
      <c r="AH12" s="42" t="n">
        <v>0</v>
      </c>
      <c r="AI12" s="42" t="n">
        <v>0</v>
      </c>
      <c r="AJ12" s="42" t="n">
        <v>0</v>
      </c>
      <c r="AK12" s="42" t="n">
        <v>0</v>
      </c>
      <c r="AL12" s="42" t="n">
        <v>0</v>
      </c>
      <c r="AM12" s="42" t="n">
        <v>0</v>
      </c>
      <c r="AN12" s="42" t="n">
        <v>0</v>
      </c>
    </row>
    <row r="13">
      <c r="A13" s="33" t="inlineStr">
        <is>
          <t>Launch 02</t>
        </is>
      </c>
      <c r="B13" s="33" t="n">
        <v>2</v>
      </c>
      <c r="C13" s="41" t="n">
        <v>50000</v>
      </c>
      <c r="D13" s="42" t="inlineStr">
        <is>
          <t>30 / 30 / 30 / 10</t>
        </is>
      </c>
      <c r="E13" s="42" t="n">
        <v>0</v>
      </c>
      <c r="F13" s="42" t="n">
        <v>0</v>
      </c>
      <c r="G13" s="42" t="n">
        <v>0</v>
      </c>
      <c r="H13" s="42" t="n">
        <v>0</v>
      </c>
      <c r="I13" s="42" t="n">
        <v>0</v>
      </c>
      <c r="J13" s="42" t="n">
        <v>0</v>
      </c>
      <c r="K13" s="42" t="n">
        <v>0</v>
      </c>
      <c r="L13" s="42" t="n">
        <v>0</v>
      </c>
      <c r="M13" s="42" t="n">
        <v>0</v>
      </c>
      <c r="N13" s="42" t="n">
        <v>0</v>
      </c>
      <c r="O13" s="42" t="n">
        <v>0</v>
      </c>
      <c r="P13" s="42" t="n">
        <v>0</v>
      </c>
      <c r="Q13" s="42" t="n">
        <v>0</v>
      </c>
      <c r="R13" s="42">
        <f>50000*0.3</f>
        <v/>
      </c>
      <c r="S13" s="42">
        <f>50000*0.3</f>
        <v/>
      </c>
      <c r="T13" s="42">
        <f>50000*0.3</f>
        <v/>
      </c>
      <c r="U13" s="42">
        <f>50000*0.1</f>
        <v/>
      </c>
      <c r="V13" s="42" t="n">
        <v>0</v>
      </c>
      <c r="W13" s="42" t="n">
        <v>0</v>
      </c>
      <c r="X13" s="42" t="n">
        <v>0</v>
      </c>
      <c r="Y13" s="42" t="n">
        <v>0</v>
      </c>
      <c r="Z13" s="42" t="n">
        <v>0</v>
      </c>
      <c r="AA13" s="42" t="n">
        <v>0</v>
      </c>
      <c r="AB13" s="42" t="n">
        <v>0</v>
      </c>
      <c r="AC13" s="42" t="n">
        <v>0</v>
      </c>
      <c r="AD13" s="42" t="n">
        <v>0</v>
      </c>
      <c r="AE13" s="42" t="n">
        <v>0</v>
      </c>
      <c r="AF13" s="42" t="n">
        <v>0</v>
      </c>
      <c r="AG13" s="42" t="n">
        <v>0</v>
      </c>
      <c r="AH13" s="42" t="n">
        <v>0</v>
      </c>
      <c r="AI13" s="42" t="n">
        <v>0</v>
      </c>
      <c r="AJ13" s="42" t="n">
        <v>0</v>
      </c>
      <c r="AK13" s="42" t="n">
        <v>0</v>
      </c>
      <c r="AL13" s="42" t="n">
        <v>0</v>
      </c>
      <c r="AM13" s="42" t="n">
        <v>0</v>
      </c>
      <c r="AN13" s="42" t="n">
        <v>0</v>
      </c>
    </row>
    <row r="14">
      <c r="A14" s="33" t="inlineStr">
        <is>
          <t>Launch 03</t>
        </is>
      </c>
      <c r="B14" s="33" t="n">
        <v>2</v>
      </c>
      <c r="C14" s="41" t="n">
        <v>50000</v>
      </c>
      <c r="D14" s="42" t="inlineStr">
        <is>
          <t>30 / 30 / 30 / 10</t>
        </is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  <c r="K14" s="42" t="n">
        <v>0</v>
      </c>
      <c r="L14" s="42" t="n">
        <v>0</v>
      </c>
      <c r="M14" s="42" t="n">
        <v>0</v>
      </c>
      <c r="N14" s="42" t="n">
        <v>0</v>
      </c>
      <c r="O14" s="42" t="n">
        <v>0</v>
      </c>
      <c r="P14" s="42" t="n">
        <v>0</v>
      </c>
      <c r="Q14" s="42" t="n">
        <v>0</v>
      </c>
      <c r="R14" s="42" t="n">
        <v>0</v>
      </c>
      <c r="S14" s="42" t="n">
        <v>0</v>
      </c>
      <c r="T14" s="42" t="n">
        <v>0</v>
      </c>
      <c r="U14" s="42" t="n">
        <v>0</v>
      </c>
      <c r="V14" s="42">
        <f>50000*0.3</f>
        <v/>
      </c>
      <c r="W14" s="42">
        <f>50000*0.3</f>
        <v/>
      </c>
      <c r="X14" s="42">
        <f>50000*0.3</f>
        <v/>
      </c>
      <c r="Y14" s="42">
        <f>50000*0.1</f>
        <v/>
      </c>
      <c r="Z14" s="42" t="n">
        <v>0</v>
      </c>
      <c r="AA14" s="42" t="n">
        <v>0</v>
      </c>
      <c r="AB14" s="42" t="n">
        <v>0</v>
      </c>
      <c r="AC14" s="42" t="n">
        <v>0</v>
      </c>
      <c r="AD14" s="42" t="n">
        <v>0</v>
      </c>
      <c r="AE14" s="42" t="n">
        <v>0</v>
      </c>
      <c r="AF14" s="42" t="n">
        <v>0</v>
      </c>
      <c r="AG14" s="42" t="n">
        <v>0</v>
      </c>
      <c r="AH14" s="42" t="n">
        <v>0</v>
      </c>
      <c r="AI14" s="42" t="n">
        <v>0</v>
      </c>
      <c r="AJ14" s="42" t="n">
        <v>0</v>
      </c>
      <c r="AK14" s="42" t="n">
        <v>0</v>
      </c>
      <c r="AL14" s="42" t="n">
        <v>0</v>
      </c>
      <c r="AM14" s="42" t="n">
        <v>0</v>
      </c>
      <c r="AN14" s="42" t="n">
        <v>0</v>
      </c>
    </row>
    <row r="15">
      <c r="A15" s="33" t="inlineStr">
        <is>
          <t>Office Setup 02</t>
        </is>
      </c>
      <c r="B15" s="33" t="n">
        <v>2</v>
      </c>
      <c r="C15" s="41" t="n">
        <v>25000</v>
      </c>
      <c r="D15" s="42" t="inlineStr">
        <is>
          <t>50 / 50</t>
        </is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  <c r="K15" s="42" t="n">
        <v>0</v>
      </c>
      <c r="L15" s="42" t="n">
        <v>0</v>
      </c>
      <c r="M15" s="42" t="n">
        <v>0</v>
      </c>
      <c r="N15" s="42" t="n">
        <v>0</v>
      </c>
      <c r="O15" s="42" t="n">
        <v>0</v>
      </c>
      <c r="P15" s="42" t="n">
        <v>0</v>
      </c>
      <c r="Q15" s="42" t="n">
        <v>0</v>
      </c>
      <c r="R15" s="42" t="n">
        <v>0</v>
      </c>
      <c r="S15" s="42" t="n">
        <v>0</v>
      </c>
      <c r="T15" s="42" t="n">
        <v>0</v>
      </c>
      <c r="U15" s="42" t="n">
        <v>0</v>
      </c>
      <c r="V15" s="42">
        <f>25000*0.5</f>
        <v/>
      </c>
      <c r="W15" s="42">
        <f>25000*0.5</f>
        <v/>
      </c>
      <c r="X15" s="42" t="n">
        <v>0</v>
      </c>
      <c r="Y15" s="42" t="n">
        <v>0</v>
      </c>
      <c r="Z15" s="42" t="n">
        <v>0</v>
      </c>
      <c r="AA15" s="42" t="n">
        <v>0</v>
      </c>
      <c r="AB15" s="42" t="n">
        <v>0</v>
      </c>
      <c r="AC15" s="42" t="n">
        <v>0</v>
      </c>
      <c r="AD15" s="42" t="n">
        <v>0</v>
      </c>
      <c r="AE15" s="42" t="n">
        <v>0</v>
      </c>
      <c r="AF15" s="42" t="n">
        <v>0</v>
      </c>
      <c r="AG15" s="42" t="n">
        <v>0</v>
      </c>
      <c r="AH15" s="42" t="n">
        <v>0</v>
      </c>
      <c r="AI15" s="42" t="n">
        <v>0</v>
      </c>
      <c r="AJ15" s="42" t="n">
        <v>0</v>
      </c>
      <c r="AK15" s="42" t="n">
        <v>0</v>
      </c>
      <c r="AL15" s="42" t="n">
        <v>0</v>
      </c>
      <c r="AM15" s="42" t="n">
        <v>0</v>
      </c>
      <c r="AN15" s="42" t="n">
        <v>0</v>
      </c>
    </row>
    <row r="16">
      <c r="A16" s="33" t="inlineStr">
        <is>
          <t>Retainer 02</t>
        </is>
      </c>
      <c r="B16" s="33" t="n">
        <v>2</v>
      </c>
      <c r="C16" s="41" t="n">
        <v>72000</v>
      </c>
      <c r="D16" s="42" t="inlineStr">
        <is>
          <t>monthly in advance</t>
        </is>
      </c>
      <c r="E16" s="42" t="n">
        <v>0</v>
      </c>
      <c r="F16" s="42" t="n">
        <v>0</v>
      </c>
      <c r="G16" s="42" t="n">
        <v>0</v>
      </c>
      <c r="H16" s="42" t="n">
        <v>0</v>
      </c>
      <c r="I16" s="42" t="n">
        <v>0</v>
      </c>
      <c r="J16" s="42" t="n">
        <v>0</v>
      </c>
      <c r="K16" s="42" t="n">
        <v>0</v>
      </c>
      <c r="L16" s="42" t="n">
        <v>0</v>
      </c>
      <c r="M16" s="42" t="n">
        <v>0</v>
      </c>
      <c r="N16" s="42" t="n">
        <v>0</v>
      </c>
      <c r="O16" s="42" t="n">
        <v>0</v>
      </c>
      <c r="P16" s="42" t="n">
        <v>0</v>
      </c>
      <c r="Q16" s="42">
        <f>72000*0.08333333333333333</f>
        <v/>
      </c>
      <c r="R16" s="42">
        <f>72000*0.08333333333333333</f>
        <v/>
      </c>
      <c r="S16" s="42">
        <f>72000*0.08333333333333333</f>
        <v/>
      </c>
      <c r="T16" s="42">
        <f>72000*0.08333333333333333</f>
        <v/>
      </c>
      <c r="U16" s="42">
        <f>72000*0.08333333333333333</f>
        <v/>
      </c>
      <c r="V16" s="42">
        <f>72000*0.08333333333333333</f>
        <v/>
      </c>
      <c r="W16" s="42">
        <f>72000*0.08333333333333333</f>
        <v/>
      </c>
      <c r="X16" s="42">
        <f>72000*0.08333333333333333</f>
        <v/>
      </c>
      <c r="Y16" s="42">
        <f>72000*0.08333333333333333</f>
        <v/>
      </c>
      <c r="Z16" s="42">
        <f>72000*0.08333333333333333</f>
        <v/>
      </c>
      <c r="AA16" s="42">
        <f>72000*0.08333333333333333</f>
        <v/>
      </c>
      <c r="AB16" s="42">
        <f>72000*0.08333333333333333</f>
        <v/>
      </c>
      <c r="AC16" s="42" t="n">
        <v>0</v>
      </c>
      <c r="AD16" s="42" t="n">
        <v>0</v>
      </c>
      <c r="AE16" s="42" t="n">
        <v>0</v>
      </c>
      <c r="AF16" s="42" t="n">
        <v>0</v>
      </c>
      <c r="AG16" s="42" t="n">
        <v>0</v>
      </c>
      <c r="AH16" s="42" t="n">
        <v>0</v>
      </c>
      <c r="AI16" s="42" t="n">
        <v>0</v>
      </c>
      <c r="AJ16" s="42" t="n">
        <v>0</v>
      </c>
      <c r="AK16" s="42" t="n">
        <v>0</v>
      </c>
      <c r="AL16" s="42" t="n">
        <v>0</v>
      </c>
      <c r="AM16" s="42" t="n">
        <v>0</v>
      </c>
      <c r="AN16" s="42" t="n">
        <v>0</v>
      </c>
    </row>
    <row r="17">
      <c r="A17" s="33" t="inlineStr">
        <is>
          <t>Add-ons 02</t>
        </is>
      </c>
      <c r="B17" s="33" t="n">
        <v>2</v>
      </c>
      <c r="C17" s="41" t="n">
        <v>9000</v>
      </c>
      <c r="D17" s="42" t="inlineStr">
        <is>
          <t>approved scope</t>
        </is>
      </c>
      <c r="E17" s="42" t="n">
        <v>0</v>
      </c>
      <c r="F17" s="42" t="n">
        <v>0</v>
      </c>
      <c r="G17" s="42" t="n">
        <v>0</v>
      </c>
      <c r="H17" s="42" t="n">
        <v>0</v>
      </c>
      <c r="I17" s="42" t="n">
        <v>0</v>
      </c>
      <c r="J17" s="42" t="n">
        <v>0</v>
      </c>
      <c r="K17" s="42" t="n">
        <v>0</v>
      </c>
      <c r="L17" s="42" t="n">
        <v>0</v>
      </c>
      <c r="M17" s="42" t="n">
        <v>0</v>
      </c>
      <c r="N17" s="42" t="n">
        <v>0</v>
      </c>
      <c r="O17" s="42" t="n">
        <v>0</v>
      </c>
      <c r="P17" s="42" t="n">
        <v>0</v>
      </c>
      <c r="Q17" s="42" t="n">
        <v>0</v>
      </c>
      <c r="R17" s="42" t="n">
        <v>0</v>
      </c>
      <c r="S17" s="42" t="n">
        <v>0</v>
      </c>
      <c r="T17" s="42" t="n">
        <v>0</v>
      </c>
      <c r="U17" s="42">
        <f>9000*0.3333333333333333</f>
        <v/>
      </c>
      <c r="V17" s="42" t="n">
        <v>0</v>
      </c>
      <c r="W17" s="42" t="n">
        <v>0</v>
      </c>
      <c r="X17" s="42">
        <f>9000*0.3333333333333333</f>
        <v/>
      </c>
      <c r="Y17" s="42" t="n">
        <v>0</v>
      </c>
      <c r="Z17" s="42" t="n">
        <v>0</v>
      </c>
      <c r="AA17" s="42">
        <f>9000*0.3333333333333333</f>
        <v/>
      </c>
      <c r="AB17" s="42" t="n">
        <v>0</v>
      </c>
      <c r="AC17" s="42" t="n">
        <v>0</v>
      </c>
      <c r="AD17" s="42" t="n">
        <v>0</v>
      </c>
      <c r="AE17" s="42" t="n">
        <v>0</v>
      </c>
      <c r="AF17" s="42" t="n">
        <v>0</v>
      </c>
      <c r="AG17" s="42" t="n">
        <v>0</v>
      </c>
      <c r="AH17" s="42" t="n">
        <v>0</v>
      </c>
      <c r="AI17" s="42" t="n">
        <v>0</v>
      </c>
      <c r="AJ17" s="42" t="n">
        <v>0</v>
      </c>
      <c r="AK17" s="42" t="n">
        <v>0</v>
      </c>
      <c r="AL17" s="42" t="n">
        <v>0</v>
      </c>
      <c r="AM17" s="42" t="n">
        <v>0</v>
      </c>
      <c r="AN17" s="42" t="n">
        <v>0</v>
      </c>
    </row>
    <row r="18">
      <c r="A18" s="33" t="inlineStr">
        <is>
          <t>Blueprint 06</t>
        </is>
      </c>
      <c r="B18" s="33" t="n">
        <v>3</v>
      </c>
      <c r="C18" s="41" t="n">
        <v>21000</v>
      </c>
      <c r="D18" s="42" t="inlineStr">
        <is>
          <t>40 / 40 / 20</t>
        </is>
      </c>
      <c r="E18" s="42" t="n">
        <v>0</v>
      </c>
      <c r="F18" s="42" t="n">
        <v>0</v>
      </c>
      <c r="G18" s="42" t="n">
        <v>0</v>
      </c>
      <c r="H18" s="42" t="n">
        <v>0</v>
      </c>
      <c r="I18" s="42" t="n">
        <v>0</v>
      </c>
      <c r="J18" s="42" t="n">
        <v>0</v>
      </c>
      <c r="K18" s="42" t="n">
        <v>0</v>
      </c>
      <c r="L18" s="42" t="n">
        <v>0</v>
      </c>
      <c r="M18" s="42" t="n">
        <v>0</v>
      </c>
      <c r="N18" s="42" t="n">
        <v>0</v>
      </c>
      <c r="O18" s="42" t="n">
        <v>0</v>
      </c>
      <c r="P18" s="42" t="n">
        <v>0</v>
      </c>
      <c r="Q18" s="42" t="n">
        <v>0</v>
      </c>
      <c r="R18" s="42" t="n">
        <v>0</v>
      </c>
      <c r="S18" s="42" t="n">
        <v>0</v>
      </c>
      <c r="T18" s="42" t="n">
        <v>0</v>
      </c>
      <c r="U18" s="42" t="n">
        <v>0</v>
      </c>
      <c r="V18" s="42" t="n">
        <v>0</v>
      </c>
      <c r="W18" s="42" t="n">
        <v>0</v>
      </c>
      <c r="X18" s="42" t="n">
        <v>0</v>
      </c>
      <c r="Y18" s="42" t="n">
        <v>0</v>
      </c>
      <c r="Z18" s="42" t="n">
        <v>0</v>
      </c>
      <c r="AA18" s="42" t="n">
        <v>0</v>
      </c>
      <c r="AB18" s="42" t="n">
        <v>0</v>
      </c>
      <c r="AC18" s="42">
        <f>21000*0.4</f>
        <v/>
      </c>
      <c r="AD18" s="42">
        <f>21000*0.4</f>
        <v/>
      </c>
      <c r="AE18" s="42">
        <f>21000*0.2</f>
        <v/>
      </c>
      <c r="AF18" s="42" t="n">
        <v>0</v>
      </c>
      <c r="AG18" s="42" t="n">
        <v>0</v>
      </c>
      <c r="AH18" s="42" t="n">
        <v>0</v>
      </c>
      <c r="AI18" s="42" t="n">
        <v>0</v>
      </c>
      <c r="AJ18" s="42" t="n">
        <v>0</v>
      </c>
      <c r="AK18" s="42" t="n">
        <v>0</v>
      </c>
      <c r="AL18" s="42" t="n">
        <v>0</v>
      </c>
      <c r="AM18" s="42" t="n">
        <v>0</v>
      </c>
      <c r="AN18" s="42" t="n">
        <v>0</v>
      </c>
    </row>
    <row r="19">
      <c r="A19" s="33" t="inlineStr">
        <is>
          <t>Blueprint 07</t>
        </is>
      </c>
      <c r="B19" s="33" t="n">
        <v>3</v>
      </c>
      <c r="C19" s="41" t="n">
        <v>21000</v>
      </c>
      <c r="D19" s="42" t="inlineStr">
        <is>
          <t>40 / 40 / 20</t>
        </is>
      </c>
      <c r="E19" s="42" t="n">
        <v>0</v>
      </c>
      <c r="F19" s="42" t="n">
        <v>0</v>
      </c>
      <c r="G19" s="42" t="n">
        <v>0</v>
      </c>
      <c r="H19" s="42" t="n">
        <v>0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>
        <f>21000*0.4</f>
        <v/>
      </c>
      <c r="AF19" s="42">
        <f>21000*0.4</f>
        <v/>
      </c>
      <c r="AG19" s="42">
        <f>21000*0.2</f>
        <v/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</row>
    <row r="20">
      <c r="A20" s="33" t="inlineStr">
        <is>
          <t>Blueprint 08</t>
        </is>
      </c>
      <c r="B20" s="33" t="n">
        <v>3</v>
      </c>
      <c r="C20" s="41" t="n">
        <v>21000</v>
      </c>
      <c r="D20" s="42" t="inlineStr">
        <is>
          <t>40 / 40 / 20</t>
        </is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  <c r="K20" s="42" t="n">
        <v>0</v>
      </c>
      <c r="L20" s="42" t="n">
        <v>0</v>
      </c>
      <c r="M20" s="42" t="n">
        <v>0</v>
      </c>
      <c r="N20" s="42" t="n">
        <v>0</v>
      </c>
      <c r="O20" s="42" t="n">
        <v>0</v>
      </c>
      <c r="P20" s="42" t="n">
        <v>0</v>
      </c>
      <c r="Q20" s="42" t="n">
        <v>0</v>
      </c>
      <c r="R20" s="42" t="n">
        <v>0</v>
      </c>
      <c r="S20" s="42" t="n">
        <v>0</v>
      </c>
      <c r="T20" s="42" t="n">
        <v>0</v>
      </c>
      <c r="U20" s="42" t="n">
        <v>0</v>
      </c>
      <c r="V20" s="42" t="n">
        <v>0</v>
      </c>
      <c r="W20" s="42" t="n">
        <v>0</v>
      </c>
      <c r="X20" s="42" t="n">
        <v>0</v>
      </c>
      <c r="Y20" s="42" t="n">
        <v>0</v>
      </c>
      <c r="Z20" s="42" t="n">
        <v>0</v>
      </c>
      <c r="AA20" s="42" t="n">
        <v>0</v>
      </c>
      <c r="AB20" s="42" t="n">
        <v>0</v>
      </c>
      <c r="AC20" s="42" t="n">
        <v>0</v>
      </c>
      <c r="AD20" s="42" t="n">
        <v>0</v>
      </c>
      <c r="AE20" s="42" t="n">
        <v>0</v>
      </c>
      <c r="AF20" s="42" t="n">
        <v>0</v>
      </c>
      <c r="AG20" s="42">
        <f>21000*0.4</f>
        <v/>
      </c>
      <c r="AH20" s="42">
        <f>21000*0.4</f>
        <v/>
      </c>
      <c r="AI20" s="42">
        <f>21000*0.2</f>
        <v/>
      </c>
      <c r="AJ20" s="42" t="n">
        <v>0</v>
      </c>
      <c r="AK20" s="42" t="n">
        <v>0</v>
      </c>
      <c r="AL20" s="42" t="n">
        <v>0</v>
      </c>
      <c r="AM20" s="42" t="n">
        <v>0</v>
      </c>
      <c r="AN20" s="42" t="n">
        <v>0</v>
      </c>
    </row>
    <row r="21">
      <c r="A21" s="33" t="inlineStr">
        <is>
          <t>Blueprint 09</t>
        </is>
      </c>
      <c r="B21" s="33" t="n">
        <v>3</v>
      </c>
      <c r="C21" s="41" t="n">
        <v>21000</v>
      </c>
      <c r="D21" s="42" t="inlineStr">
        <is>
          <t>40 / 40 / 20</t>
        </is>
      </c>
      <c r="E21" s="42" t="n">
        <v>0</v>
      </c>
      <c r="F21" s="42" t="n">
        <v>0</v>
      </c>
      <c r="G21" s="42" t="n">
        <v>0</v>
      </c>
      <c r="H21" s="42" t="n">
        <v>0</v>
      </c>
      <c r="I21" s="42" t="n">
        <v>0</v>
      </c>
      <c r="J21" s="42" t="n">
        <v>0</v>
      </c>
      <c r="K21" s="42" t="n">
        <v>0</v>
      </c>
      <c r="L21" s="42" t="n">
        <v>0</v>
      </c>
      <c r="M21" s="42" t="n">
        <v>0</v>
      </c>
      <c r="N21" s="42" t="n">
        <v>0</v>
      </c>
      <c r="O21" s="42" t="n">
        <v>0</v>
      </c>
      <c r="P21" s="42" t="n">
        <v>0</v>
      </c>
      <c r="Q21" s="42" t="n">
        <v>0</v>
      </c>
      <c r="R21" s="42" t="n">
        <v>0</v>
      </c>
      <c r="S21" s="42" t="n">
        <v>0</v>
      </c>
      <c r="T21" s="42" t="n">
        <v>0</v>
      </c>
      <c r="U21" s="42" t="n">
        <v>0</v>
      </c>
      <c r="V21" s="42" t="n">
        <v>0</v>
      </c>
      <c r="W21" s="42" t="n">
        <v>0</v>
      </c>
      <c r="X21" s="42" t="n">
        <v>0</v>
      </c>
      <c r="Y21" s="42" t="n">
        <v>0</v>
      </c>
      <c r="Z21" s="42" t="n">
        <v>0</v>
      </c>
      <c r="AA21" s="42" t="n">
        <v>0</v>
      </c>
      <c r="AB21" s="42" t="n">
        <v>0</v>
      </c>
      <c r="AC21" s="42" t="n">
        <v>0</v>
      </c>
      <c r="AD21" s="42" t="n">
        <v>0</v>
      </c>
      <c r="AE21" s="42" t="n">
        <v>0</v>
      </c>
      <c r="AF21" s="42" t="n">
        <v>0</v>
      </c>
      <c r="AG21" s="42" t="n">
        <v>0</v>
      </c>
      <c r="AH21" s="42" t="n">
        <v>0</v>
      </c>
      <c r="AI21" s="42">
        <f>21000*0.4</f>
        <v/>
      </c>
      <c r="AJ21" s="42">
        <f>21000*0.4</f>
        <v/>
      </c>
      <c r="AK21" s="42">
        <f>21000*0.2</f>
        <v/>
      </c>
      <c r="AL21" s="42" t="n">
        <v>0</v>
      </c>
      <c r="AM21" s="42" t="n">
        <v>0</v>
      </c>
      <c r="AN21" s="42" t="n">
        <v>0</v>
      </c>
    </row>
    <row r="22">
      <c r="A22" s="33" t="inlineStr">
        <is>
          <t>Launch 04</t>
        </is>
      </c>
      <c r="B22" s="33" t="n">
        <v>3</v>
      </c>
      <c r="C22" s="41" t="n">
        <v>55000</v>
      </c>
      <c r="D22" s="42" t="inlineStr">
        <is>
          <t>30 / 30 / 30 / 10</t>
        </is>
      </c>
      <c r="E22" s="42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42" t="n">
        <v>0</v>
      </c>
      <c r="K22" s="42" t="n">
        <v>0</v>
      </c>
      <c r="L22" s="42" t="n">
        <v>0</v>
      </c>
      <c r="M22" s="42" t="n">
        <v>0</v>
      </c>
      <c r="N22" s="42" t="n">
        <v>0</v>
      </c>
      <c r="O22" s="42" t="n">
        <v>0</v>
      </c>
      <c r="P22" s="42" t="n">
        <v>0</v>
      </c>
      <c r="Q22" s="42" t="n">
        <v>0</v>
      </c>
      <c r="R22" s="42" t="n">
        <v>0</v>
      </c>
      <c r="S22" s="42" t="n">
        <v>0</v>
      </c>
      <c r="T22" s="42" t="n">
        <v>0</v>
      </c>
      <c r="U22" s="42" t="n">
        <v>0</v>
      </c>
      <c r="V22" s="42" t="n">
        <v>0</v>
      </c>
      <c r="W22" s="42" t="n">
        <v>0</v>
      </c>
      <c r="X22" s="42" t="n">
        <v>0</v>
      </c>
      <c r="Y22" s="42" t="n">
        <v>0</v>
      </c>
      <c r="Z22" s="42" t="n">
        <v>0</v>
      </c>
      <c r="AA22" s="42" t="n">
        <v>0</v>
      </c>
      <c r="AB22" s="42" t="n">
        <v>0</v>
      </c>
      <c r="AC22" s="42">
        <f>55000*0.3</f>
        <v/>
      </c>
      <c r="AD22" s="42">
        <f>55000*0.3</f>
        <v/>
      </c>
      <c r="AE22" s="42">
        <f>55000*0.3</f>
        <v/>
      </c>
      <c r="AF22" s="42">
        <f>55000*0.1</f>
        <v/>
      </c>
      <c r="AG22" s="42" t="n">
        <v>0</v>
      </c>
      <c r="AH22" s="42" t="n">
        <v>0</v>
      </c>
      <c r="AI22" s="42" t="n">
        <v>0</v>
      </c>
      <c r="AJ22" s="42" t="n">
        <v>0</v>
      </c>
      <c r="AK22" s="42" t="n">
        <v>0</v>
      </c>
      <c r="AL22" s="42" t="n">
        <v>0</v>
      </c>
      <c r="AM22" s="42" t="n">
        <v>0</v>
      </c>
      <c r="AN22" s="42" t="n">
        <v>0</v>
      </c>
    </row>
    <row r="23">
      <c r="A23" s="33" t="inlineStr">
        <is>
          <t>Launch 05</t>
        </is>
      </c>
      <c r="B23" s="33" t="n">
        <v>3</v>
      </c>
      <c r="C23" s="41" t="n">
        <v>55000</v>
      </c>
      <c r="D23" s="42" t="inlineStr">
        <is>
          <t>30 / 30 / 30 / 10</t>
        </is>
      </c>
      <c r="E23" s="42" t="n">
        <v>0</v>
      </c>
      <c r="F23" s="42" t="n">
        <v>0</v>
      </c>
      <c r="G23" s="42" t="n">
        <v>0</v>
      </c>
      <c r="H23" s="42" t="n">
        <v>0</v>
      </c>
      <c r="I23" s="42" t="n">
        <v>0</v>
      </c>
      <c r="J23" s="42" t="n">
        <v>0</v>
      </c>
      <c r="K23" s="42" t="n">
        <v>0</v>
      </c>
      <c r="L23" s="42" t="n">
        <v>0</v>
      </c>
      <c r="M23" s="42" t="n">
        <v>0</v>
      </c>
      <c r="N23" s="42" t="n">
        <v>0</v>
      </c>
      <c r="O23" s="42" t="n">
        <v>0</v>
      </c>
      <c r="P23" s="42" t="n">
        <v>0</v>
      </c>
      <c r="Q23" s="42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  <c r="W23" s="42" t="n">
        <v>0</v>
      </c>
      <c r="X23" s="42" t="n">
        <v>0</v>
      </c>
      <c r="Y23" s="42" t="n">
        <v>0</v>
      </c>
      <c r="Z23" s="42" t="n">
        <v>0</v>
      </c>
      <c r="AA23" s="42" t="n">
        <v>0</v>
      </c>
      <c r="AB23" s="42" t="n">
        <v>0</v>
      </c>
      <c r="AC23" s="42" t="n">
        <v>0</v>
      </c>
      <c r="AD23" s="42" t="n">
        <v>0</v>
      </c>
      <c r="AE23" s="42" t="n">
        <v>0</v>
      </c>
      <c r="AF23" s="42" t="n">
        <v>0</v>
      </c>
      <c r="AG23" s="42" t="n">
        <v>0</v>
      </c>
      <c r="AH23" s="42">
        <f>55000*0.3</f>
        <v/>
      </c>
      <c r="AI23" s="42">
        <f>55000*0.3</f>
        <v/>
      </c>
      <c r="AJ23" s="42">
        <f>55000*0.3</f>
        <v/>
      </c>
      <c r="AK23" s="42">
        <f>55000*0.1</f>
        <v/>
      </c>
      <c r="AL23" s="42" t="n">
        <v>0</v>
      </c>
      <c r="AM23" s="42" t="n">
        <v>0</v>
      </c>
      <c r="AN23" s="42" t="n">
        <v>0</v>
      </c>
    </row>
    <row r="24">
      <c r="A24" s="33" t="inlineStr">
        <is>
          <t>Office Setup 03</t>
        </is>
      </c>
      <c r="B24" s="33" t="n">
        <v>3</v>
      </c>
      <c r="C24" s="41" t="n">
        <v>28000</v>
      </c>
      <c r="D24" s="42" t="inlineStr">
        <is>
          <t>50 / 50</t>
        </is>
      </c>
      <c r="E24" s="42" t="n">
        <v>0</v>
      </c>
      <c r="F24" s="42" t="n">
        <v>0</v>
      </c>
      <c r="G24" s="42" t="n">
        <v>0</v>
      </c>
      <c r="H24" s="42" t="n">
        <v>0</v>
      </c>
      <c r="I24" s="42" t="n">
        <v>0</v>
      </c>
      <c r="J24" s="42" t="n">
        <v>0</v>
      </c>
      <c r="K24" s="42" t="n">
        <v>0</v>
      </c>
      <c r="L24" s="42" t="n">
        <v>0</v>
      </c>
      <c r="M24" s="42" t="n">
        <v>0</v>
      </c>
      <c r="N24" s="42" t="n">
        <v>0</v>
      </c>
      <c r="O24" s="42" t="n">
        <v>0</v>
      </c>
      <c r="P24" s="42" t="n">
        <v>0</v>
      </c>
      <c r="Q24" s="42" t="n">
        <v>0</v>
      </c>
      <c r="R24" s="42" t="n">
        <v>0</v>
      </c>
      <c r="S24" s="42" t="n">
        <v>0</v>
      </c>
      <c r="T24" s="42" t="n">
        <v>0</v>
      </c>
      <c r="U24" s="42" t="n">
        <v>0</v>
      </c>
      <c r="V24" s="42" t="n">
        <v>0</v>
      </c>
      <c r="W24" s="42" t="n">
        <v>0</v>
      </c>
      <c r="X24" s="42" t="n">
        <v>0</v>
      </c>
      <c r="Y24" s="42" t="n">
        <v>0</v>
      </c>
      <c r="Z24" s="42" t="n">
        <v>0</v>
      </c>
      <c r="AA24" s="42" t="n">
        <v>0</v>
      </c>
      <c r="AB24" s="42" t="n">
        <v>0</v>
      </c>
      <c r="AC24" s="42" t="n">
        <v>0</v>
      </c>
      <c r="AD24" s="42" t="n">
        <v>0</v>
      </c>
      <c r="AE24" s="42">
        <f>28000*0.5</f>
        <v/>
      </c>
      <c r="AF24" s="42">
        <f>28000*0.5</f>
        <v/>
      </c>
      <c r="AG24" s="42" t="n">
        <v>0</v>
      </c>
      <c r="AH24" s="42" t="n">
        <v>0</v>
      </c>
      <c r="AI24" s="42" t="n">
        <v>0</v>
      </c>
      <c r="AJ24" s="42" t="n">
        <v>0</v>
      </c>
      <c r="AK24" s="42" t="n">
        <v>0</v>
      </c>
      <c r="AL24" s="42" t="n">
        <v>0</v>
      </c>
      <c r="AM24" s="42" t="n">
        <v>0</v>
      </c>
      <c r="AN24" s="42" t="n">
        <v>0</v>
      </c>
    </row>
    <row r="25">
      <c r="A25" s="33" t="inlineStr">
        <is>
          <t>Office Setup 04</t>
        </is>
      </c>
      <c r="B25" s="33" t="n">
        <v>3</v>
      </c>
      <c r="C25" s="41" t="n">
        <v>28000</v>
      </c>
      <c r="D25" s="42" t="inlineStr">
        <is>
          <t>50 / 50</t>
        </is>
      </c>
      <c r="E25" s="42" t="n">
        <v>0</v>
      </c>
      <c r="F25" s="42" t="n">
        <v>0</v>
      </c>
      <c r="G25" s="42" t="n">
        <v>0</v>
      </c>
      <c r="H25" s="42" t="n">
        <v>0</v>
      </c>
      <c r="I25" s="42" t="n">
        <v>0</v>
      </c>
      <c r="J25" s="42" t="n">
        <v>0</v>
      </c>
      <c r="K25" s="42" t="n">
        <v>0</v>
      </c>
      <c r="L25" s="42" t="n">
        <v>0</v>
      </c>
      <c r="M25" s="42" t="n">
        <v>0</v>
      </c>
      <c r="N25" s="42" t="n">
        <v>0</v>
      </c>
      <c r="O25" s="42" t="n">
        <v>0</v>
      </c>
      <c r="P25" s="42" t="n">
        <v>0</v>
      </c>
      <c r="Q25" s="42" t="n">
        <v>0</v>
      </c>
      <c r="R25" s="42" t="n">
        <v>0</v>
      </c>
      <c r="S25" s="42" t="n">
        <v>0</v>
      </c>
      <c r="T25" s="42" t="n">
        <v>0</v>
      </c>
      <c r="U25" s="42" t="n">
        <v>0</v>
      </c>
      <c r="V25" s="42" t="n">
        <v>0</v>
      </c>
      <c r="W25" s="42" t="n">
        <v>0</v>
      </c>
      <c r="X25" s="42" t="n">
        <v>0</v>
      </c>
      <c r="Y25" s="42" t="n">
        <v>0</v>
      </c>
      <c r="Z25" s="42" t="n">
        <v>0</v>
      </c>
      <c r="AA25" s="42" t="n">
        <v>0</v>
      </c>
      <c r="AB25" s="42" t="n">
        <v>0</v>
      </c>
      <c r="AC25" s="42" t="n">
        <v>0</v>
      </c>
      <c r="AD25" s="42" t="n">
        <v>0</v>
      </c>
      <c r="AE25" s="42" t="n">
        <v>0</v>
      </c>
      <c r="AF25" s="42" t="n">
        <v>0</v>
      </c>
      <c r="AG25" s="42" t="n">
        <v>0</v>
      </c>
      <c r="AH25" s="42" t="n">
        <v>0</v>
      </c>
      <c r="AI25" s="42" t="n">
        <v>0</v>
      </c>
      <c r="AJ25" s="42">
        <f>28000*0.5</f>
        <v/>
      </c>
      <c r="AK25" s="42">
        <f>28000*0.5</f>
        <v/>
      </c>
      <c r="AL25" s="42" t="n">
        <v>0</v>
      </c>
      <c r="AM25" s="42" t="n">
        <v>0</v>
      </c>
      <c r="AN25" s="42" t="n">
        <v>0</v>
      </c>
    </row>
    <row r="26">
      <c r="A26" s="33" t="inlineStr">
        <is>
          <t>Retainer 03</t>
        </is>
      </c>
      <c r="B26" s="33" t="n">
        <v>3</v>
      </c>
      <c r="C26" s="41" t="n">
        <v>144000</v>
      </c>
      <c r="D26" s="42" t="inlineStr">
        <is>
          <t>monthly in advance</t>
        </is>
      </c>
      <c r="E26" s="42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42" t="n">
        <v>0</v>
      </c>
      <c r="K26" s="42" t="n">
        <v>0</v>
      </c>
      <c r="L26" s="42" t="n">
        <v>0</v>
      </c>
      <c r="M26" s="42" t="n">
        <v>0</v>
      </c>
      <c r="N26" s="42" t="n">
        <v>0</v>
      </c>
      <c r="O26" s="42" t="n">
        <v>0</v>
      </c>
      <c r="P26" s="42" t="n">
        <v>0</v>
      </c>
      <c r="Q26" s="42" t="n">
        <v>0</v>
      </c>
      <c r="R26" s="42" t="n">
        <v>0</v>
      </c>
      <c r="S26" s="42" t="n">
        <v>0</v>
      </c>
      <c r="T26" s="42" t="n">
        <v>0</v>
      </c>
      <c r="U26" s="42" t="n">
        <v>0</v>
      </c>
      <c r="V26" s="42" t="n">
        <v>0</v>
      </c>
      <c r="W26" s="42" t="n">
        <v>0</v>
      </c>
      <c r="X26" s="42" t="n">
        <v>0</v>
      </c>
      <c r="Y26" s="42" t="n">
        <v>0</v>
      </c>
      <c r="Z26" s="42" t="n">
        <v>0</v>
      </c>
      <c r="AA26" s="42" t="n">
        <v>0</v>
      </c>
      <c r="AB26" s="42" t="n">
        <v>0</v>
      </c>
      <c r="AC26" s="42">
        <f>144000*0.08333333333333333</f>
        <v/>
      </c>
      <c r="AD26" s="42">
        <f>144000*0.08333333333333333</f>
        <v/>
      </c>
      <c r="AE26" s="42">
        <f>144000*0.08333333333333333</f>
        <v/>
      </c>
      <c r="AF26" s="42">
        <f>144000*0.08333333333333333</f>
        <v/>
      </c>
      <c r="AG26" s="42">
        <f>144000*0.08333333333333333</f>
        <v/>
      </c>
      <c r="AH26" s="42">
        <f>144000*0.08333333333333333</f>
        <v/>
      </c>
      <c r="AI26" s="42">
        <f>144000*0.08333333333333333</f>
        <v/>
      </c>
      <c r="AJ26" s="42">
        <f>144000*0.08333333333333333</f>
        <v/>
      </c>
      <c r="AK26" s="42">
        <f>144000*0.08333333333333333</f>
        <v/>
      </c>
      <c r="AL26" s="42">
        <f>144000*0.08333333333333333</f>
        <v/>
      </c>
      <c r="AM26" s="42">
        <f>144000*0.08333333333333333</f>
        <v/>
      </c>
      <c r="AN26" s="42">
        <f>144000*0.08333333333333333</f>
        <v/>
      </c>
    </row>
    <row r="27">
      <c r="A27" s="33" t="inlineStr">
        <is>
          <t>Add-ons 03</t>
        </is>
      </c>
      <c r="B27" s="33" t="n">
        <v>3</v>
      </c>
      <c r="C27" s="41" t="n">
        <v>48000</v>
      </c>
      <c r="D27" s="42" t="inlineStr">
        <is>
          <t>approved scope</t>
        </is>
      </c>
      <c r="E27" s="42" t="n">
        <v>0</v>
      </c>
      <c r="F27" s="42" t="n">
        <v>0</v>
      </c>
      <c r="G27" s="42" t="n">
        <v>0</v>
      </c>
      <c r="H27" s="42" t="n">
        <v>0</v>
      </c>
      <c r="I27" s="42" t="n">
        <v>0</v>
      </c>
      <c r="J27" s="42" t="n">
        <v>0</v>
      </c>
      <c r="K27" s="42" t="n">
        <v>0</v>
      </c>
      <c r="L27" s="42" t="n">
        <v>0</v>
      </c>
      <c r="M27" s="42" t="n">
        <v>0</v>
      </c>
      <c r="N27" s="42" t="n">
        <v>0</v>
      </c>
      <c r="O27" s="42" t="n">
        <v>0</v>
      </c>
      <c r="P27" s="42" t="n">
        <v>0</v>
      </c>
      <c r="Q27" s="42" t="n">
        <v>0</v>
      </c>
      <c r="R27" s="42" t="n">
        <v>0</v>
      </c>
      <c r="S27" s="42" t="n">
        <v>0</v>
      </c>
      <c r="T27" s="42" t="n">
        <v>0</v>
      </c>
      <c r="U27" s="42" t="n">
        <v>0</v>
      </c>
      <c r="V27" s="42" t="n">
        <v>0</v>
      </c>
      <c r="W27" s="42" t="n">
        <v>0</v>
      </c>
      <c r="X27" s="42" t="n">
        <v>0</v>
      </c>
      <c r="Y27" s="42" t="n">
        <v>0</v>
      </c>
      <c r="Z27" s="42" t="n">
        <v>0</v>
      </c>
      <c r="AA27" s="42" t="n">
        <v>0</v>
      </c>
      <c r="AB27" s="42" t="n">
        <v>0</v>
      </c>
      <c r="AC27" s="42">
        <f>48000*0.08333333333333333</f>
        <v/>
      </c>
      <c r="AD27" s="42">
        <f>48000*0.08333333333333333</f>
        <v/>
      </c>
      <c r="AE27" s="42">
        <f>48000*0.08333333333333333</f>
        <v/>
      </c>
      <c r="AF27" s="42">
        <f>48000*0.08333333333333333</f>
        <v/>
      </c>
      <c r="AG27" s="42">
        <f>48000*0.08333333333333333</f>
        <v/>
      </c>
      <c r="AH27" s="42">
        <f>48000*0.08333333333333333</f>
        <v/>
      </c>
      <c r="AI27" s="42">
        <f>48000*0.08333333333333333</f>
        <v/>
      </c>
      <c r="AJ27" s="42">
        <f>48000*0.08333333333333333</f>
        <v/>
      </c>
      <c r="AK27" s="42">
        <f>48000*0.08333333333333333</f>
        <v/>
      </c>
      <c r="AL27" s="42">
        <f>48000*0.08333333333333333</f>
        <v/>
      </c>
      <c r="AM27" s="42">
        <f>48000*0.08333333333333333</f>
        <v/>
      </c>
      <c r="AN27" s="42">
        <f>48000*0.08333333333333333</f>
        <v/>
      </c>
    </row>
    <row r="28">
      <c r="A28" s="36" t="inlineStr">
        <is>
          <t>TOTAL NET CASH COLLECTION</t>
        </is>
      </c>
      <c r="B28" s="36" t="n"/>
      <c r="C28" s="43">
        <f>SUM(C4:C27)</f>
        <v/>
      </c>
      <c r="D28" s="43" t="n"/>
      <c r="E28" s="43">
        <f>SUM(E4:E27)</f>
        <v/>
      </c>
      <c r="F28" s="43">
        <f>SUM(F4:F27)</f>
        <v/>
      </c>
      <c r="G28" s="43">
        <f>SUM(G4:G27)</f>
        <v/>
      </c>
      <c r="H28" s="43">
        <f>SUM(H4:H27)</f>
        <v/>
      </c>
      <c r="I28" s="43">
        <f>SUM(I4:I27)</f>
        <v/>
      </c>
      <c r="J28" s="43">
        <f>SUM(J4:J27)</f>
        <v/>
      </c>
      <c r="K28" s="43">
        <f>SUM(K4:K27)</f>
        <v/>
      </c>
      <c r="L28" s="43">
        <f>SUM(L4:L27)</f>
        <v/>
      </c>
      <c r="M28" s="43">
        <f>SUM(M4:M27)</f>
        <v/>
      </c>
      <c r="N28" s="43">
        <f>SUM(N4:N27)</f>
        <v/>
      </c>
      <c r="O28" s="43">
        <f>SUM(O4:O27)</f>
        <v/>
      </c>
      <c r="P28" s="43">
        <f>SUM(P4:P27)</f>
        <v/>
      </c>
      <c r="Q28" s="43">
        <f>SUM(Q4:Q27)</f>
        <v/>
      </c>
      <c r="R28" s="43">
        <f>SUM(R4:R27)</f>
        <v/>
      </c>
      <c r="S28" s="43">
        <f>SUM(S4:S27)</f>
        <v/>
      </c>
      <c r="T28" s="43">
        <f>SUM(T4:T27)</f>
        <v/>
      </c>
      <c r="U28" s="43">
        <f>SUM(U4:U27)</f>
        <v/>
      </c>
      <c r="V28" s="43">
        <f>SUM(V4:V27)</f>
        <v/>
      </c>
      <c r="W28" s="43">
        <f>SUM(W4:W27)</f>
        <v/>
      </c>
      <c r="X28" s="43">
        <f>SUM(X4:X27)</f>
        <v/>
      </c>
      <c r="Y28" s="43">
        <f>SUM(Y4:Y27)</f>
        <v/>
      </c>
      <c r="Z28" s="43">
        <f>SUM(Z4:Z27)</f>
        <v/>
      </c>
      <c r="AA28" s="43">
        <f>SUM(AA4:AA27)</f>
        <v/>
      </c>
      <c r="AB28" s="43">
        <f>SUM(AB4:AB27)</f>
        <v/>
      </c>
      <c r="AC28" s="43">
        <f>SUM(AC4:AC27)</f>
        <v/>
      </c>
      <c r="AD28" s="43">
        <f>SUM(AD4:AD27)</f>
        <v/>
      </c>
      <c r="AE28" s="43">
        <f>SUM(AE4:AE27)</f>
        <v/>
      </c>
      <c r="AF28" s="43">
        <f>SUM(AF4:AF27)</f>
        <v/>
      </c>
      <c r="AG28" s="43">
        <f>SUM(AG4:AG27)</f>
        <v/>
      </c>
      <c r="AH28" s="43">
        <f>SUM(AH4:AH27)</f>
        <v/>
      </c>
      <c r="AI28" s="43">
        <f>SUM(AI4:AI27)</f>
        <v/>
      </c>
      <c r="AJ28" s="43">
        <f>SUM(AJ4:AJ27)</f>
        <v/>
      </c>
      <c r="AK28" s="43">
        <f>SUM(AK4:AK27)</f>
        <v/>
      </c>
      <c r="AL28" s="43">
        <f>SUM(AL4:AL27)</f>
        <v/>
      </c>
      <c r="AM28" s="43">
        <f>SUM(AM4:AM27)</f>
        <v/>
      </c>
      <c r="AN28" s="43">
        <f>SUM(AN4:AN27)</f>
        <v/>
      </c>
    </row>
  </sheetData>
  <mergeCells count="1">
    <mergeCell ref="A1:A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s="25" t="inlineStr">
        <is>
          <t>AMAVIO | 36-month cash plan – collections, VAT timing and liquidity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</row>
    <row r="3">
      <c r="A3" s="28" t="inlineStr">
        <is>
          <t>Position</t>
        </is>
      </c>
      <c r="B3" s="28" t="inlineStr">
        <is>
          <t>M1</t>
        </is>
      </c>
      <c r="C3" s="28" t="inlineStr">
        <is>
          <t>M2</t>
        </is>
      </c>
      <c r="D3" s="28" t="inlineStr">
        <is>
          <t>M3</t>
        </is>
      </c>
      <c r="E3" s="28" t="inlineStr">
        <is>
          <t>M4</t>
        </is>
      </c>
      <c r="F3" s="28" t="inlineStr">
        <is>
          <t>M5</t>
        </is>
      </c>
      <c r="G3" s="28" t="inlineStr">
        <is>
          <t>M6</t>
        </is>
      </c>
      <c r="H3" s="28" t="inlineStr">
        <is>
          <t>M7</t>
        </is>
      </c>
      <c r="I3" s="28" t="inlineStr">
        <is>
          <t>M8</t>
        </is>
      </c>
      <c r="J3" s="28" t="inlineStr">
        <is>
          <t>M9</t>
        </is>
      </c>
      <c r="K3" s="28" t="inlineStr">
        <is>
          <t>M10</t>
        </is>
      </c>
      <c r="L3" s="28" t="inlineStr">
        <is>
          <t>M11</t>
        </is>
      </c>
      <c r="M3" s="28" t="inlineStr">
        <is>
          <t>M12</t>
        </is>
      </c>
      <c r="N3" s="28" t="inlineStr">
        <is>
          <t>M13</t>
        </is>
      </c>
      <c r="O3" s="28" t="inlineStr">
        <is>
          <t>M14</t>
        </is>
      </c>
      <c r="P3" s="28" t="inlineStr">
        <is>
          <t>M15</t>
        </is>
      </c>
      <c r="Q3" s="28" t="inlineStr">
        <is>
          <t>M16</t>
        </is>
      </c>
      <c r="R3" s="28" t="inlineStr">
        <is>
          <t>M17</t>
        </is>
      </c>
      <c r="S3" s="28" t="inlineStr">
        <is>
          <t>M18</t>
        </is>
      </c>
      <c r="T3" s="28" t="inlineStr">
        <is>
          <t>M19</t>
        </is>
      </c>
      <c r="U3" s="28" t="inlineStr">
        <is>
          <t>M20</t>
        </is>
      </c>
      <c r="V3" s="28" t="inlineStr">
        <is>
          <t>M21</t>
        </is>
      </c>
      <c r="W3" s="28" t="inlineStr">
        <is>
          <t>M22</t>
        </is>
      </c>
      <c r="X3" s="28" t="inlineStr">
        <is>
          <t>M23</t>
        </is>
      </c>
      <c r="Y3" s="28" t="inlineStr">
        <is>
          <t>M24</t>
        </is>
      </c>
      <c r="Z3" s="28" t="inlineStr">
        <is>
          <t>M25</t>
        </is>
      </c>
      <c r="AA3" s="28" t="inlineStr">
        <is>
          <t>M26</t>
        </is>
      </c>
      <c r="AB3" s="28" t="inlineStr">
        <is>
          <t>M27</t>
        </is>
      </c>
      <c r="AC3" s="28" t="inlineStr">
        <is>
          <t>M28</t>
        </is>
      </c>
      <c r="AD3" s="28" t="inlineStr">
        <is>
          <t>M29</t>
        </is>
      </c>
      <c r="AE3" s="28" t="inlineStr">
        <is>
          <t>M30</t>
        </is>
      </c>
      <c r="AF3" s="28" t="inlineStr">
        <is>
          <t>M31</t>
        </is>
      </c>
      <c r="AG3" s="28" t="inlineStr">
        <is>
          <t>M32</t>
        </is>
      </c>
      <c r="AH3" s="28" t="inlineStr">
        <is>
          <t>M33</t>
        </is>
      </c>
      <c r="AI3" s="28" t="inlineStr">
        <is>
          <t>M34</t>
        </is>
      </c>
      <c r="AJ3" s="28" t="inlineStr">
        <is>
          <t>M35</t>
        </is>
      </c>
      <c r="AK3" s="28" t="inlineStr">
        <is>
          <t>M36</t>
        </is>
      </c>
    </row>
    <row r="4">
      <c r="A4" s="33" t="inlineStr">
        <is>
          <t>Net cash collections</t>
        </is>
      </c>
      <c r="B4" s="42">
        <f>'Contract_Cash'!E28</f>
        <v/>
      </c>
      <c r="C4" s="42">
        <f>'Contract_Cash'!F28</f>
        <v/>
      </c>
      <c r="D4" s="42">
        <f>'Contract_Cash'!G28</f>
        <v/>
      </c>
      <c r="E4" s="42">
        <f>'Contract_Cash'!H28</f>
        <v/>
      </c>
      <c r="F4" s="42">
        <f>'Contract_Cash'!I28</f>
        <v/>
      </c>
      <c r="G4" s="42">
        <f>'Contract_Cash'!J28</f>
        <v/>
      </c>
      <c r="H4" s="42">
        <f>'Contract_Cash'!K28</f>
        <v/>
      </c>
      <c r="I4" s="42">
        <f>'Contract_Cash'!L28</f>
        <v/>
      </c>
      <c r="J4" s="42">
        <f>'Contract_Cash'!M28</f>
        <v/>
      </c>
      <c r="K4" s="42">
        <f>'Contract_Cash'!N28</f>
        <v/>
      </c>
      <c r="L4" s="42">
        <f>'Contract_Cash'!O28</f>
        <v/>
      </c>
      <c r="M4" s="42">
        <f>'Contract_Cash'!P28</f>
        <v/>
      </c>
      <c r="N4" s="42">
        <f>'Contract_Cash'!Q28</f>
        <v/>
      </c>
      <c r="O4" s="42">
        <f>'Contract_Cash'!R28</f>
        <v/>
      </c>
      <c r="P4" s="42">
        <f>'Contract_Cash'!S28</f>
        <v/>
      </c>
      <c r="Q4" s="42">
        <f>'Contract_Cash'!T28</f>
        <v/>
      </c>
      <c r="R4" s="42">
        <f>'Contract_Cash'!U28</f>
        <v/>
      </c>
      <c r="S4" s="42">
        <f>'Contract_Cash'!V28</f>
        <v/>
      </c>
      <c r="T4" s="42">
        <f>'Contract_Cash'!W28</f>
        <v/>
      </c>
      <c r="U4" s="42">
        <f>'Contract_Cash'!X28</f>
        <v/>
      </c>
      <c r="V4" s="42">
        <f>'Contract_Cash'!Y28</f>
        <v/>
      </c>
      <c r="W4" s="42">
        <f>'Contract_Cash'!Z28</f>
        <v/>
      </c>
      <c r="X4" s="42">
        <f>'Contract_Cash'!AA28</f>
        <v/>
      </c>
      <c r="Y4" s="42">
        <f>'Contract_Cash'!AB28</f>
        <v/>
      </c>
      <c r="Z4" s="42">
        <f>'Contract_Cash'!AC28</f>
        <v/>
      </c>
      <c r="AA4" s="42">
        <f>'Contract_Cash'!AD28</f>
        <v/>
      </c>
      <c r="AB4" s="42">
        <f>'Contract_Cash'!AE28</f>
        <v/>
      </c>
      <c r="AC4" s="42">
        <f>'Contract_Cash'!AF28</f>
        <v/>
      </c>
      <c r="AD4" s="42">
        <f>'Contract_Cash'!AG28</f>
        <v/>
      </c>
      <c r="AE4" s="42">
        <f>'Contract_Cash'!AH28</f>
        <v/>
      </c>
      <c r="AF4" s="42">
        <f>'Contract_Cash'!AI28</f>
        <v/>
      </c>
      <c r="AG4" s="42">
        <f>'Contract_Cash'!AJ28</f>
        <v/>
      </c>
      <c r="AH4" s="42">
        <f>'Contract_Cash'!AK28</f>
        <v/>
      </c>
      <c r="AI4" s="42">
        <f>'Contract_Cash'!AL28</f>
        <v/>
      </c>
      <c r="AJ4" s="42">
        <f>'Contract_Cash'!AM28</f>
        <v/>
      </c>
      <c r="AK4" s="42">
        <f>'Contract_Cash'!AN28</f>
        <v/>
      </c>
    </row>
    <row r="5">
      <c r="A5" s="33" t="inlineStr">
        <is>
          <t>VAT collected</t>
        </is>
      </c>
      <c r="B5" s="42">
        <f>B4*'Assumptions'!B6</f>
        <v/>
      </c>
      <c r="C5" s="42">
        <f>C4*'Assumptions'!B6</f>
        <v/>
      </c>
      <c r="D5" s="42">
        <f>D4*'Assumptions'!B6</f>
        <v/>
      </c>
      <c r="E5" s="42">
        <f>E4*'Assumptions'!B6</f>
        <v/>
      </c>
      <c r="F5" s="42">
        <f>F4*'Assumptions'!B6</f>
        <v/>
      </c>
      <c r="G5" s="42">
        <f>G4*'Assumptions'!B6</f>
        <v/>
      </c>
      <c r="H5" s="42">
        <f>H4*'Assumptions'!B6</f>
        <v/>
      </c>
      <c r="I5" s="42">
        <f>I4*'Assumptions'!B6</f>
        <v/>
      </c>
      <c r="J5" s="42">
        <f>J4*'Assumptions'!B6</f>
        <v/>
      </c>
      <c r="K5" s="42">
        <f>K4*'Assumptions'!B6</f>
        <v/>
      </c>
      <c r="L5" s="42">
        <f>L4*'Assumptions'!B6</f>
        <v/>
      </c>
      <c r="M5" s="42">
        <f>M4*'Assumptions'!B6</f>
        <v/>
      </c>
      <c r="N5" s="42">
        <f>N4*'Assumptions'!C6</f>
        <v/>
      </c>
      <c r="O5" s="42">
        <f>O4*'Assumptions'!C6</f>
        <v/>
      </c>
      <c r="P5" s="42">
        <f>P4*'Assumptions'!C6</f>
        <v/>
      </c>
      <c r="Q5" s="42">
        <f>Q4*'Assumptions'!C6</f>
        <v/>
      </c>
      <c r="R5" s="42">
        <f>R4*'Assumptions'!C6</f>
        <v/>
      </c>
      <c r="S5" s="42">
        <f>S4*'Assumptions'!C6</f>
        <v/>
      </c>
      <c r="T5" s="42">
        <f>T4*'Assumptions'!C6</f>
        <v/>
      </c>
      <c r="U5" s="42">
        <f>U4*'Assumptions'!C6</f>
        <v/>
      </c>
      <c r="V5" s="42">
        <f>V4*'Assumptions'!C6</f>
        <v/>
      </c>
      <c r="W5" s="42">
        <f>W4*'Assumptions'!C6</f>
        <v/>
      </c>
      <c r="X5" s="42">
        <f>X4*'Assumptions'!C6</f>
        <v/>
      </c>
      <c r="Y5" s="42">
        <f>Y4*'Assumptions'!C6</f>
        <v/>
      </c>
      <c r="Z5" s="42">
        <f>Z4*'Assumptions'!D6</f>
        <v/>
      </c>
      <c r="AA5" s="42">
        <f>AA4*'Assumptions'!D6</f>
        <v/>
      </c>
      <c r="AB5" s="42">
        <f>AB4*'Assumptions'!D6</f>
        <v/>
      </c>
      <c r="AC5" s="42">
        <f>AC4*'Assumptions'!D6</f>
        <v/>
      </c>
      <c r="AD5" s="42">
        <f>AD4*'Assumptions'!D6</f>
        <v/>
      </c>
      <c r="AE5" s="42">
        <f>AE4*'Assumptions'!D6</f>
        <v/>
      </c>
      <c r="AF5" s="42">
        <f>AF4*'Assumptions'!D6</f>
        <v/>
      </c>
      <c r="AG5" s="42">
        <f>AG4*'Assumptions'!D6</f>
        <v/>
      </c>
      <c r="AH5" s="42">
        <f>AH4*'Assumptions'!D6</f>
        <v/>
      </c>
      <c r="AI5" s="42">
        <f>AI4*'Assumptions'!D6</f>
        <v/>
      </c>
      <c r="AJ5" s="42">
        <f>AJ4*'Assumptions'!D6</f>
        <v/>
      </c>
      <c r="AK5" s="42">
        <f>AK4*'Assumptions'!D6</f>
        <v/>
      </c>
    </row>
    <row r="6">
      <c r="A6" s="33" t="inlineStr">
        <is>
          <t>VAT paid from prior-month reserve</t>
        </is>
      </c>
      <c r="B6" s="42">
        <f>0</f>
        <v/>
      </c>
      <c r="C6" s="42">
        <f>B5</f>
        <v/>
      </c>
      <c r="D6" s="42">
        <f>C5</f>
        <v/>
      </c>
      <c r="E6" s="42">
        <f>D5</f>
        <v/>
      </c>
      <c r="F6" s="42">
        <f>E5</f>
        <v/>
      </c>
      <c r="G6" s="42">
        <f>F5</f>
        <v/>
      </c>
      <c r="H6" s="42">
        <f>G5</f>
        <v/>
      </c>
      <c r="I6" s="42">
        <f>H5</f>
        <v/>
      </c>
      <c r="J6" s="42">
        <f>I5</f>
        <v/>
      </c>
      <c r="K6" s="42">
        <f>J5</f>
        <v/>
      </c>
      <c r="L6" s="42">
        <f>K5</f>
        <v/>
      </c>
      <c r="M6" s="42">
        <f>L5</f>
        <v/>
      </c>
      <c r="N6" s="42">
        <f>M5</f>
        <v/>
      </c>
      <c r="O6" s="42">
        <f>N5</f>
        <v/>
      </c>
      <c r="P6" s="42">
        <f>O5</f>
        <v/>
      </c>
      <c r="Q6" s="42">
        <f>P5</f>
        <v/>
      </c>
      <c r="R6" s="42">
        <f>Q5</f>
        <v/>
      </c>
      <c r="S6" s="42">
        <f>R5</f>
        <v/>
      </c>
      <c r="T6" s="42">
        <f>S5</f>
        <v/>
      </c>
      <c r="U6" s="42">
        <f>T5</f>
        <v/>
      </c>
      <c r="V6" s="42">
        <f>U5</f>
        <v/>
      </c>
      <c r="W6" s="42">
        <f>V5</f>
        <v/>
      </c>
      <c r="X6" s="42">
        <f>W5</f>
        <v/>
      </c>
      <c r="Y6" s="42">
        <f>X5</f>
        <v/>
      </c>
      <c r="Z6" s="42">
        <f>Y5</f>
        <v/>
      </c>
      <c r="AA6" s="42">
        <f>Z5</f>
        <v/>
      </c>
      <c r="AB6" s="42">
        <f>AA5</f>
        <v/>
      </c>
      <c r="AC6" s="42">
        <f>AB5</f>
        <v/>
      </c>
      <c r="AD6" s="42">
        <f>AC5</f>
        <v/>
      </c>
      <c r="AE6" s="42">
        <f>AD5</f>
        <v/>
      </c>
      <c r="AF6" s="42">
        <f>AE5</f>
        <v/>
      </c>
      <c r="AG6" s="42">
        <f>AF5</f>
        <v/>
      </c>
      <c r="AH6" s="42">
        <f>AG5</f>
        <v/>
      </c>
      <c r="AI6" s="42">
        <f>AH5</f>
        <v/>
      </c>
      <c r="AJ6" s="42">
        <f>AI5</f>
        <v/>
      </c>
      <c r="AK6" s="42">
        <f>AJ5</f>
        <v/>
      </c>
    </row>
    <row r="7">
      <c r="A7" s="33" t="inlineStr">
        <is>
          <t>Gross cash receipts</t>
        </is>
      </c>
      <c r="B7" s="42">
        <f>B4+B5-B6</f>
        <v/>
      </c>
      <c r="C7" s="42">
        <f>C4+C5-C6</f>
        <v/>
      </c>
      <c r="D7" s="42">
        <f>D4+D5-D6</f>
        <v/>
      </c>
      <c r="E7" s="42">
        <f>E4+E5-E6</f>
        <v/>
      </c>
      <c r="F7" s="42">
        <f>F4+F5-F6</f>
        <v/>
      </c>
      <c r="G7" s="42">
        <f>G4+G5-G6</f>
        <v/>
      </c>
      <c r="H7" s="42">
        <f>H4+H5-H6</f>
        <v/>
      </c>
      <c r="I7" s="42">
        <f>I4+I5-I6</f>
        <v/>
      </c>
      <c r="J7" s="42">
        <f>J4+J5-J6</f>
        <v/>
      </c>
      <c r="K7" s="42">
        <f>K4+K5-K6</f>
        <v/>
      </c>
      <c r="L7" s="42">
        <f>L4+L5-L6</f>
        <v/>
      </c>
      <c r="M7" s="42">
        <f>M4+M5-M6</f>
        <v/>
      </c>
      <c r="N7" s="42">
        <f>N4+N5-N6</f>
        <v/>
      </c>
      <c r="O7" s="42">
        <f>O4+O5-O6</f>
        <v/>
      </c>
      <c r="P7" s="42">
        <f>P4+P5-P6</f>
        <v/>
      </c>
      <c r="Q7" s="42">
        <f>Q4+Q5-Q6</f>
        <v/>
      </c>
      <c r="R7" s="42">
        <f>R4+R5-R6</f>
        <v/>
      </c>
      <c r="S7" s="42">
        <f>S4+S5-S6</f>
        <v/>
      </c>
      <c r="T7" s="42">
        <f>T4+T5-T6</f>
        <v/>
      </c>
      <c r="U7" s="42">
        <f>U4+U5-U6</f>
        <v/>
      </c>
      <c r="V7" s="42">
        <f>V4+V5-V6</f>
        <v/>
      </c>
      <c r="W7" s="42">
        <f>W4+W5-W6</f>
        <v/>
      </c>
      <c r="X7" s="42">
        <f>X4+X5-X6</f>
        <v/>
      </c>
      <c r="Y7" s="42">
        <f>Y4+Y5-Y6</f>
        <v/>
      </c>
      <c r="Z7" s="42">
        <f>Z4+Z5-Z6</f>
        <v/>
      </c>
      <c r="AA7" s="42">
        <f>AA4+AA5-AA6</f>
        <v/>
      </c>
      <c r="AB7" s="42">
        <f>AB4+AB5-AB6</f>
        <v/>
      </c>
      <c r="AC7" s="42">
        <f>AC4+AC5-AC6</f>
        <v/>
      </c>
      <c r="AD7" s="42">
        <f>AD4+AD5-AD6</f>
        <v/>
      </c>
      <c r="AE7" s="42">
        <f>AE4+AE5-AE6</f>
        <v/>
      </c>
      <c r="AF7" s="42">
        <f>AF4+AF5-AF6</f>
        <v/>
      </c>
      <c r="AG7" s="42">
        <f>AG4+AG5-AG6</f>
        <v/>
      </c>
      <c r="AH7" s="42">
        <f>AH4+AH5-AH6</f>
        <v/>
      </c>
      <c r="AI7" s="42">
        <f>AI4+AI5-AI6</f>
        <v/>
      </c>
      <c r="AJ7" s="42">
        <f>AJ4+AJ5-AJ6</f>
        <v/>
      </c>
      <c r="AK7" s="42">
        <f>AK4+AK5-AK6</f>
        <v/>
      </c>
    </row>
    <row r="8">
      <c r="A8" s="33" t="inlineStr">
        <is>
          <t>Variable external cash costs</t>
        </is>
      </c>
      <c r="B8" s="42">
        <f>B4*'Assumptions'!B7</f>
        <v/>
      </c>
      <c r="C8" s="42">
        <f>C4*'Assumptions'!B7</f>
        <v/>
      </c>
      <c r="D8" s="42">
        <f>D4*'Assumptions'!B7</f>
        <v/>
      </c>
      <c r="E8" s="42">
        <f>E4*'Assumptions'!B7</f>
        <v/>
      </c>
      <c r="F8" s="42">
        <f>F4*'Assumptions'!B7</f>
        <v/>
      </c>
      <c r="G8" s="42">
        <f>G4*'Assumptions'!B7</f>
        <v/>
      </c>
      <c r="H8" s="42">
        <f>H4*'Assumptions'!B7</f>
        <v/>
      </c>
      <c r="I8" s="42">
        <f>I4*'Assumptions'!B7</f>
        <v/>
      </c>
      <c r="J8" s="42">
        <f>J4*'Assumptions'!B7</f>
        <v/>
      </c>
      <c r="K8" s="42">
        <f>K4*'Assumptions'!B7</f>
        <v/>
      </c>
      <c r="L8" s="42">
        <f>L4*'Assumptions'!B7</f>
        <v/>
      </c>
      <c r="M8" s="42">
        <f>M4*'Assumptions'!B7</f>
        <v/>
      </c>
      <c r="N8" s="42">
        <f>N4*'Assumptions'!C7</f>
        <v/>
      </c>
      <c r="O8" s="42">
        <f>O4*'Assumptions'!C7</f>
        <v/>
      </c>
      <c r="P8" s="42">
        <f>P4*'Assumptions'!C7</f>
        <v/>
      </c>
      <c r="Q8" s="42">
        <f>Q4*'Assumptions'!C7</f>
        <v/>
      </c>
      <c r="R8" s="42">
        <f>R4*'Assumptions'!C7</f>
        <v/>
      </c>
      <c r="S8" s="42">
        <f>S4*'Assumptions'!C7</f>
        <v/>
      </c>
      <c r="T8" s="42">
        <f>T4*'Assumptions'!C7</f>
        <v/>
      </c>
      <c r="U8" s="42">
        <f>U4*'Assumptions'!C7</f>
        <v/>
      </c>
      <c r="V8" s="42">
        <f>V4*'Assumptions'!C7</f>
        <v/>
      </c>
      <c r="W8" s="42">
        <f>W4*'Assumptions'!C7</f>
        <v/>
      </c>
      <c r="X8" s="42">
        <f>X4*'Assumptions'!C7</f>
        <v/>
      </c>
      <c r="Y8" s="42">
        <f>Y4*'Assumptions'!C7</f>
        <v/>
      </c>
      <c r="Z8" s="42">
        <f>Z4*'Assumptions'!D7</f>
        <v/>
      </c>
      <c r="AA8" s="42">
        <f>AA4*'Assumptions'!D7</f>
        <v/>
      </c>
      <c r="AB8" s="42">
        <f>AB4*'Assumptions'!D7</f>
        <v/>
      </c>
      <c r="AC8" s="42">
        <f>AC4*'Assumptions'!D7</f>
        <v/>
      </c>
      <c r="AD8" s="42">
        <f>AD4*'Assumptions'!D7</f>
        <v/>
      </c>
      <c r="AE8" s="42">
        <f>AE4*'Assumptions'!D7</f>
        <v/>
      </c>
      <c r="AF8" s="42">
        <f>AF4*'Assumptions'!D7</f>
        <v/>
      </c>
      <c r="AG8" s="42">
        <f>AG4*'Assumptions'!D7</f>
        <v/>
      </c>
      <c r="AH8" s="42">
        <f>AH4*'Assumptions'!D7</f>
        <v/>
      </c>
      <c r="AI8" s="42">
        <f>AI4*'Assumptions'!D7</f>
        <v/>
      </c>
      <c r="AJ8" s="42">
        <f>AJ4*'Assumptions'!D7</f>
        <v/>
      </c>
      <c r="AK8" s="42">
        <f>AK4*'Assumptions'!D7</f>
        <v/>
      </c>
    </row>
    <row r="9">
      <c r="A9" s="33" t="inlineStr">
        <is>
          <t>Overhead</t>
        </is>
      </c>
      <c r="B9" s="42">
        <f>'Assumptions'!B8</f>
        <v/>
      </c>
      <c r="C9" s="42">
        <f>'Assumptions'!B8</f>
        <v/>
      </c>
      <c r="D9" s="42">
        <f>'Assumptions'!B8</f>
        <v/>
      </c>
      <c r="E9" s="42">
        <f>'Assumptions'!B8</f>
        <v/>
      </c>
      <c r="F9" s="42">
        <f>'Assumptions'!B8</f>
        <v/>
      </c>
      <c r="G9" s="42">
        <f>'Assumptions'!B8</f>
        <v/>
      </c>
      <c r="H9" s="42">
        <f>'Assumptions'!B8</f>
        <v/>
      </c>
      <c r="I9" s="42">
        <f>'Assumptions'!B8</f>
        <v/>
      </c>
      <c r="J9" s="42">
        <f>'Assumptions'!B8</f>
        <v/>
      </c>
      <c r="K9" s="42">
        <f>'Assumptions'!B8</f>
        <v/>
      </c>
      <c r="L9" s="42">
        <f>'Assumptions'!B8</f>
        <v/>
      </c>
      <c r="M9" s="42">
        <f>'Assumptions'!B8</f>
        <v/>
      </c>
      <c r="N9" s="42">
        <f>'Assumptions'!C8</f>
        <v/>
      </c>
      <c r="O9" s="42">
        <f>'Assumptions'!C8</f>
        <v/>
      </c>
      <c r="P9" s="42">
        <f>'Assumptions'!C8</f>
        <v/>
      </c>
      <c r="Q9" s="42">
        <f>'Assumptions'!C8</f>
        <v/>
      </c>
      <c r="R9" s="42">
        <f>'Assumptions'!C8</f>
        <v/>
      </c>
      <c r="S9" s="42">
        <f>'Assumptions'!C8</f>
        <v/>
      </c>
      <c r="T9" s="42">
        <f>'Assumptions'!C8</f>
        <v/>
      </c>
      <c r="U9" s="42">
        <f>'Assumptions'!C8</f>
        <v/>
      </c>
      <c r="V9" s="42">
        <f>'Assumptions'!C8</f>
        <v/>
      </c>
      <c r="W9" s="42">
        <f>'Assumptions'!C8</f>
        <v/>
      </c>
      <c r="X9" s="42">
        <f>'Assumptions'!C8</f>
        <v/>
      </c>
      <c r="Y9" s="42">
        <f>'Assumptions'!C8</f>
        <v/>
      </c>
      <c r="Z9" s="42">
        <f>'Assumptions'!D8</f>
        <v/>
      </c>
      <c r="AA9" s="42">
        <f>'Assumptions'!D8</f>
        <v/>
      </c>
      <c r="AB9" s="42">
        <f>'Assumptions'!D8</f>
        <v/>
      </c>
      <c r="AC9" s="42">
        <f>'Assumptions'!D8</f>
        <v/>
      </c>
      <c r="AD9" s="42">
        <f>'Assumptions'!D8</f>
        <v/>
      </c>
      <c r="AE9" s="42">
        <f>'Assumptions'!D8</f>
        <v/>
      </c>
      <c r="AF9" s="42">
        <f>'Assumptions'!D8</f>
        <v/>
      </c>
      <c r="AG9" s="42">
        <f>'Assumptions'!D8</f>
        <v/>
      </c>
      <c r="AH9" s="42">
        <f>'Assumptions'!D8</f>
        <v/>
      </c>
      <c r="AI9" s="42">
        <f>'Assumptions'!D8</f>
        <v/>
      </c>
      <c r="AJ9" s="42">
        <f>'Assumptions'!D8</f>
        <v/>
      </c>
      <c r="AK9" s="42">
        <f>'Assumptions'!D8</f>
        <v/>
      </c>
    </row>
    <row r="10">
      <c r="A10" s="33" t="inlineStr">
        <is>
          <t>Founder compensation</t>
        </is>
      </c>
      <c r="B10" s="42">
        <f>'Assumptions'!B9</f>
        <v/>
      </c>
      <c r="C10" s="42">
        <f>'Assumptions'!B9</f>
        <v/>
      </c>
      <c r="D10" s="42">
        <f>'Assumptions'!B9</f>
        <v/>
      </c>
      <c r="E10" s="42">
        <f>'Assumptions'!B9</f>
        <v/>
      </c>
      <c r="F10" s="42">
        <f>'Assumptions'!B9</f>
        <v/>
      </c>
      <c r="G10" s="42">
        <f>'Assumptions'!B9</f>
        <v/>
      </c>
      <c r="H10" s="42">
        <f>'Assumptions'!B9</f>
        <v/>
      </c>
      <c r="I10" s="42">
        <f>'Assumptions'!B9</f>
        <v/>
      </c>
      <c r="J10" s="42">
        <f>'Assumptions'!B9</f>
        <v/>
      </c>
      <c r="K10" s="42">
        <f>'Assumptions'!B9</f>
        <v/>
      </c>
      <c r="L10" s="42">
        <f>'Assumptions'!B9</f>
        <v/>
      </c>
      <c r="M10" s="42">
        <f>'Assumptions'!B9</f>
        <v/>
      </c>
      <c r="N10" s="42">
        <f>'Assumptions'!C9</f>
        <v/>
      </c>
      <c r="O10" s="42">
        <f>'Assumptions'!C9</f>
        <v/>
      </c>
      <c r="P10" s="42">
        <f>'Assumptions'!C9</f>
        <v/>
      </c>
      <c r="Q10" s="42">
        <f>'Assumptions'!C9</f>
        <v/>
      </c>
      <c r="R10" s="42">
        <f>'Assumptions'!C9</f>
        <v/>
      </c>
      <c r="S10" s="42">
        <f>'Assumptions'!C9</f>
        <v/>
      </c>
      <c r="T10" s="42">
        <f>'Assumptions'!C9</f>
        <v/>
      </c>
      <c r="U10" s="42">
        <f>'Assumptions'!C9</f>
        <v/>
      </c>
      <c r="V10" s="42">
        <f>'Assumptions'!C9</f>
        <v/>
      </c>
      <c r="W10" s="42">
        <f>'Assumptions'!C9</f>
        <v/>
      </c>
      <c r="X10" s="42">
        <f>'Assumptions'!C9</f>
        <v/>
      </c>
      <c r="Y10" s="42">
        <f>'Assumptions'!C9</f>
        <v/>
      </c>
      <c r="Z10" s="42">
        <f>'Assumptions'!D9</f>
        <v/>
      </c>
      <c r="AA10" s="42">
        <f>'Assumptions'!D9</f>
        <v/>
      </c>
      <c r="AB10" s="42">
        <f>'Assumptions'!D9</f>
        <v/>
      </c>
      <c r="AC10" s="42">
        <f>'Assumptions'!D9</f>
        <v/>
      </c>
      <c r="AD10" s="42">
        <f>'Assumptions'!D9</f>
        <v/>
      </c>
      <c r="AE10" s="42">
        <f>'Assumptions'!D9</f>
        <v/>
      </c>
      <c r="AF10" s="42">
        <f>'Assumptions'!D9</f>
        <v/>
      </c>
      <c r="AG10" s="42">
        <f>'Assumptions'!D9</f>
        <v/>
      </c>
      <c r="AH10" s="42">
        <f>'Assumptions'!D9</f>
        <v/>
      </c>
      <c r="AI10" s="42">
        <f>'Assumptions'!D9</f>
        <v/>
      </c>
      <c r="AJ10" s="42">
        <f>'Assumptions'!D9</f>
        <v/>
      </c>
      <c r="AK10" s="42">
        <f>'Assumptions'!D9</f>
        <v/>
      </c>
    </row>
    <row r="11">
      <c r="A11" s="33" t="inlineStr">
        <is>
          <t>Project coordination</t>
        </is>
      </c>
      <c r="B11" s="42">
        <f>'Assumptions'!B10</f>
        <v/>
      </c>
      <c r="C11" s="42">
        <f>'Assumptions'!B10</f>
        <v/>
      </c>
      <c r="D11" s="42">
        <f>'Assumptions'!B10</f>
        <v/>
      </c>
      <c r="E11" s="42">
        <f>'Assumptions'!B10</f>
        <v/>
      </c>
      <c r="F11" s="42">
        <f>'Assumptions'!B10</f>
        <v/>
      </c>
      <c r="G11" s="42">
        <f>'Assumptions'!B10</f>
        <v/>
      </c>
      <c r="H11" s="42">
        <f>'Assumptions'!B10</f>
        <v/>
      </c>
      <c r="I11" s="42">
        <f>'Assumptions'!B10</f>
        <v/>
      </c>
      <c r="J11" s="42">
        <f>'Assumptions'!B10</f>
        <v/>
      </c>
      <c r="K11" s="42">
        <f>'Assumptions'!B10</f>
        <v/>
      </c>
      <c r="L11" s="42">
        <f>'Assumptions'!B10</f>
        <v/>
      </c>
      <c r="M11" s="42">
        <f>'Assumptions'!B10</f>
        <v/>
      </c>
      <c r="N11" s="42">
        <f>'Assumptions'!C10</f>
        <v/>
      </c>
      <c r="O11" s="42">
        <f>'Assumptions'!C10</f>
        <v/>
      </c>
      <c r="P11" s="42">
        <f>'Assumptions'!C10</f>
        <v/>
      </c>
      <c r="Q11" s="42">
        <f>'Assumptions'!C10</f>
        <v/>
      </c>
      <c r="R11" s="42">
        <f>'Assumptions'!C10</f>
        <v/>
      </c>
      <c r="S11" s="42">
        <f>'Assumptions'!C10</f>
        <v/>
      </c>
      <c r="T11" s="42">
        <f>'Assumptions'!C10</f>
        <v/>
      </c>
      <c r="U11" s="42">
        <f>'Assumptions'!C10</f>
        <v/>
      </c>
      <c r="V11" s="42">
        <f>'Assumptions'!C10</f>
        <v/>
      </c>
      <c r="W11" s="42">
        <f>'Assumptions'!C10</f>
        <v/>
      </c>
      <c r="X11" s="42">
        <f>'Assumptions'!C10</f>
        <v/>
      </c>
      <c r="Y11" s="42">
        <f>'Assumptions'!C10</f>
        <v/>
      </c>
      <c r="Z11" s="42">
        <f>'Assumptions'!D10</f>
        <v/>
      </c>
      <c r="AA11" s="42">
        <f>'Assumptions'!D10</f>
        <v/>
      </c>
      <c r="AB11" s="42">
        <f>'Assumptions'!D10</f>
        <v/>
      </c>
      <c r="AC11" s="42">
        <f>'Assumptions'!D10</f>
        <v/>
      </c>
      <c r="AD11" s="42">
        <f>'Assumptions'!D10</f>
        <v/>
      </c>
      <c r="AE11" s="42">
        <f>'Assumptions'!D10</f>
        <v/>
      </c>
      <c r="AF11" s="42">
        <f>'Assumptions'!D10</f>
        <v/>
      </c>
      <c r="AG11" s="42">
        <f>'Assumptions'!D10</f>
        <v/>
      </c>
      <c r="AH11" s="42">
        <f>'Assumptions'!D10</f>
        <v/>
      </c>
      <c r="AI11" s="42">
        <f>'Assumptions'!D10</f>
        <v/>
      </c>
      <c r="AJ11" s="42">
        <f>'Assumptions'!D10</f>
        <v/>
      </c>
      <c r="AK11" s="42">
        <f>'Assumptions'!D10</f>
        <v/>
      </c>
    </row>
    <row r="12">
      <c r="A12" s="33" t="inlineStr">
        <is>
          <t>Capex</t>
        </is>
      </c>
      <c r="B12" s="42" t="n">
        <v>1500</v>
      </c>
      <c r="C12" s="42" t="n">
        <v>500</v>
      </c>
      <c r="D12" s="42" t="n">
        <v>0</v>
      </c>
      <c r="E12" s="42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42" t="n">
        <v>0</v>
      </c>
      <c r="K12" s="42" t="n">
        <v>0</v>
      </c>
      <c r="L12" s="42" t="n">
        <v>0</v>
      </c>
      <c r="M12" s="42" t="n">
        <v>0</v>
      </c>
      <c r="N12" s="42" t="n">
        <v>4000</v>
      </c>
      <c r="O12" s="42" t="n">
        <v>2000</v>
      </c>
      <c r="P12" s="42" t="n">
        <v>2000</v>
      </c>
      <c r="Q12" s="42" t="n">
        <v>0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  <c r="W12" s="42" t="n">
        <v>0</v>
      </c>
      <c r="X12" s="42" t="n">
        <v>0</v>
      </c>
      <c r="Y12" s="42" t="n">
        <v>0</v>
      </c>
      <c r="Z12" s="42" t="n">
        <v>5000</v>
      </c>
      <c r="AA12" s="42" t="n">
        <v>5000</v>
      </c>
      <c r="AB12" s="42" t="n">
        <v>5000</v>
      </c>
      <c r="AC12" s="42" t="n">
        <v>0</v>
      </c>
      <c r="AD12" s="42" t="n">
        <v>0</v>
      </c>
      <c r="AE12" s="42" t="n">
        <v>0</v>
      </c>
      <c r="AF12" s="42" t="n">
        <v>0</v>
      </c>
      <c r="AG12" s="42" t="n">
        <v>0</v>
      </c>
      <c r="AH12" s="42" t="n">
        <v>0</v>
      </c>
      <c r="AI12" s="42" t="n">
        <v>0</v>
      </c>
      <c r="AJ12" s="42" t="n">
        <v>0</v>
      </c>
      <c r="AK12" s="42" t="n">
        <v>0</v>
      </c>
    </row>
    <row r="13">
      <c r="A13" s="33" t="inlineStr">
        <is>
          <t>Net cashflow</t>
        </is>
      </c>
      <c r="B13" s="42">
        <f>B7-B8-B9-B10-B11-B12</f>
        <v/>
      </c>
      <c r="C13" s="42">
        <f>C7-C8-C9-C10-C11-C12</f>
        <v/>
      </c>
      <c r="D13" s="42">
        <f>D7-D8-D9-D10-D11-D12</f>
        <v/>
      </c>
      <c r="E13" s="42">
        <f>E7-E8-E9-E10-E11-E12</f>
        <v/>
      </c>
      <c r="F13" s="42">
        <f>F7-F8-F9-F10-F11-F12</f>
        <v/>
      </c>
      <c r="G13" s="42">
        <f>G7-G8-G9-G10-G11-G12</f>
        <v/>
      </c>
      <c r="H13" s="42">
        <f>H7-H8-H9-H10-H11-H12</f>
        <v/>
      </c>
      <c r="I13" s="42">
        <f>I7-I8-I9-I10-I11-I12</f>
        <v/>
      </c>
      <c r="J13" s="42">
        <f>J7-J8-J9-J10-J11-J12</f>
        <v/>
      </c>
      <c r="K13" s="42">
        <f>K7-K8-K9-K10-K11-K12</f>
        <v/>
      </c>
      <c r="L13" s="42">
        <f>L7-L8-L9-L10-L11-L12</f>
        <v/>
      </c>
      <c r="M13" s="42">
        <f>M7-M8-M9-M10-M11-M12</f>
        <v/>
      </c>
      <c r="N13" s="42">
        <f>N7-N8-N9-N10-N11-N12</f>
        <v/>
      </c>
      <c r="O13" s="42">
        <f>O7-O8-O9-O10-O11-O12</f>
        <v/>
      </c>
      <c r="P13" s="42">
        <f>P7-P8-P9-P10-P11-P12</f>
        <v/>
      </c>
      <c r="Q13" s="42">
        <f>Q7-Q8-Q9-Q10-Q11-Q12</f>
        <v/>
      </c>
      <c r="R13" s="42">
        <f>R7-R8-R9-R10-R11-R12</f>
        <v/>
      </c>
      <c r="S13" s="42">
        <f>S7-S8-S9-S10-S11-S12</f>
        <v/>
      </c>
      <c r="T13" s="42">
        <f>T7-T8-T9-T10-T11-T12</f>
        <v/>
      </c>
      <c r="U13" s="42">
        <f>U7-U8-U9-U10-U11-U12</f>
        <v/>
      </c>
      <c r="V13" s="42">
        <f>V7-V8-V9-V10-V11-V12</f>
        <v/>
      </c>
      <c r="W13" s="42">
        <f>W7-W8-W9-W10-W11-W12</f>
        <v/>
      </c>
      <c r="X13" s="42">
        <f>X7-X8-X9-X10-X11-X12</f>
        <v/>
      </c>
      <c r="Y13" s="42">
        <f>Y7-Y8-Y9-Y10-Y11-Y12</f>
        <v/>
      </c>
      <c r="Z13" s="42">
        <f>Z7-Z8-Z9-Z10-Z11-Z12</f>
        <v/>
      </c>
      <c r="AA13" s="42">
        <f>AA7-AA8-AA9-AA10-AA11-AA12</f>
        <v/>
      </c>
      <c r="AB13" s="42">
        <f>AB7-AB8-AB9-AB10-AB11-AB12</f>
        <v/>
      </c>
      <c r="AC13" s="42">
        <f>AC7-AC8-AC9-AC10-AC11-AC12</f>
        <v/>
      </c>
      <c r="AD13" s="42">
        <f>AD7-AD8-AD9-AD10-AD11-AD12</f>
        <v/>
      </c>
      <c r="AE13" s="42">
        <f>AE7-AE8-AE9-AE10-AE11-AE12</f>
        <v/>
      </c>
      <c r="AF13" s="42">
        <f>AF7-AF8-AF9-AF10-AF11-AF12</f>
        <v/>
      </c>
      <c r="AG13" s="42">
        <f>AG7-AG8-AG9-AG10-AG11-AG12</f>
        <v/>
      </c>
      <c r="AH13" s="42">
        <f>AH7-AH8-AH9-AH10-AH11-AH12</f>
        <v/>
      </c>
      <c r="AI13" s="42">
        <f>AI7-AI8-AI9-AI10-AI11-AI12</f>
        <v/>
      </c>
      <c r="AJ13" s="42">
        <f>AJ7-AJ8-AJ9-AJ10-AJ11-AJ12</f>
        <v/>
      </c>
      <c r="AK13" s="42">
        <f>AK7-AK8-AK9-AK10-AK11-AK12</f>
        <v/>
      </c>
    </row>
    <row r="14">
      <c r="A14" s="33" t="inlineStr">
        <is>
          <t>Opening cash</t>
        </is>
      </c>
      <c r="B14" s="42">
        <f>'Assumptions'!B5</f>
        <v/>
      </c>
      <c r="C14" s="42">
        <f>B15</f>
        <v/>
      </c>
      <c r="D14" s="42">
        <f>C15</f>
        <v/>
      </c>
      <c r="E14" s="42">
        <f>D15</f>
        <v/>
      </c>
      <c r="F14" s="42">
        <f>E15</f>
        <v/>
      </c>
      <c r="G14" s="42">
        <f>F15</f>
        <v/>
      </c>
      <c r="H14" s="42">
        <f>G15</f>
        <v/>
      </c>
      <c r="I14" s="42">
        <f>H15</f>
        <v/>
      </c>
      <c r="J14" s="42">
        <f>I15</f>
        <v/>
      </c>
      <c r="K14" s="42">
        <f>J15</f>
        <v/>
      </c>
      <c r="L14" s="42">
        <f>K15</f>
        <v/>
      </c>
      <c r="M14" s="42">
        <f>L15</f>
        <v/>
      </c>
      <c r="N14" s="42">
        <f>M15</f>
        <v/>
      </c>
      <c r="O14" s="42">
        <f>N15</f>
        <v/>
      </c>
      <c r="P14" s="42">
        <f>O15</f>
        <v/>
      </c>
      <c r="Q14" s="42">
        <f>P15</f>
        <v/>
      </c>
      <c r="R14" s="42">
        <f>Q15</f>
        <v/>
      </c>
      <c r="S14" s="42">
        <f>R15</f>
        <v/>
      </c>
      <c r="T14" s="42">
        <f>S15</f>
        <v/>
      </c>
      <c r="U14" s="42">
        <f>T15</f>
        <v/>
      </c>
      <c r="V14" s="42">
        <f>U15</f>
        <v/>
      </c>
      <c r="W14" s="42">
        <f>V15</f>
        <v/>
      </c>
      <c r="X14" s="42">
        <f>W15</f>
        <v/>
      </c>
      <c r="Y14" s="42">
        <f>X15</f>
        <v/>
      </c>
      <c r="Z14" s="42">
        <f>Y15</f>
        <v/>
      </c>
      <c r="AA14" s="42">
        <f>Z15</f>
        <v/>
      </c>
      <c r="AB14" s="42">
        <f>AA15</f>
        <v/>
      </c>
      <c r="AC14" s="42">
        <f>AB15</f>
        <v/>
      </c>
      <c r="AD14" s="42">
        <f>AC15</f>
        <v/>
      </c>
      <c r="AE14" s="42">
        <f>AD15</f>
        <v/>
      </c>
      <c r="AF14" s="42">
        <f>AE15</f>
        <v/>
      </c>
      <c r="AG14" s="42">
        <f>AF15</f>
        <v/>
      </c>
      <c r="AH14" s="42">
        <f>AG15</f>
        <v/>
      </c>
      <c r="AI14" s="42">
        <f>AH15</f>
        <v/>
      </c>
      <c r="AJ14" s="42">
        <f>AI15</f>
        <v/>
      </c>
      <c r="AK14" s="42">
        <f>AJ15</f>
        <v/>
      </c>
    </row>
    <row r="15">
      <c r="A15" s="33" t="inlineStr">
        <is>
          <t>Closing cash</t>
        </is>
      </c>
      <c r="B15" s="42">
        <f>B14+B13</f>
        <v/>
      </c>
      <c r="C15" s="42">
        <f>C14+C13</f>
        <v/>
      </c>
      <c r="D15" s="42">
        <f>D14+D13</f>
        <v/>
      </c>
      <c r="E15" s="42">
        <f>E14+E13</f>
        <v/>
      </c>
      <c r="F15" s="42">
        <f>F14+F13</f>
        <v/>
      </c>
      <c r="G15" s="42">
        <f>G14+G13</f>
        <v/>
      </c>
      <c r="H15" s="42">
        <f>H14+H13</f>
        <v/>
      </c>
      <c r="I15" s="42">
        <f>I14+I13</f>
        <v/>
      </c>
      <c r="J15" s="42">
        <f>J14+J13</f>
        <v/>
      </c>
      <c r="K15" s="42">
        <f>K14+K13</f>
        <v/>
      </c>
      <c r="L15" s="42">
        <f>L14+L13</f>
        <v/>
      </c>
      <c r="M15" s="42">
        <f>M14+M13</f>
        <v/>
      </c>
      <c r="N15" s="42">
        <f>N14+N13</f>
        <v/>
      </c>
      <c r="O15" s="42">
        <f>O14+O13</f>
        <v/>
      </c>
      <c r="P15" s="42">
        <f>P14+P13</f>
        <v/>
      </c>
      <c r="Q15" s="42">
        <f>Q14+Q13</f>
        <v/>
      </c>
      <c r="R15" s="42">
        <f>R14+R13</f>
        <v/>
      </c>
      <c r="S15" s="42">
        <f>S14+S13</f>
        <v/>
      </c>
      <c r="T15" s="42">
        <f>T14+T13</f>
        <v/>
      </c>
      <c r="U15" s="42">
        <f>U14+U13</f>
        <v/>
      </c>
      <c r="V15" s="42">
        <f>V14+V13</f>
        <v/>
      </c>
      <c r="W15" s="42">
        <f>W14+W13</f>
        <v/>
      </c>
      <c r="X15" s="42">
        <f>X14+X13</f>
        <v/>
      </c>
      <c r="Y15" s="42">
        <f>Y14+Y13</f>
        <v/>
      </c>
      <c r="Z15" s="42">
        <f>Z14+Z13</f>
        <v/>
      </c>
      <c r="AA15" s="42">
        <f>AA14+AA13</f>
        <v/>
      </c>
      <c r="AB15" s="42">
        <f>AB14+AB13</f>
        <v/>
      </c>
      <c r="AC15" s="42">
        <f>AC14+AC13</f>
        <v/>
      </c>
      <c r="AD15" s="42">
        <f>AD14+AD13</f>
        <v/>
      </c>
      <c r="AE15" s="42">
        <f>AE14+AE13</f>
        <v/>
      </c>
      <c r="AF15" s="42">
        <f>AF14+AF13</f>
        <v/>
      </c>
      <c r="AG15" s="42">
        <f>AG14+AG13</f>
        <v/>
      </c>
      <c r="AH15" s="42">
        <f>AH14+AH13</f>
        <v/>
      </c>
      <c r="AI15" s="42">
        <f>AI14+AI13</f>
        <v/>
      </c>
      <c r="AJ15" s="42">
        <f>AJ14+AJ13</f>
        <v/>
      </c>
      <c r="AK15" s="42">
        <f>AK14+AK13</f>
        <v/>
      </c>
    </row>
    <row r="16">
      <c r="A16" s="33" t="inlineStr">
        <is>
          <t>Minimum liquidity</t>
        </is>
      </c>
      <c r="B16" s="42">
        <f>'Assumptions'!B13</f>
        <v/>
      </c>
      <c r="C16" s="42">
        <f>'Assumptions'!B13</f>
        <v/>
      </c>
      <c r="D16" s="42">
        <f>'Assumptions'!B13</f>
        <v/>
      </c>
      <c r="E16" s="42">
        <f>'Assumptions'!B13</f>
        <v/>
      </c>
      <c r="F16" s="42">
        <f>'Assumptions'!B13</f>
        <v/>
      </c>
      <c r="G16" s="42">
        <f>'Assumptions'!B13</f>
        <v/>
      </c>
      <c r="H16" s="42">
        <f>'Assumptions'!B13</f>
        <v/>
      </c>
      <c r="I16" s="42">
        <f>'Assumptions'!B13</f>
        <v/>
      </c>
      <c r="J16" s="42">
        <f>'Assumptions'!B13</f>
        <v/>
      </c>
      <c r="K16" s="42">
        <f>'Assumptions'!B13</f>
        <v/>
      </c>
      <c r="L16" s="42">
        <f>'Assumptions'!B13</f>
        <v/>
      </c>
      <c r="M16" s="42">
        <f>'Assumptions'!B13</f>
        <v/>
      </c>
      <c r="N16" s="42">
        <f>'Assumptions'!C13</f>
        <v/>
      </c>
      <c r="O16" s="42">
        <f>'Assumptions'!C13</f>
        <v/>
      </c>
      <c r="P16" s="42">
        <f>'Assumptions'!C13</f>
        <v/>
      </c>
      <c r="Q16" s="42">
        <f>'Assumptions'!C13</f>
        <v/>
      </c>
      <c r="R16" s="42">
        <f>'Assumptions'!C13</f>
        <v/>
      </c>
      <c r="S16" s="42">
        <f>'Assumptions'!C13</f>
        <v/>
      </c>
      <c r="T16" s="42">
        <f>'Assumptions'!C13</f>
        <v/>
      </c>
      <c r="U16" s="42">
        <f>'Assumptions'!C13</f>
        <v/>
      </c>
      <c r="V16" s="42">
        <f>'Assumptions'!C13</f>
        <v/>
      </c>
      <c r="W16" s="42">
        <f>'Assumptions'!C13</f>
        <v/>
      </c>
      <c r="X16" s="42">
        <f>'Assumptions'!C13</f>
        <v/>
      </c>
      <c r="Y16" s="42">
        <f>'Assumptions'!C13</f>
        <v/>
      </c>
      <c r="Z16" s="42">
        <f>'Assumptions'!D13</f>
        <v/>
      </c>
      <c r="AA16" s="42">
        <f>'Assumptions'!D13</f>
        <v/>
      </c>
      <c r="AB16" s="42">
        <f>'Assumptions'!D13</f>
        <v/>
      </c>
      <c r="AC16" s="42">
        <f>'Assumptions'!D13</f>
        <v/>
      </c>
      <c r="AD16" s="42">
        <f>'Assumptions'!D13</f>
        <v/>
      </c>
      <c r="AE16" s="42">
        <f>'Assumptions'!D13</f>
        <v/>
      </c>
      <c r="AF16" s="42">
        <f>'Assumptions'!D13</f>
        <v/>
      </c>
      <c r="AG16" s="42">
        <f>'Assumptions'!D13</f>
        <v/>
      </c>
      <c r="AH16" s="42">
        <f>'Assumptions'!D13</f>
        <v/>
      </c>
      <c r="AI16" s="42">
        <f>'Assumptions'!D13</f>
        <v/>
      </c>
      <c r="AJ16" s="42">
        <f>'Assumptions'!D13</f>
        <v/>
      </c>
      <c r="AK16" s="42">
        <f>'Assumptions'!D13</f>
        <v/>
      </c>
    </row>
    <row r="17">
      <c r="A17" s="33" t="inlineStr">
        <is>
          <t>Liquidity buffer</t>
        </is>
      </c>
      <c r="B17" s="42">
        <f>B15-B16</f>
        <v/>
      </c>
      <c r="C17" s="42">
        <f>C15-C16</f>
        <v/>
      </c>
      <c r="D17" s="42">
        <f>D15-D16</f>
        <v/>
      </c>
      <c r="E17" s="42">
        <f>E15-E16</f>
        <v/>
      </c>
      <c r="F17" s="42">
        <f>F15-F16</f>
        <v/>
      </c>
      <c r="G17" s="42">
        <f>G15-G16</f>
        <v/>
      </c>
      <c r="H17" s="42">
        <f>H15-H16</f>
        <v/>
      </c>
      <c r="I17" s="42">
        <f>I15-I16</f>
        <v/>
      </c>
      <c r="J17" s="42">
        <f>J15-J16</f>
        <v/>
      </c>
      <c r="K17" s="42">
        <f>K15-K16</f>
        <v/>
      </c>
      <c r="L17" s="42">
        <f>L15-L16</f>
        <v/>
      </c>
      <c r="M17" s="42">
        <f>M15-M16</f>
        <v/>
      </c>
      <c r="N17" s="42">
        <f>N15-N16</f>
        <v/>
      </c>
      <c r="O17" s="42">
        <f>O15-O16</f>
        <v/>
      </c>
      <c r="P17" s="42">
        <f>P15-P16</f>
        <v/>
      </c>
      <c r="Q17" s="42">
        <f>Q15-Q16</f>
        <v/>
      </c>
      <c r="R17" s="42">
        <f>R15-R16</f>
        <v/>
      </c>
      <c r="S17" s="42">
        <f>S15-S16</f>
        <v/>
      </c>
      <c r="T17" s="42">
        <f>T15-T16</f>
        <v/>
      </c>
      <c r="U17" s="42">
        <f>U15-U16</f>
        <v/>
      </c>
      <c r="V17" s="42">
        <f>V15-V16</f>
        <v/>
      </c>
      <c r="W17" s="42">
        <f>W15-W16</f>
        <v/>
      </c>
      <c r="X17" s="42">
        <f>X15-X16</f>
        <v/>
      </c>
      <c r="Y17" s="42">
        <f>Y15-Y16</f>
        <v/>
      </c>
      <c r="Z17" s="42">
        <f>Z15-Z16</f>
        <v/>
      </c>
      <c r="AA17" s="42">
        <f>AA15-AA16</f>
        <v/>
      </c>
      <c r="AB17" s="42">
        <f>AB15-AB16</f>
        <v/>
      </c>
      <c r="AC17" s="42">
        <f>AC15-AC16</f>
        <v/>
      </c>
      <c r="AD17" s="42">
        <f>AD15-AD16</f>
        <v/>
      </c>
      <c r="AE17" s="42">
        <f>AE15-AE16</f>
        <v/>
      </c>
      <c r="AF17" s="42">
        <f>AF15-AF16</f>
        <v/>
      </c>
      <c r="AG17" s="42">
        <f>AG15-AG16</f>
        <v/>
      </c>
      <c r="AH17" s="42">
        <f>AH15-AH16</f>
        <v/>
      </c>
      <c r="AI17" s="42">
        <f>AI15-AI16</f>
        <v/>
      </c>
      <c r="AJ17" s="42">
        <f>AJ15-AJ16</f>
        <v/>
      </c>
      <c r="AK17" s="42">
        <f>AK15-AK16</f>
        <v/>
      </c>
    </row>
    <row r="18">
      <c r="A18" s="33" t="inlineStr">
        <is>
          <t>Cash status</t>
        </is>
      </c>
      <c r="B18" s="33">
        <f>IF(B17&gt;=0,"OK","BELOW MIN")</f>
        <v/>
      </c>
      <c r="C18" s="33">
        <f>IF(C17&gt;=0,"OK","BELOW MIN")</f>
        <v/>
      </c>
      <c r="D18" s="33">
        <f>IF(D17&gt;=0,"OK","BELOW MIN")</f>
        <v/>
      </c>
      <c r="E18" s="33">
        <f>IF(E17&gt;=0,"OK","BELOW MIN")</f>
        <v/>
      </c>
      <c r="F18" s="33">
        <f>IF(F17&gt;=0,"OK","BELOW MIN")</f>
        <v/>
      </c>
      <c r="G18" s="33">
        <f>IF(G17&gt;=0,"OK","BELOW MIN")</f>
        <v/>
      </c>
      <c r="H18" s="33">
        <f>IF(H17&gt;=0,"OK","BELOW MIN")</f>
        <v/>
      </c>
      <c r="I18" s="33">
        <f>IF(I17&gt;=0,"OK","BELOW MIN")</f>
        <v/>
      </c>
      <c r="J18" s="33">
        <f>IF(J17&gt;=0,"OK","BELOW MIN")</f>
        <v/>
      </c>
      <c r="K18" s="33">
        <f>IF(K17&gt;=0,"OK","BELOW MIN")</f>
        <v/>
      </c>
      <c r="L18" s="33">
        <f>IF(L17&gt;=0,"OK","BELOW MIN")</f>
        <v/>
      </c>
      <c r="M18" s="33">
        <f>IF(M17&gt;=0,"OK","BELOW MIN")</f>
        <v/>
      </c>
      <c r="N18" s="33">
        <f>IF(N17&gt;=0,"OK","BELOW MIN")</f>
        <v/>
      </c>
      <c r="O18" s="33">
        <f>IF(O17&gt;=0,"OK","BELOW MIN")</f>
        <v/>
      </c>
      <c r="P18" s="33">
        <f>IF(P17&gt;=0,"OK","BELOW MIN")</f>
        <v/>
      </c>
      <c r="Q18" s="33">
        <f>IF(Q17&gt;=0,"OK","BELOW MIN")</f>
        <v/>
      </c>
      <c r="R18" s="33">
        <f>IF(R17&gt;=0,"OK","BELOW MIN")</f>
        <v/>
      </c>
      <c r="S18" s="33">
        <f>IF(S17&gt;=0,"OK","BELOW MIN")</f>
        <v/>
      </c>
      <c r="T18" s="33">
        <f>IF(T17&gt;=0,"OK","BELOW MIN")</f>
        <v/>
      </c>
      <c r="U18" s="33">
        <f>IF(U17&gt;=0,"OK","BELOW MIN")</f>
        <v/>
      </c>
      <c r="V18" s="33">
        <f>IF(V17&gt;=0,"OK","BELOW MIN")</f>
        <v/>
      </c>
      <c r="W18" s="33">
        <f>IF(W17&gt;=0,"OK","BELOW MIN")</f>
        <v/>
      </c>
      <c r="X18" s="33">
        <f>IF(X17&gt;=0,"OK","BELOW MIN")</f>
        <v/>
      </c>
      <c r="Y18" s="33">
        <f>IF(Y17&gt;=0,"OK","BELOW MIN")</f>
        <v/>
      </c>
      <c r="Z18" s="33">
        <f>IF(Z17&gt;=0,"OK","BELOW MIN")</f>
        <v/>
      </c>
      <c r="AA18" s="33">
        <f>IF(AA17&gt;=0,"OK","BELOW MIN")</f>
        <v/>
      </c>
      <c r="AB18" s="33">
        <f>IF(AB17&gt;=0,"OK","BELOW MIN")</f>
        <v/>
      </c>
      <c r="AC18" s="33">
        <f>IF(AC17&gt;=0,"OK","BELOW MIN")</f>
        <v/>
      </c>
      <c r="AD18" s="33">
        <f>IF(AD17&gt;=0,"OK","BELOW MIN")</f>
        <v/>
      </c>
      <c r="AE18" s="33">
        <f>IF(AE17&gt;=0,"OK","BELOW MIN")</f>
        <v/>
      </c>
      <c r="AF18" s="33">
        <f>IF(AF17&gt;=0,"OK","BELOW MIN")</f>
        <v/>
      </c>
      <c r="AG18" s="33">
        <f>IF(AG17&gt;=0,"OK","BELOW MIN")</f>
        <v/>
      </c>
      <c r="AH18" s="33">
        <f>IF(AH17&gt;=0,"OK","BELOW MIN")</f>
        <v/>
      </c>
      <c r="AI18" s="33">
        <f>IF(AI17&gt;=0,"OK","BELOW MIN")</f>
        <v/>
      </c>
      <c r="AJ18" s="33">
        <f>IF(AJ17&gt;=0,"OK","BELOW MIN")</f>
        <v/>
      </c>
      <c r="AK18" s="33">
        <f>IF(AK17&gt;=0,"OK","BELOW MIN")</f>
        <v/>
      </c>
    </row>
  </sheetData>
  <mergeCells count="1">
    <mergeCell ref="A1:AK1"/>
  </mergeCells>
  <conditionalFormatting sqref="B18:AK18">
    <cfRule type="containsText" priority="1" operator="containsText" dxfId="0" text="BELOW MIN"/>
    <cfRule type="containsText" priority="2" operator="containsText" dxfId="1" text="OK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25" t="inlineStr">
        <is>
          <t>AMAVIO | Annual P&amp;L (net service revenue)</t>
        </is>
      </c>
    </row>
    <row r="2">
      <c r="A2" s="27" t="n"/>
      <c r="B2" s="27" t="n"/>
      <c r="C2" s="27" t="n"/>
      <c r="D2" s="27" t="n"/>
    </row>
    <row r="3">
      <c r="A3" s="28" t="inlineStr">
        <is>
          <t>Position</t>
        </is>
      </c>
      <c r="B3" s="28" t="inlineStr">
        <is>
          <t>Year 1</t>
        </is>
      </c>
      <c r="C3" s="28" t="inlineStr">
        <is>
          <t>Year 2</t>
        </is>
      </c>
      <c r="D3" s="28" t="inlineStr">
        <is>
          <t>Year 3</t>
        </is>
      </c>
    </row>
    <row r="4">
      <c r="A4" s="33" t="inlineStr">
        <is>
          <t>Net revenue</t>
        </is>
      </c>
      <c r="B4" s="42">
        <f>SUMIF('Contract_Cash'!$B$4:$B$27,1,'Contract_Cash'!$C$4:$C$27)</f>
        <v/>
      </c>
      <c r="C4" s="42">
        <f>SUMIF('Contract_Cash'!$B$4:$B$27,2,'Contract_Cash'!$C$4:$C$27)</f>
        <v/>
      </c>
      <c r="D4" s="42">
        <f>SUMIF('Contract_Cash'!$B$4:$B$27,3,'Contract_Cash'!$C$4:$C$27)</f>
        <v/>
      </c>
    </row>
    <row r="5">
      <c r="A5" s="33" t="inlineStr">
        <is>
          <t>Variable external costs</t>
        </is>
      </c>
      <c r="B5" s="42">
        <f>B4*'Assumptions'!B7</f>
        <v/>
      </c>
      <c r="C5" s="42">
        <f>C4*'Assumptions'!C7</f>
        <v/>
      </c>
      <c r="D5" s="42">
        <f>D4*'Assumptions'!D7</f>
        <v/>
      </c>
    </row>
    <row r="6">
      <c r="A6" s="33" t="inlineStr">
        <is>
          <t>Overhead</t>
        </is>
      </c>
      <c r="B6" s="42">
        <f>'Assumptions'!B8*12</f>
        <v/>
      </c>
      <c r="C6" s="42">
        <f>'Assumptions'!C8*12</f>
        <v/>
      </c>
      <c r="D6" s="42">
        <f>'Assumptions'!D8*12</f>
        <v/>
      </c>
    </row>
    <row r="7">
      <c r="A7" s="33" t="inlineStr">
        <is>
          <t>Founder compensation</t>
        </is>
      </c>
      <c r="B7" s="42">
        <f>'Assumptions'!B9*12</f>
        <v/>
      </c>
      <c r="C7" s="42">
        <f>'Assumptions'!C9*12</f>
        <v/>
      </c>
      <c r="D7" s="42">
        <f>'Assumptions'!D9*12</f>
        <v/>
      </c>
    </row>
    <row r="8">
      <c r="A8" s="33" t="inlineStr">
        <is>
          <t>Project coordination</t>
        </is>
      </c>
      <c r="B8" s="42">
        <f>'Assumptions'!B10*12</f>
        <v/>
      </c>
      <c r="C8" s="42">
        <f>'Assumptions'!C10*12</f>
        <v/>
      </c>
      <c r="D8" s="42">
        <f>'Assumptions'!D10*12</f>
        <v/>
      </c>
    </row>
    <row r="9">
      <c r="A9" s="33" t="inlineStr">
        <is>
          <t>EBITDA</t>
        </is>
      </c>
      <c r="B9" s="42">
        <f>B4-B5-B6-B7-B8</f>
        <v/>
      </c>
      <c r="C9" s="42">
        <f>C4-C5-C6-C7-C8</f>
        <v/>
      </c>
      <c r="D9" s="42">
        <f>D4-D5-D6-D7-D8</f>
        <v/>
      </c>
    </row>
    <row r="10">
      <c r="A10" s="33" t="inlineStr">
        <is>
          <t>Depreciation</t>
        </is>
      </c>
      <c r="B10" s="42">
        <f>'Assumptions'!B11</f>
        <v/>
      </c>
      <c r="C10" s="42">
        <f>'Assumptions'!C11</f>
        <v/>
      </c>
      <c r="D10" s="42">
        <f>'Assumptions'!D11</f>
        <v/>
      </c>
    </row>
    <row r="11">
      <c r="A11" s="33" t="inlineStr">
        <is>
          <t>EBT</t>
        </is>
      </c>
      <c r="B11" s="42">
        <f>B9-B10</f>
        <v/>
      </c>
      <c r="C11" s="42">
        <f>C9-C10</f>
        <v/>
      </c>
      <c r="D11" s="42">
        <f>D9-D10</f>
        <v/>
      </c>
    </row>
    <row r="12">
      <c r="A12" s="33" t="inlineStr">
        <is>
          <t>Tax reserve</t>
        </is>
      </c>
      <c r="B12" s="42">
        <f>MAX(0,B11*0.30)</f>
        <v/>
      </c>
      <c r="C12" s="42">
        <f>MAX(0,C11*0.30)</f>
        <v/>
      </c>
      <c r="D12" s="42">
        <f>MAX(0,D11*0.30)</f>
        <v/>
      </c>
    </row>
    <row r="13">
      <c r="A13" s="33" t="inlineStr">
        <is>
          <t>Net income after reserve</t>
        </is>
      </c>
      <c r="B13" s="42">
        <f>B11-B12</f>
        <v/>
      </c>
      <c r="C13" s="42">
        <f>C11-C12</f>
        <v/>
      </c>
      <c r="D13" s="42">
        <f>D11-D12</f>
        <v/>
      </c>
    </row>
    <row r="14">
      <c r="A14" s="33" t="inlineStr">
        <is>
          <t>Note</t>
        </is>
      </c>
      <c r="B14" s="33" t="inlineStr">
        <is>
          <t>P&amp;L revenues are net contract values; cash is separately scheduled.</t>
        </is>
      </c>
      <c r="C14" s="33" t="str"/>
      <c r="D14" s="33" t="str"/>
    </row>
    <row r="15">
      <c r="A15" s="33" t="n"/>
      <c r="B15" s="33" t="n"/>
      <c r="C15" s="33" t="n"/>
      <c r="D15" s="33" t="n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32" customWidth="1" min="5" max="5"/>
    <col width="20" customWidth="1" min="6" max="6"/>
  </cols>
  <sheetData>
    <row r="1">
      <c r="A1" s="25" t="inlineStr">
        <is>
          <t>AMAVIO | Corrected annual scenarios</t>
        </is>
      </c>
    </row>
    <row r="2">
      <c r="A2" s="27" t="n"/>
      <c r="B2" s="27" t="n"/>
      <c r="C2" s="27" t="n"/>
      <c r="D2" s="27" t="n"/>
      <c r="E2" s="27" t="n"/>
      <c r="F2" s="27" t="n"/>
    </row>
    <row r="3">
      <c r="A3" s="28" t="inlineStr">
        <is>
          <t>Scenario</t>
        </is>
      </c>
      <c r="B3" s="28" t="inlineStr">
        <is>
          <t>Year</t>
        </is>
      </c>
      <c r="C3" s="28" t="inlineStr">
        <is>
          <t>Revenue</t>
        </is>
      </c>
      <c r="D3" s="28" t="inlineStr">
        <is>
          <t>Variable costs</t>
        </is>
      </c>
      <c r="E3" s="28" t="inlineStr">
        <is>
          <t>Fixed costs incl. founder/staff/depr.</t>
        </is>
      </c>
      <c r="F3" s="28" t="inlineStr">
        <is>
          <t>EBT</t>
        </is>
      </c>
    </row>
    <row r="4">
      <c r="A4" s="33" t="inlineStr">
        <is>
          <t>Downside</t>
        </is>
      </c>
      <c r="B4" s="33" t="n">
        <v>1</v>
      </c>
      <c r="C4" s="42">
        <f>'Annual_P&amp;L'!B4*0.45</f>
        <v/>
      </c>
      <c r="D4" s="42">
        <f>C4*'Assumptions'!B7</f>
        <v/>
      </c>
      <c r="E4" s="42">
        <f>'Annual_P&amp;L'!B6+'Annual_P&amp;L'!B7+'Annual_P&amp;L'!B8+'Annual_P&amp;L'!B10</f>
        <v/>
      </c>
      <c r="F4" s="42">
        <f>C4-D4-E4</f>
        <v/>
      </c>
    </row>
    <row r="5">
      <c r="A5" s="33" t="inlineStr">
        <is>
          <t>Downside</t>
        </is>
      </c>
      <c r="B5" s="33" t="n">
        <v>2</v>
      </c>
      <c r="C5" s="42">
        <f>'Annual_P&amp;L'!C4*0.45</f>
        <v/>
      </c>
      <c r="D5" s="42">
        <f>C5*'Assumptions'!C7</f>
        <v/>
      </c>
      <c r="E5" s="42">
        <f>'Annual_P&amp;L'!C6+'Annual_P&amp;L'!C7+'Annual_P&amp;L'!C8+'Annual_P&amp;L'!C10</f>
        <v/>
      </c>
      <c r="F5" s="42">
        <f>C5-D5-E5</f>
        <v/>
      </c>
    </row>
    <row r="6">
      <c r="A6" s="33" t="inlineStr">
        <is>
          <t>Downside</t>
        </is>
      </c>
      <c r="B6" s="33" t="n">
        <v>3</v>
      </c>
      <c r="C6" s="42">
        <f>'Annual_P&amp;L'!D4*0.45</f>
        <v/>
      </c>
      <c r="D6" s="42">
        <f>C6*'Assumptions'!D7</f>
        <v/>
      </c>
      <c r="E6" s="42">
        <f>'Annual_P&amp;L'!D6+'Annual_P&amp;L'!D7+'Annual_P&amp;L'!D8+'Annual_P&amp;L'!D10</f>
        <v/>
      </c>
      <c r="F6" s="42">
        <f>C6-D6-E6</f>
        <v/>
      </c>
    </row>
    <row r="7">
      <c r="A7" s="33" t="inlineStr">
        <is>
          <t>Base</t>
        </is>
      </c>
      <c r="B7" s="33" t="n">
        <v>1</v>
      </c>
      <c r="C7" s="42">
        <f>'Annual_P&amp;L'!B4*1</f>
        <v/>
      </c>
      <c r="D7" s="42">
        <f>C7*'Assumptions'!B7</f>
        <v/>
      </c>
      <c r="E7" s="42">
        <f>'Annual_P&amp;L'!B6+'Annual_P&amp;L'!B7+'Annual_P&amp;L'!B8+'Annual_P&amp;L'!B10</f>
        <v/>
      </c>
      <c r="F7" s="42">
        <f>C7-D7-E7</f>
        <v/>
      </c>
    </row>
    <row r="8">
      <c r="A8" s="33" t="inlineStr">
        <is>
          <t>Base</t>
        </is>
      </c>
      <c r="B8" s="33" t="n">
        <v>2</v>
      </c>
      <c r="C8" s="42">
        <f>'Annual_P&amp;L'!C4*1</f>
        <v/>
      </c>
      <c r="D8" s="42">
        <f>C8*'Assumptions'!C7</f>
        <v/>
      </c>
      <c r="E8" s="42">
        <f>'Annual_P&amp;L'!C6+'Annual_P&amp;L'!C7+'Annual_P&amp;L'!C8+'Annual_P&amp;L'!C10</f>
        <v/>
      </c>
      <c r="F8" s="42">
        <f>C8-D8-E8</f>
        <v/>
      </c>
    </row>
    <row r="9">
      <c r="A9" s="33" t="inlineStr">
        <is>
          <t>Base</t>
        </is>
      </c>
      <c r="B9" s="33" t="n">
        <v>3</v>
      </c>
      <c r="C9" s="42">
        <f>'Annual_P&amp;L'!D4*1</f>
        <v/>
      </c>
      <c r="D9" s="42">
        <f>C9*'Assumptions'!D7</f>
        <v/>
      </c>
      <c r="E9" s="42">
        <f>'Annual_P&amp;L'!D6+'Annual_P&amp;L'!D7+'Annual_P&amp;L'!D8+'Annual_P&amp;L'!D10</f>
        <v/>
      </c>
      <c r="F9" s="42">
        <f>C9-D9-E9</f>
        <v/>
      </c>
    </row>
    <row r="10">
      <c r="A10" s="33" t="inlineStr">
        <is>
          <t>Growth</t>
        </is>
      </c>
      <c r="B10" s="33" t="n">
        <v>1</v>
      </c>
      <c r="C10" s="42">
        <f>'Annual_P&amp;L'!B4*1.25</f>
        <v/>
      </c>
      <c r="D10" s="42">
        <f>C10*'Assumptions'!B7</f>
        <v/>
      </c>
      <c r="E10" s="42">
        <f>'Annual_P&amp;L'!B6+'Annual_P&amp;L'!B7+'Annual_P&amp;L'!B8+'Annual_P&amp;L'!B10</f>
        <v/>
      </c>
      <c r="F10" s="42">
        <f>C10-D10-E10</f>
        <v/>
      </c>
    </row>
    <row r="11">
      <c r="A11" s="33" t="inlineStr">
        <is>
          <t>Growth</t>
        </is>
      </c>
      <c r="B11" s="33" t="n">
        <v>2</v>
      </c>
      <c r="C11" s="42">
        <f>'Annual_P&amp;L'!C4*1.25</f>
        <v/>
      </c>
      <c r="D11" s="42">
        <f>C11*'Assumptions'!C7</f>
        <v/>
      </c>
      <c r="E11" s="42">
        <f>'Annual_P&amp;L'!C6+'Annual_P&amp;L'!C7+'Annual_P&amp;L'!C8+'Annual_P&amp;L'!C10</f>
        <v/>
      </c>
      <c r="F11" s="42">
        <f>C11-D11-E11</f>
        <v/>
      </c>
    </row>
    <row r="12">
      <c r="A12" s="33" t="inlineStr">
        <is>
          <t>Growth</t>
        </is>
      </c>
      <c r="B12" s="33" t="n">
        <v>3</v>
      </c>
      <c r="C12" s="42">
        <f>'Annual_P&amp;L'!D4*1.25</f>
        <v/>
      </c>
      <c r="D12" s="42">
        <f>C12*'Assumptions'!D7</f>
        <v/>
      </c>
      <c r="E12" s="42">
        <f>'Annual_P&amp;L'!D6+'Annual_P&amp;L'!D7+'Annual_P&amp;L'!D8+'Annual_P&amp;L'!D10</f>
        <v/>
      </c>
      <c r="F12" s="42">
        <f>C12-D12-E12</f>
        <v/>
      </c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6" customWidth="1" min="5" max="5"/>
    <col width="34" customWidth="1" min="6" max="6"/>
  </cols>
  <sheetData>
    <row r="1">
      <c r="A1" s="25" t="inlineStr">
        <is>
          <t>AMAVIO | P0 model checks</t>
        </is>
      </c>
    </row>
    <row r="2">
      <c r="A2" s="27" t="n"/>
      <c r="B2" s="27" t="n"/>
      <c r="C2" s="27" t="n"/>
      <c r="D2" s="27" t="n"/>
      <c r="E2" s="27" t="n"/>
      <c r="F2" s="27" t="n"/>
    </row>
    <row r="3">
      <c r="A3" s="28" t="inlineStr">
        <is>
          <t>Check</t>
        </is>
      </c>
      <c r="B3" s="28" t="inlineStr">
        <is>
          <t>Actual</t>
        </is>
      </c>
      <c r="C3" s="28" t="inlineStr">
        <is>
          <t>Expected</t>
        </is>
      </c>
      <c r="D3" s="28" t="inlineStr">
        <is>
          <t>Difference</t>
        </is>
      </c>
      <c r="E3" s="28" t="inlineStr">
        <is>
          <t>Status</t>
        </is>
      </c>
      <c r="F3" s="28" t="inlineStr">
        <is>
          <t>Note</t>
        </is>
      </c>
    </row>
    <row r="4">
      <c r="A4" s="33" t="inlineStr">
        <is>
          <t>Y1 revenue</t>
        </is>
      </c>
      <c r="B4" s="42">
        <f>'Annual_P&amp;L'!B4</f>
        <v/>
      </c>
      <c r="C4" s="42" t="n">
        <v>93500</v>
      </c>
      <c r="D4" s="42">
        <f>B4-C4</f>
        <v/>
      </c>
      <c r="E4" s="33">
        <f>IF(ABS(D4)&lt;0.01,"OK","FAIL")</f>
        <v/>
      </c>
      <c r="F4" s="33" t="inlineStr">
        <is>
          <t>Contract values</t>
        </is>
      </c>
    </row>
    <row r="5">
      <c r="A5" s="33" t="inlineStr">
        <is>
          <t>Y2 revenue</t>
        </is>
      </c>
      <c r="B5" s="42">
        <f>'Annual_P&amp;L'!C4</f>
        <v/>
      </c>
      <c r="C5" s="42" t="n">
        <v>269000</v>
      </c>
      <c r="D5" s="42">
        <f>B5-C5</f>
        <v/>
      </c>
      <c r="E5" s="33">
        <f>IF(ABS(D5)&lt;0.01,"OK","FAIL")</f>
        <v/>
      </c>
      <c r="F5" s="33" t="inlineStr">
        <is>
          <t>Contract values</t>
        </is>
      </c>
    </row>
    <row r="6">
      <c r="A6" s="33" t="inlineStr">
        <is>
          <t>Y3 revenue</t>
        </is>
      </c>
      <c r="B6" s="42">
        <f>'Annual_P&amp;L'!D4</f>
        <v/>
      </c>
      <c r="C6" s="42" t="n">
        <v>442000</v>
      </c>
      <c r="D6" s="42">
        <f>B6-C6</f>
        <v/>
      </c>
      <c r="E6" s="33">
        <f>IF(ABS(D6)&lt;0.01,"OK","FAIL")</f>
        <v/>
      </c>
      <c r="F6" s="33" t="inlineStr">
        <is>
          <t>Contract values</t>
        </is>
      </c>
    </row>
    <row r="7">
      <c r="A7" s="33" t="inlineStr">
        <is>
          <t>Y1 cash collections</t>
        </is>
      </c>
      <c r="B7" s="42">
        <f>SUM('Monthly_Cash'!B4:M4)</f>
        <v/>
      </c>
      <c r="C7" s="42" t="n">
        <v>93500</v>
      </c>
      <c r="D7" s="42">
        <f>B7-C7</f>
        <v/>
      </c>
      <c r="E7" s="33">
        <f>IF(ABS(D7)&lt;0.01,"OK","FAIL")</f>
        <v/>
      </c>
      <c r="F7" s="33" t="inlineStr">
        <is>
          <t>Instalments total</t>
        </is>
      </c>
    </row>
    <row r="8">
      <c r="A8" s="33" t="inlineStr">
        <is>
          <t>Y2 cash collections</t>
        </is>
      </c>
      <c r="B8" s="42">
        <f>SUM('Monthly_Cash'!N4:Y4)</f>
        <v/>
      </c>
      <c r="C8" s="42" t="n">
        <v>269000</v>
      </c>
      <c r="D8" s="42">
        <f>B8-C8</f>
        <v/>
      </c>
      <c r="E8" s="33">
        <f>IF(ABS(D8)&lt;0.01,"OK","FAIL")</f>
        <v/>
      </c>
      <c r="F8" s="33" t="inlineStr">
        <is>
          <t>Instalments total</t>
        </is>
      </c>
    </row>
    <row r="9">
      <c r="A9" s="33" t="inlineStr">
        <is>
          <t>Y3 cash collections</t>
        </is>
      </c>
      <c r="B9" s="42">
        <f>SUM('Monthly_Cash'!Z4:AK4)</f>
        <v/>
      </c>
      <c r="C9" s="42" t="n">
        <v>442000</v>
      </c>
      <c r="D9" s="42">
        <f>B9-C9</f>
        <v/>
      </c>
      <c r="E9" s="33">
        <f>IF(ABS(D9)&lt;0.01,"OK","FAIL")</f>
        <v/>
      </c>
      <c r="F9" s="33" t="inlineStr">
        <is>
          <t>Instalments total</t>
        </is>
      </c>
    </row>
    <row r="10">
      <c r="A10" s="33" t="inlineStr">
        <is>
          <t>Start funding planned</t>
        </is>
      </c>
      <c r="B10" s="42">
        <f>'Assumptions'!B4</f>
        <v/>
      </c>
      <c r="C10" s="42" t="n">
        <v>25000</v>
      </c>
      <c r="D10" s="42">
        <f>B10-C10</f>
        <v/>
      </c>
      <c r="E10" s="33">
        <f>IF(ABS(D10)&lt;0.01,"OK","FAIL")</f>
        <v/>
      </c>
      <c r="F10" s="33" t="inlineStr">
        <is>
          <t>Single total; no double count</t>
        </is>
      </c>
    </row>
    <row r="11">
      <c r="A11" s="33" t="inlineStr">
        <is>
          <t>Start funding received</t>
        </is>
      </c>
      <c r="B11" s="42">
        <f>'Assumptions'!B5</f>
        <v/>
      </c>
      <c r="C11" s="42" t="n">
        <v>0</v>
      </c>
      <c r="D11" s="42">
        <f>B11-C11</f>
        <v/>
      </c>
      <c r="E11" s="33">
        <f>IF(B11&gt;=0,"INPUT","FAIL")</f>
        <v/>
      </c>
      <c r="F11" s="33" t="inlineStr">
        <is>
          <t>Update before live use</t>
        </is>
      </c>
    </row>
    <row r="12">
      <c r="A12" s="33" t="inlineStr">
        <is>
          <t>Downside factor</t>
        </is>
      </c>
      <c r="B12" s="44">
        <f>'Assumptions'!B14</f>
        <v/>
      </c>
      <c r="C12" s="44" t="n">
        <v>0.45</v>
      </c>
      <c r="D12" s="44">
        <f>B12-C12</f>
        <v/>
      </c>
      <c r="E12" s="33">
        <f>IF(ABS(D12)&lt;0.0001,"OK","FAIL")</f>
        <v/>
      </c>
      <c r="F12" s="33" t="inlineStr">
        <is>
          <t>Corrected</t>
        </is>
      </c>
    </row>
    <row r="13">
      <c r="A13" s="33" t="inlineStr">
        <is>
          <t>Model release</t>
        </is>
      </c>
      <c r="B13" s="33" t="inlineStr">
        <is>
          <t>CONDITIONAL</t>
        </is>
      </c>
      <c r="C13" s="33" t="inlineStr">
        <is>
          <t>CONDITIONAL</t>
        </is>
      </c>
      <c r="D13" s="33">
        <f>IF(B13=C13,0,1)</f>
        <v/>
      </c>
      <c r="E13" s="33">
        <f>IF(D13=0,"CONDITIONAL","FAIL")</f>
        <v/>
      </c>
      <c r="F13" s="33" t="inlineStr">
        <is>
          <t>G0–G5 evidence remains external</t>
        </is>
      </c>
    </row>
  </sheetData>
  <mergeCells count="1">
    <mergeCell ref="A1:F1"/>
  </mergeCells>
  <conditionalFormatting sqref="E4:E13">
    <cfRule type="containsText" priority="1" operator="containsText" dxfId="1" text="OK"/>
    <cfRule type="containsText" priority="2" operator="containsText" dxfId="0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2026-07-28T10:16:46Z</dcterms:created>
  <dcterms:modified xmlns:dcterms="http://purl.org/dc/terms/" xmlns:xsi="http://www.w3.org/2001/XMLSchema-instance" xsi:type="dcterms:W3CDTF">2026-07-28T10:16:46Z</dcterms:modified>
</cp:coreProperties>
</file>