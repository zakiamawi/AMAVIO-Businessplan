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drawings/drawing2.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defaultThemeVersion="124226"/>
  <mc:AlternateContent xmlns:mc="http://schemas.openxmlformats.org/markup-compatibility/2006">
    <mc:Choice Requires="x15">
      <x15ac:absPath xmlns:x15ac="http://schemas.microsoft.com/office/spreadsheetml/2010/11/ac" url="https://d.docs.live.net/b60ed08888ef1473/Dokumente/Merkur/Merkur Start-Up/AVGS/2025/"/>
    </mc:Choice>
  </mc:AlternateContent>
  <xr:revisionPtr revIDLastSave="456" documentId="8_{38A74989-446E-48E1-8F33-324735C875B2}" xr6:coauthVersionLast="47" xr6:coauthVersionMax="47" xr10:uidLastSave="{1D1F50F1-0C73-4445-883B-39D52AFCA4F9}"/>
  <bookViews>
    <workbookView xWindow="-98" yWindow="-98" windowWidth="21795" windowHeight="13875" firstSheet="1" activeTab="2" xr2:uid="{00000000-000D-0000-FFFF-FFFF00000000}"/>
  </bookViews>
  <sheets>
    <sheet name="Infos vor dem Start" sheetId="7" r:id="rId1"/>
    <sheet name="Umsatzplan Dienstleistungen" sheetId="2" r:id="rId2"/>
    <sheet name="Rentabilitätsvorschau" sheetId="1" r:id="rId3"/>
    <sheet name="Liquiditätsplan" sheetId="3" r:id="rId4"/>
    <sheet name="Investitionsplan" sheetId="4" r:id="rId5"/>
    <sheet name="Finanzierungsplan" sheetId="5" r:id="rId6"/>
    <sheet name="Daten Liquiditätskurve" sheetId="20" state="hidden" r:id="rId7"/>
    <sheet name="Privater Finanzbedarf" sheetId="9" r:id="rId8"/>
    <sheet name="Priv. Finanzb. 2. Gründ." sheetId="21" state="hidden" r:id="rId9"/>
    <sheet name="Priv. Finanzb. 3. Gründ" sheetId="22" state="hidden" r:id="rId10"/>
    <sheet name="Priv. Finanzbed. Summe" sheetId="23" state="hidden" r:id="rId11"/>
    <sheet name="Übersicht Rentabilitätsvorschau" sheetId="14" r:id="rId12"/>
    <sheet name="Kapitaldienst" sheetId="17" state="hidden" r:id="rId13"/>
    <sheet name="Parameter" sheetId="6" state="hidden" r:id="rId14"/>
    <sheet name="Tabelle1" sheetId="10" state="hidden" r:id="rId15"/>
    <sheet name="Tabelle2" sheetId="11" state="hidden" r:id="rId16"/>
    <sheet name="Tabelle3" sheetId="12" state="hidden" r:id="rId17"/>
    <sheet name="Tabelle4" sheetId="13" state="hidden" r:id="rId18"/>
    <sheet name="Tabelle6" sheetId="15" state="hidden" r:id="rId19"/>
    <sheet name="Tabelle7" sheetId="16" state="hidden" r:id="rId20"/>
    <sheet name="Zins- und Tilgungsrechner" sheetId="18" r:id="rId21"/>
    <sheet name="Eigene Nebenrechnungen" sheetId="19" r:id="rId22"/>
  </sheets>
  <definedNames>
    <definedName name="afadrei">Investitionsplan!$H$38</definedName>
    <definedName name="afaeins">Investitionsplan!$D$38</definedName>
    <definedName name="afavier">Investitionsplan!$J$38</definedName>
    <definedName name="afazwei">Investitionsplan!$F$38</definedName>
    <definedName name="_xlnm.Print_Area" localSheetId="1">'Umsatzplan Dienstleistungen'!$A$1:$BF$44</definedName>
    <definedName name="_xlnm.Print_Titles" localSheetId="21">'Eigene Nebenrechnungen'!$A:$C,'Eigene Nebenrechnungen'!$1:$1</definedName>
    <definedName name="_xlnm.Print_Titles" localSheetId="3">Liquiditätsplan!$A:$C</definedName>
    <definedName name="_xlnm.Print_Titles" localSheetId="2">Rentabilitätsvorschau!$A:$C</definedName>
    <definedName name="_xlnm.Print_Titles" localSheetId="1">'Umsatzplan Dienstleistungen'!$A:$C</definedName>
    <definedName name="gj">'Infos vor dem Start'!$A$13</definedName>
    <definedName name="gwg">Parameter!$A$12</definedName>
    <definedName name="gwgeins">Investitionsplan!$D$35</definedName>
    <definedName name="kapges">'Infos vor dem Start'!$A$19</definedName>
    <definedName name="Monat">'Infos vor dem Start'!$A$11</definedName>
    <definedName name="rechnung">'Infos vor dem Start'!$A$15</definedName>
    <definedName name="USt">Parameter!$A$2</definedName>
    <definedName name="USt1neu">Parameter!$B$2</definedName>
    <definedName name="USteins">Parameter!$B$2</definedName>
    <definedName name="USterm">Parameter!$A$3</definedName>
    <definedName name="UStermeins">Parameter!$B$3</definedName>
    <definedName name="VSt">Parameter!$A$4</definedName>
    <definedName name="VSteins">Parameter!$B$4</definedName>
    <definedName name="VSterm">Parameter!$A$5</definedName>
    <definedName name="VStermeins">Parameter!$B$5</definedName>
    <definedName name="VStWE">Parameter!$A$6</definedName>
    <definedName name="VStWEeins">Parameter!$B$6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A3" i="2" l="1"/>
  <c r="AB3" i="2"/>
  <c r="AC3" i="2"/>
  <c r="AA4" i="2"/>
  <c r="AB4" i="2"/>
  <c r="AC4" i="2"/>
  <c r="AA6" i="2"/>
  <c r="AB6" i="2"/>
  <c r="AC6" i="2" s="1"/>
  <c r="AA7" i="2"/>
  <c r="AB7" i="2"/>
  <c r="AC7" i="2"/>
  <c r="AA8" i="2"/>
  <c r="AB8" i="2"/>
  <c r="AC8" i="2"/>
  <c r="T7" i="2"/>
  <c r="U7" i="2" s="1"/>
  <c r="V7" i="2" s="1"/>
  <c r="W7" i="2" s="1"/>
  <c r="X7" i="2" s="1"/>
  <c r="Y7" i="2" s="1"/>
  <c r="Z7" i="2" s="1"/>
  <c r="T4" i="2"/>
  <c r="T5" i="2"/>
  <c r="U5" i="2" s="1"/>
  <c r="V5" i="2" s="1"/>
  <c r="W5" i="2" s="1"/>
  <c r="X5" i="2" s="1"/>
  <c r="Y5" i="2" s="1"/>
  <c r="Z5" i="2" s="1"/>
  <c r="AA5" i="2" s="1"/>
  <c r="AB5" i="2" s="1"/>
  <c r="AC5" i="2" s="1"/>
  <c r="T6" i="2"/>
  <c r="U6" i="2" s="1"/>
  <c r="V6" i="2" s="1"/>
  <c r="W6" i="2" s="1"/>
  <c r="X6" i="2" s="1"/>
  <c r="Y6" i="2" s="1"/>
  <c r="Z6" i="2" s="1"/>
  <c r="T3" i="2"/>
  <c r="U3" i="2" s="1"/>
  <c r="V3" i="2" s="1"/>
  <c r="W3" i="2" s="1"/>
  <c r="X3" i="2" s="1"/>
  <c r="Y3" i="2" s="1"/>
  <c r="Z3" i="2" s="1"/>
  <c r="AD3" i="2" s="1"/>
  <c r="AE3" i="2" s="1"/>
  <c r="U4" i="2"/>
  <c r="V4" i="2" s="1"/>
  <c r="W4" i="2" s="1"/>
  <c r="X4" i="2" s="1"/>
  <c r="Y4" i="2" s="1"/>
  <c r="Z4" i="2" s="1"/>
  <c r="AD4" i="2" s="1"/>
  <c r="AE4" i="2" s="1"/>
  <c r="Z8" i="2"/>
  <c r="AD8" i="2" s="1"/>
  <c r="T8" i="2"/>
  <c r="V8" i="2" s="1"/>
  <c r="X8" i="2" s="1"/>
  <c r="F16" i="14"/>
  <c r="L16" i="14"/>
  <c r="R16" i="14"/>
  <c r="B14" i="14"/>
  <c r="D14" i="14"/>
  <c r="G14" i="14"/>
  <c r="H14" i="14"/>
  <c r="I14" i="14"/>
  <c r="Q14" i="14" s="1"/>
  <c r="K14" i="14"/>
  <c r="M14" i="14"/>
  <c r="N14" i="14"/>
  <c r="O14" i="14"/>
  <c r="S14" i="14"/>
  <c r="T14" i="14"/>
  <c r="U14" i="14"/>
  <c r="Y14" i="14" s="1"/>
  <c r="W14" i="14"/>
  <c r="B15" i="14"/>
  <c r="B12" i="3"/>
  <c r="B13" i="3"/>
  <c r="H5" i="4"/>
  <c r="D24" i="4"/>
  <c r="J11" i="4"/>
  <c r="J12" i="4"/>
  <c r="J10" i="4"/>
  <c r="J9" i="4"/>
  <c r="J8" i="4"/>
  <c r="J7" i="4"/>
  <c r="J6" i="4"/>
  <c r="J17" i="4"/>
  <c r="J18" i="4"/>
  <c r="J19" i="4"/>
  <c r="J20" i="4"/>
  <c r="J21" i="4"/>
  <c r="J4" i="4"/>
  <c r="H12" i="4"/>
  <c r="H11" i="4"/>
  <c r="H10" i="4"/>
  <c r="H9" i="4"/>
  <c r="H8" i="4"/>
  <c r="H7" i="4"/>
  <c r="H6" i="4"/>
  <c r="H4" i="4"/>
  <c r="H16" i="4"/>
  <c r="H17" i="4"/>
  <c r="H18" i="4"/>
  <c r="H19" i="4"/>
  <c r="H20" i="4"/>
  <c r="H21" i="4"/>
  <c r="H15" i="4"/>
  <c r="F6" i="4"/>
  <c r="F7" i="4"/>
  <c r="F8" i="4"/>
  <c r="F9" i="4"/>
  <c r="F10" i="4"/>
  <c r="F11" i="4"/>
  <c r="F12" i="4"/>
  <c r="F4" i="4"/>
  <c r="F16" i="4"/>
  <c r="F17" i="4"/>
  <c r="F18" i="4"/>
  <c r="F19" i="4"/>
  <c r="F20" i="4"/>
  <c r="F21" i="4"/>
  <c r="F15" i="4"/>
  <c r="D12" i="4"/>
  <c r="D11" i="4"/>
  <c r="D10" i="4"/>
  <c r="D9" i="4"/>
  <c r="D8" i="4"/>
  <c r="D7" i="4"/>
  <c r="D6" i="4"/>
  <c r="D5" i="4"/>
  <c r="AD25" i="1" l="1"/>
  <c r="AF25" i="1" s="1"/>
  <c r="AH25" i="1" s="1"/>
  <c r="AJ25" i="1" s="1"/>
  <c r="AL25" i="1" s="1"/>
  <c r="AD6" i="2"/>
  <c r="AE6" i="2" s="1"/>
  <c r="AG6" i="2"/>
  <c r="AH6" i="2" s="1"/>
  <c r="AI6" i="2" s="1"/>
  <c r="AJ6" i="2" s="1"/>
  <c r="AK6" i="2" s="1"/>
  <c r="AL6" i="2" s="1"/>
  <c r="AM6" i="2" s="1"/>
  <c r="AN6" i="2" s="1"/>
  <c r="AD5" i="2"/>
  <c r="AE5" i="2" s="1"/>
  <c r="AG5" i="2"/>
  <c r="AH5" i="2" s="1"/>
  <c r="AI5" i="2" s="1"/>
  <c r="AJ5" i="2" s="1"/>
  <c r="AK5" i="2" s="1"/>
  <c r="AL5" i="2" s="1"/>
  <c r="AM5" i="2" s="1"/>
  <c r="AN5" i="2" s="1"/>
  <c r="AG3" i="2"/>
  <c r="AH3" i="2" s="1"/>
  <c r="AI3" i="2" s="1"/>
  <c r="AJ3" i="2" s="1"/>
  <c r="AK3" i="2" s="1"/>
  <c r="AL3" i="2" s="1"/>
  <c r="AM3" i="2" s="1"/>
  <c r="AN3" i="2" s="1"/>
  <c r="AG4" i="2"/>
  <c r="AH4" i="2" s="1"/>
  <c r="AI4" i="2" s="1"/>
  <c r="AJ4" i="2" s="1"/>
  <c r="AK4" i="2" s="1"/>
  <c r="AL4" i="2" s="1"/>
  <c r="AM4" i="2" s="1"/>
  <c r="AN4" i="2" s="1"/>
  <c r="AD7" i="2"/>
  <c r="AE7" i="2" s="1"/>
  <c r="AG7" i="2"/>
  <c r="AH7" i="2" s="1"/>
  <c r="AI7" i="2" s="1"/>
  <c r="AJ7" i="2" s="1"/>
  <c r="AK7" i="2" s="1"/>
  <c r="AL7" i="2" s="1"/>
  <c r="AM7" i="2" s="1"/>
  <c r="AN7" i="2" s="1"/>
  <c r="I12" i="1"/>
  <c r="E12" i="1"/>
  <c r="H12" i="1"/>
  <c r="L12" i="1"/>
  <c r="F12" i="1"/>
  <c r="J12" i="1"/>
  <c r="D12" i="1"/>
  <c r="G12" i="1"/>
  <c r="K12" i="1"/>
  <c r="Z14" i="14"/>
  <c r="F5" i="4"/>
  <c r="J5" i="4"/>
  <c r="J15" i="4"/>
  <c r="D4" i="4"/>
  <c r="D16" i="4" l="1"/>
  <c r="J16" i="4" s="1"/>
  <c r="D17" i="4"/>
  <c r="D18" i="4"/>
  <c r="D19" i="4"/>
  <c r="D20" i="4"/>
  <c r="D21" i="4"/>
  <c r="D15" i="4"/>
  <c r="F1" i="9"/>
  <c r="E1" i="9"/>
  <c r="D1" i="9"/>
  <c r="C1" i="9"/>
  <c r="BC1" i="19"/>
  <c r="AP1" i="19"/>
  <c r="AC1" i="19"/>
  <c r="P1" i="19"/>
  <c r="G2" i="18"/>
  <c r="K2" i="18" s="1"/>
  <c r="F2" i="18"/>
  <c r="E2" i="18"/>
  <c r="D2" i="18"/>
  <c r="D26" i="4"/>
  <c r="F26" i="4"/>
  <c r="H26" i="4"/>
  <c r="J26" i="4"/>
  <c r="D27" i="4"/>
  <c r="F27" i="4"/>
  <c r="H27" i="4"/>
  <c r="J27" i="4"/>
  <c r="D28" i="4"/>
  <c r="F28" i="4"/>
  <c r="H28" i="4"/>
  <c r="J28" i="4"/>
  <c r="D29" i="4"/>
  <c r="F29" i="4"/>
  <c r="H29" i="4"/>
  <c r="J29" i="4"/>
  <c r="D30" i="4"/>
  <c r="F30" i="4"/>
  <c r="H30" i="4"/>
  <c r="J30" i="4"/>
  <c r="E1" i="4"/>
  <c r="I1" i="4"/>
  <c r="G1" i="4"/>
  <c r="C1" i="4"/>
  <c r="BC1" i="3"/>
  <c r="AP1" i="3"/>
  <c r="AC1" i="3"/>
  <c r="P1" i="3"/>
  <c r="BC1" i="1"/>
  <c r="AP1" i="1"/>
  <c r="AC1" i="1"/>
  <c r="P1" i="1"/>
  <c r="U1" i="14"/>
  <c r="O1" i="14"/>
  <c r="I1" i="14"/>
  <c r="D1" i="14"/>
  <c r="AT25" i="2"/>
  <c r="AU25" i="2"/>
  <c r="AV25" i="2"/>
  <c r="AW25" i="2"/>
  <c r="AX25" i="2"/>
  <c r="AY25" i="2"/>
  <c r="AZ25" i="2"/>
  <c r="BA25" i="2"/>
  <c r="BB25" i="2"/>
  <c r="BC25" i="2"/>
  <c r="BD25" i="2"/>
  <c r="BE25" i="2"/>
  <c r="AT26" i="2"/>
  <c r="AU26" i="2"/>
  <c r="AV26" i="2"/>
  <c r="AW26" i="2"/>
  <c r="AX26" i="2"/>
  <c r="AY26" i="2"/>
  <c r="AZ26" i="2"/>
  <c r="BA26" i="2"/>
  <c r="BB26" i="2"/>
  <c r="BC26" i="2"/>
  <c r="BD26" i="2"/>
  <c r="BE26" i="2"/>
  <c r="AT27" i="2"/>
  <c r="AU27" i="2"/>
  <c r="AV27" i="2"/>
  <c r="AW27" i="2"/>
  <c r="AX27" i="2"/>
  <c r="AY27" i="2"/>
  <c r="AZ27" i="2"/>
  <c r="BA27" i="2"/>
  <c r="BB27" i="2"/>
  <c r="BC27" i="2"/>
  <c r="BD27" i="2"/>
  <c r="BE27" i="2"/>
  <c r="AT28" i="2"/>
  <c r="AU28" i="2"/>
  <c r="AV28" i="2"/>
  <c r="AW28" i="2"/>
  <c r="AX28" i="2"/>
  <c r="AY28" i="2"/>
  <c r="AZ28" i="2"/>
  <c r="BA28" i="2"/>
  <c r="BB28" i="2"/>
  <c r="BC28" i="2"/>
  <c r="BD28" i="2"/>
  <c r="BE28" i="2"/>
  <c r="AT29" i="2"/>
  <c r="AU29" i="2"/>
  <c r="AV29" i="2"/>
  <c r="AW29" i="2"/>
  <c r="AX29" i="2"/>
  <c r="AY29" i="2"/>
  <c r="AZ29" i="2"/>
  <c r="BA29" i="2"/>
  <c r="BB29" i="2"/>
  <c r="BC29" i="2"/>
  <c r="BD29" i="2"/>
  <c r="BE29" i="2"/>
  <c r="AT30" i="2"/>
  <c r="AU30" i="2"/>
  <c r="AV30" i="2"/>
  <c r="AW30" i="2"/>
  <c r="AX30" i="2"/>
  <c r="AY30" i="2"/>
  <c r="AZ30" i="2"/>
  <c r="BA30" i="2"/>
  <c r="BB30" i="2"/>
  <c r="BC30" i="2"/>
  <c r="BD30" i="2"/>
  <c r="BE30" i="2"/>
  <c r="AT31" i="2"/>
  <c r="AU31" i="2"/>
  <c r="AV31" i="2"/>
  <c r="AW31" i="2"/>
  <c r="AX31" i="2"/>
  <c r="AY31" i="2"/>
  <c r="AZ31" i="2"/>
  <c r="BA31" i="2"/>
  <c r="BB31" i="2"/>
  <c r="BC31" i="2"/>
  <c r="BD31" i="2"/>
  <c r="BE31" i="2"/>
  <c r="AT32" i="2"/>
  <c r="AU32" i="2"/>
  <c r="AV32" i="2"/>
  <c r="AW32" i="2"/>
  <c r="AX32" i="2"/>
  <c r="AY32" i="2"/>
  <c r="AZ32" i="2"/>
  <c r="BA32" i="2"/>
  <c r="BB32" i="2"/>
  <c r="BC32" i="2"/>
  <c r="BD32" i="2"/>
  <c r="BE32" i="2"/>
  <c r="AT33" i="2"/>
  <c r="AU33" i="2"/>
  <c r="AV33" i="2"/>
  <c r="AW33" i="2"/>
  <c r="AX33" i="2"/>
  <c r="AY33" i="2"/>
  <c r="AZ33" i="2"/>
  <c r="BA33" i="2"/>
  <c r="BB33" i="2"/>
  <c r="BC33" i="2"/>
  <c r="BD33" i="2"/>
  <c r="BE33" i="2"/>
  <c r="AT34" i="2"/>
  <c r="AU34" i="2"/>
  <c r="AV34" i="2"/>
  <c r="AW34" i="2"/>
  <c r="AX34" i="2"/>
  <c r="AY34" i="2"/>
  <c r="AZ34" i="2"/>
  <c r="BA34" i="2"/>
  <c r="BB34" i="2"/>
  <c r="BC34" i="2"/>
  <c r="BD34" i="2"/>
  <c r="BE34" i="2"/>
  <c r="AT35" i="2"/>
  <c r="AU35" i="2"/>
  <c r="AV35" i="2"/>
  <c r="AW35" i="2"/>
  <c r="AX35" i="2"/>
  <c r="AY35" i="2"/>
  <c r="AZ35" i="2"/>
  <c r="BA35" i="2"/>
  <c r="BB35" i="2"/>
  <c r="BC35" i="2"/>
  <c r="BD35" i="2"/>
  <c r="BE35" i="2"/>
  <c r="AT36" i="2"/>
  <c r="AU36" i="2"/>
  <c r="AV36" i="2"/>
  <c r="AW36" i="2"/>
  <c r="AX36" i="2"/>
  <c r="AY36" i="2"/>
  <c r="AZ36" i="2"/>
  <c r="BA36" i="2"/>
  <c r="BB36" i="2"/>
  <c r="BC36" i="2"/>
  <c r="BD36" i="2"/>
  <c r="BE36" i="2"/>
  <c r="AT37" i="2"/>
  <c r="AU37" i="2"/>
  <c r="AV37" i="2"/>
  <c r="AW37" i="2"/>
  <c r="AX37" i="2"/>
  <c r="AY37" i="2"/>
  <c r="AZ37" i="2"/>
  <c r="BA37" i="2"/>
  <c r="BB37" i="2"/>
  <c r="BC37" i="2"/>
  <c r="BD37" i="2"/>
  <c r="BE37" i="2"/>
  <c r="AT38" i="2"/>
  <c r="AU38" i="2"/>
  <c r="AV38" i="2"/>
  <c r="AW38" i="2"/>
  <c r="AX38" i="2"/>
  <c r="AY38" i="2"/>
  <c r="AZ38" i="2"/>
  <c r="BA38" i="2"/>
  <c r="BB38" i="2"/>
  <c r="BC38" i="2"/>
  <c r="BD38" i="2"/>
  <c r="BE38" i="2"/>
  <c r="AT39" i="2"/>
  <c r="AU39" i="2"/>
  <c r="AV39" i="2"/>
  <c r="AW39" i="2"/>
  <c r="AX39" i="2"/>
  <c r="AY39" i="2"/>
  <c r="AZ39" i="2"/>
  <c r="BA39" i="2"/>
  <c r="BB39" i="2"/>
  <c r="BC39" i="2"/>
  <c r="BD39" i="2"/>
  <c r="BE39" i="2"/>
  <c r="AT40" i="2"/>
  <c r="AU40" i="2"/>
  <c r="AV40" i="2"/>
  <c r="AW40" i="2"/>
  <c r="AX40" i="2"/>
  <c r="AY40" i="2"/>
  <c r="AZ40" i="2"/>
  <c r="BA40" i="2"/>
  <c r="BB40" i="2"/>
  <c r="BC40" i="2"/>
  <c r="BD40" i="2"/>
  <c r="BE40" i="2"/>
  <c r="AT41" i="2"/>
  <c r="AU41" i="2"/>
  <c r="AV41" i="2"/>
  <c r="AW41" i="2"/>
  <c r="AX41" i="2"/>
  <c r="AY41" i="2"/>
  <c r="AZ41" i="2"/>
  <c r="BA41" i="2"/>
  <c r="BB41" i="2"/>
  <c r="BC41" i="2"/>
  <c r="BD41" i="2"/>
  <c r="BE41" i="2"/>
  <c r="AT42" i="2"/>
  <c r="AU42" i="2"/>
  <c r="AV42" i="2"/>
  <c r="AW42" i="2"/>
  <c r="AX42" i="2"/>
  <c r="AY42" i="2"/>
  <c r="AZ42" i="2"/>
  <c r="BA42" i="2"/>
  <c r="BB42" i="2"/>
  <c r="BC42" i="2"/>
  <c r="BD42" i="2"/>
  <c r="BE42" i="2"/>
  <c r="AT43" i="2"/>
  <c r="AU43" i="2"/>
  <c r="AV43" i="2"/>
  <c r="AW43" i="2"/>
  <c r="AX43" i="2"/>
  <c r="AY43" i="2"/>
  <c r="AZ43" i="2"/>
  <c r="BA43" i="2"/>
  <c r="BB43" i="2"/>
  <c r="BC43" i="2"/>
  <c r="BD43" i="2"/>
  <c r="BE43" i="2"/>
  <c r="AU24" i="2"/>
  <c r="AV24" i="2"/>
  <c r="AW24" i="2"/>
  <c r="AX24" i="2"/>
  <c r="AY24" i="2"/>
  <c r="AZ24" i="2"/>
  <c r="BA24" i="2"/>
  <c r="BB24" i="2"/>
  <c r="BC24" i="2"/>
  <c r="BD24" i="2"/>
  <c r="BE24" i="2"/>
  <c r="AT24" i="2"/>
  <c r="AG25" i="2"/>
  <c r="AH25" i="2"/>
  <c r="AI25" i="2"/>
  <c r="AJ25" i="2"/>
  <c r="AK25" i="2"/>
  <c r="AL25" i="2"/>
  <c r="AM25" i="2"/>
  <c r="AN25" i="2"/>
  <c r="AO25" i="2"/>
  <c r="AP25" i="2"/>
  <c r="AQ25" i="2"/>
  <c r="AR25" i="2"/>
  <c r="AG26" i="2"/>
  <c r="AH26" i="2"/>
  <c r="AI26" i="2"/>
  <c r="AJ26" i="2"/>
  <c r="AK26" i="2"/>
  <c r="AL26" i="2"/>
  <c r="AM26" i="2"/>
  <c r="AN26" i="2"/>
  <c r="AO26" i="2"/>
  <c r="AP26" i="2"/>
  <c r="AQ26" i="2"/>
  <c r="AR26" i="2"/>
  <c r="AG27" i="2"/>
  <c r="AH27" i="2"/>
  <c r="AI27" i="2"/>
  <c r="AJ27" i="2"/>
  <c r="AK27" i="2"/>
  <c r="AL27" i="2"/>
  <c r="AM27" i="2"/>
  <c r="AN27" i="2"/>
  <c r="AO27" i="2"/>
  <c r="AP27" i="2"/>
  <c r="AQ27" i="2"/>
  <c r="AR27" i="2"/>
  <c r="AG30" i="2"/>
  <c r="AH30" i="2"/>
  <c r="AI30" i="2"/>
  <c r="AJ30" i="2"/>
  <c r="AK30" i="2"/>
  <c r="AL30" i="2"/>
  <c r="AM30" i="2"/>
  <c r="AN30" i="2"/>
  <c r="AO30" i="2"/>
  <c r="AP30" i="2"/>
  <c r="AQ30" i="2"/>
  <c r="AR30" i="2"/>
  <c r="AG31" i="2"/>
  <c r="AH31" i="2"/>
  <c r="AI31" i="2"/>
  <c r="AJ31" i="2"/>
  <c r="AK31" i="2"/>
  <c r="AL31" i="2"/>
  <c r="AM31" i="2"/>
  <c r="AN31" i="2"/>
  <c r="AO31" i="2"/>
  <c r="AP31" i="2"/>
  <c r="AQ31" i="2"/>
  <c r="AR31" i="2"/>
  <c r="AG32" i="2"/>
  <c r="AH32" i="2"/>
  <c r="AI32" i="2"/>
  <c r="AJ32" i="2"/>
  <c r="AK32" i="2"/>
  <c r="AL32" i="2"/>
  <c r="AM32" i="2"/>
  <c r="AN32" i="2"/>
  <c r="AO32" i="2"/>
  <c r="AP32" i="2"/>
  <c r="AQ32" i="2"/>
  <c r="AR32" i="2"/>
  <c r="AG33" i="2"/>
  <c r="AH33" i="2"/>
  <c r="AI33" i="2"/>
  <c r="AJ33" i="2"/>
  <c r="AK33" i="2"/>
  <c r="AL33" i="2"/>
  <c r="AM33" i="2"/>
  <c r="AN33" i="2"/>
  <c r="AO33" i="2"/>
  <c r="AP33" i="2"/>
  <c r="AQ33" i="2"/>
  <c r="AR33" i="2"/>
  <c r="AG34" i="2"/>
  <c r="AH34" i="2"/>
  <c r="AI34" i="2"/>
  <c r="AJ34" i="2"/>
  <c r="AK34" i="2"/>
  <c r="AL34" i="2"/>
  <c r="AM34" i="2"/>
  <c r="AN34" i="2"/>
  <c r="AO34" i="2"/>
  <c r="AP34" i="2"/>
  <c r="AQ34" i="2"/>
  <c r="AR34" i="2"/>
  <c r="AG35" i="2"/>
  <c r="AH35" i="2"/>
  <c r="AI35" i="2"/>
  <c r="AJ35" i="2"/>
  <c r="AK35" i="2"/>
  <c r="AL35" i="2"/>
  <c r="AM35" i="2"/>
  <c r="AN35" i="2"/>
  <c r="AO35" i="2"/>
  <c r="AP35" i="2"/>
  <c r="AQ35" i="2"/>
  <c r="AR35" i="2"/>
  <c r="AG36" i="2"/>
  <c r="AH36" i="2"/>
  <c r="AI36" i="2"/>
  <c r="AJ36" i="2"/>
  <c r="AK36" i="2"/>
  <c r="AL36" i="2"/>
  <c r="AM36" i="2"/>
  <c r="AN36" i="2"/>
  <c r="AO36" i="2"/>
  <c r="AP36" i="2"/>
  <c r="AQ36" i="2"/>
  <c r="AR36" i="2"/>
  <c r="AG37" i="2"/>
  <c r="AH37" i="2"/>
  <c r="AI37" i="2"/>
  <c r="AJ37" i="2"/>
  <c r="AK37" i="2"/>
  <c r="AL37" i="2"/>
  <c r="AM37" i="2"/>
  <c r="AN37" i="2"/>
  <c r="AO37" i="2"/>
  <c r="AP37" i="2"/>
  <c r="AQ37" i="2"/>
  <c r="AR37" i="2"/>
  <c r="AG38" i="2"/>
  <c r="AH38" i="2"/>
  <c r="AI38" i="2"/>
  <c r="AJ38" i="2"/>
  <c r="AK38" i="2"/>
  <c r="AL38" i="2"/>
  <c r="AM38" i="2"/>
  <c r="AN38" i="2"/>
  <c r="AO38" i="2"/>
  <c r="AP38" i="2"/>
  <c r="AQ38" i="2"/>
  <c r="AR38" i="2"/>
  <c r="AG39" i="2"/>
  <c r="AH39" i="2"/>
  <c r="AI39" i="2"/>
  <c r="AJ39" i="2"/>
  <c r="AK39" i="2"/>
  <c r="AL39" i="2"/>
  <c r="AM39" i="2"/>
  <c r="AN39" i="2"/>
  <c r="AO39" i="2"/>
  <c r="AP39" i="2"/>
  <c r="AQ39" i="2"/>
  <c r="AR39" i="2"/>
  <c r="AG40" i="2"/>
  <c r="AH40" i="2"/>
  <c r="AI40" i="2"/>
  <c r="AJ40" i="2"/>
  <c r="AK40" i="2"/>
  <c r="AL40" i="2"/>
  <c r="AM40" i="2"/>
  <c r="AN40" i="2"/>
  <c r="AO40" i="2"/>
  <c r="AP40" i="2"/>
  <c r="AQ40" i="2"/>
  <c r="AR40" i="2"/>
  <c r="AG41" i="2"/>
  <c r="AH41" i="2"/>
  <c r="AI41" i="2"/>
  <c r="AJ41" i="2"/>
  <c r="AK41" i="2"/>
  <c r="AL41" i="2"/>
  <c r="AM41" i="2"/>
  <c r="AN41" i="2"/>
  <c r="AO41" i="2"/>
  <c r="AP41" i="2"/>
  <c r="AQ41" i="2"/>
  <c r="AR41" i="2"/>
  <c r="AG42" i="2"/>
  <c r="AH42" i="2"/>
  <c r="AI42" i="2"/>
  <c r="AJ42" i="2"/>
  <c r="AK42" i="2"/>
  <c r="AL42" i="2"/>
  <c r="AM42" i="2"/>
  <c r="AN42" i="2"/>
  <c r="AO42" i="2"/>
  <c r="AP42" i="2"/>
  <c r="AQ42" i="2"/>
  <c r="AR42" i="2"/>
  <c r="AG43" i="2"/>
  <c r="AH43" i="2"/>
  <c r="AI43" i="2"/>
  <c r="AJ43" i="2"/>
  <c r="AK43" i="2"/>
  <c r="AL43" i="2"/>
  <c r="AM43" i="2"/>
  <c r="AN43" i="2"/>
  <c r="AO43" i="2"/>
  <c r="AP43" i="2"/>
  <c r="AQ43" i="2"/>
  <c r="AR43" i="2"/>
  <c r="AH24" i="2"/>
  <c r="AI24" i="2"/>
  <c r="AJ24" i="2"/>
  <c r="AK24" i="2"/>
  <c r="AL24" i="2"/>
  <c r="AM24" i="2"/>
  <c r="AN24" i="2"/>
  <c r="AO24" i="2"/>
  <c r="AP24" i="2"/>
  <c r="AQ24" i="2"/>
  <c r="AR24" i="2"/>
  <c r="AG24" i="2"/>
  <c r="U26" i="2"/>
  <c r="Y26" i="2"/>
  <c r="AC26" i="2"/>
  <c r="U27" i="2"/>
  <c r="AC27" i="2"/>
  <c r="U24" i="2"/>
  <c r="W26" i="2"/>
  <c r="AA26" i="2"/>
  <c r="AE26" i="2"/>
  <c r="W27" i="2"/>
  <c r="Y27" i="2"/>
  <c r="AA27" i="2"/>
  <c r="AE27" i="2"/>
  <c r="Y24" i="2"/>
  <c r="AC24" i="2"/>
  <c r="G24" i="2"/>
  <c r="AY44" i="2" l="1"/>
  <c r="BE44" i="2"/>
  <c r="AU44" i="2"/>
  <c r="BC44" i="2"/>
  <c r="BD44" i="2"/>
  <c r="BB44" i="2"/>
  <c r="BA44" i="2"/>
  <c r="AZ44" i="2"/>
  <c r="AX44" i="2"/>
  <c r="AW44" i="2"/>
  <c r="AV44" i="2"/>
  <c r="AT44" i="2"/>
  <c r="T29" i="2"/>
  <c r="X29" i="2"/>
  <c r="AB29" i="2"/>
  <c r="V29" i="2"/>
  <c r="Z29" i="2"/>
  <c r="AD29" i="2"/>
  <c r="T27" i="2"/>
  <c r="X27" i="2"/>
  <c r="AB27" i="2"/>
  <c r="V27" i="2"/>
  <c r="Z27" i="2"/>
  <c r="AD27" i="2"/>
  <c r="T26" i="2"/>
  <c r="X26" i="2"/>
  <c r="AB26" i="2"/>
  <c r="V26" i="2"/>
  <c r="Z26" i="2"/>
  <c r="AD26" i="2"/>
  <c r="AC25" i="2"/>
  <c r="Y25" i="2"/>
  <c r="U25" i="2"/>
  <c r="Z25" i="2"/>
  <c r="AB25" i="2"/>
  <c r="X25" i="2"/>
  <c r="T25" i="2"/>
  <c r="AD25" i="2"/>
  <c r="V25" i="2"/>
  <c r="AE25" i="2"/>
  <c r="AA25" i="2"/>
  <c r="W25" i="2"/>
  <c r="T24" i="2"/>
  <c r="AB24" i="2"/>
  <c r="X24" i="2"/>
  <c r="AE24" i="2"/>
  <c r="AA24" i="2"/>
  <c r="W24" i="2"/>
  <c r="AD24" i="2"/>
  <c r="Z24" i="2"/>
  <c r="V24" i="2"/>
  <c r="T30" i="2" l="1"/>
  <c r="X30" i="2"/>
  <c r="AB30" i="2"/>
  <c r="V30" i="2"/>
  <c r="Z30" i="2"/>
  <c r="AD30" i="2"/>
  <c r="U30" i="2"/>
  <c r="AC30" i="2"/>
  <c r="AA30" i="2"/>
  <c r="W30" i="2"/>
  <c r="AE30" i="2"/>
  <c r="Y30" i="2"/>
  <c r="T31" i="2" l="1"/>
  <c r="X31" i="2"/>
  <c r="AB31" i="2"/>
  <c r="V31" i="2"/>
  <c r="Z31" i="2"/>
  <c r="AD31" i="2"/>
  <c r="Y31" i="2"/>
  <c r="U31" i="2"/>
  <c r="AE31" i="2"/>
  <c r="AA31" i="2"/>
  <c r="AC31" i="2"/>
  <c r="W31" i="2"/>
  <c r="T32" i="2" l="1"/>
  <c r="X32" i="2"/>
  <c r="AB32" i="2"/>
  <c r="V32" i="2"/>
  <c r="Z32" i="2"/>
  <c r="AD32" i="2"/>
  <c r="U32" i="2"/>
  <c r="AC32" i="2"/>
  <c r="Y32" i="2"/>
  <c r="W32" i="2"/>
  <c r="AE32" i="2"/>
  <c r="AA32" i="2"/>
  <c r="T33" i="2" l="1"/>
  <c r="X33" i="2"/>
  <c r="AB33" i="2"/>
  <c r="V33" i="2"/>
  <c r="Z33" i="2"/>
  <c r="AD33" i="2"/>
  <c r="Y33" i="2"/>
  <c r="AC33" i="2"/>
  <c r="W33" i="2"/>
  <c r="AA33" i="2"/>
  <c r="U33" i="2"/>
  <c r="AE33" i="2"/>
  <c r="T34" i="2" l="1"/>
  <c r="X34" i="2"/>
  <c r="AB34" i="2"/>
  <c r="V34" i="2"/>
  <c r="Z34" i="2"/>
  <c r="AD34" i="2"/>
  <c r="U34" i="2"/>
  <c r="AC34" i="2"/>
  <c r="AA34" i="2"/>
  <c r="W34" i="2"/>
  <c r="AE34" i="2"/>
  <c r="Y34" i="2"/>
  <c r="T35" i="2" l="1"/>
  <c r="X35" i="2"/>
  <c r="AB35" i="2"/>
  <c r="V35" i="2"/>
  <c r="Z35" i="2"/>
  <c r="AD35" i="2"/>
  <c r="Y35" i="2"/>
  <c r="AC35" i="2"/>
  <c r="AE35" i="2"/>
  <c r="AA35" i="2"/>
  <c r="U35" i="2"/>
  <c r="W35" i="2"/>
  <c r="T36" i="2" l="1"/>
  <c r="X36" i="2"/>
  <c r="AB36" i="2"/>
  <c r="V36" i="2"/>
  <c r="Z36" i="2"/>
  <c r="AD36" i="2"/>
  <c r="U36" i="2"/>
  <c r="AC36" i="2"/>
  <c r="W36" i="2"/>
  <c r="AE36" i="2"/>
  <c r="Y36" i="2"/>
  <c r="AA36" i="2"/>
  <c r="T37" i="2" l="1"/>
  <c r="X37" i="2"/>
  <c r="AB37" i="2"/>
  <c r="V37" i="2"/>
  <c r="Z37" i="2"/>
  <c r="AD37" i="2"/>
  <c r="Y37" i="2"/>
  <c r="U37" i="2"/>
  <c r="AE37" i="2"/>
  <c r="AA37" i="2"/>
  <c r="AC37" i="2"/>
  <c r="W37" i="2"/>
  <c r="T38" i="2" l="1"/>
  <c r="X38" i="2"/>
  <c r="AB38" i="2"/>
  <c r="V38" i="2"/>
  <c r="Z38" i="2"/>
  <c r="AD38" i="2"/>
  <c r="U38" i="2"/>
  <c r="AC38" i="2"/>
  <c r="Y38" i="2"/>
  <c r="W38" i="2"/>
  <c r="AE38" i="2"/>
  <c r="AA38" i="2"/>
  <c r="T39" i="2" l="1"/>
  <c r="X39" i="2"/>
  <c r="AB39" i="2"/>
  <c r="V39" i="2"/>
  <c r="Z39" i="2"/>
  <c r="AD39" i="2"/>
  <c r="Y39" i="2"/>
  <c r="AC39" i="2"/>
  <c r="AE39" i="2"/>
  <c r="AA39" i="2"/>
  <c r="U39" i="2"/>
  <c r="W39" i="2"/>
  <c r="T40" i="2" l="1"/>
  <c r="X40" i="2"/>
  <c r="AB40" i="2"/>
  <c r="V40" i="2"/>
  <c r="Z40" i="2"/>
  <c r="AD40" i="2"/>
  <c r="U40" i="2"/>
  <c r="AC40" i="2"/>
  <c r="W40" i="2"/>
  <c r="AE40" i="2"/>
  <c r="Y40" i="2"/>
  <c r="AA40" i="2"/>
  <c r="T41" i="2" l="1"/>
  <c r="X41" i="2"/>
  <c r="AB41" i="2"/>
  <c r="V41" i="2"/>
  <c r="Z41" i="2"/>
  <c r="AD41" i="2"/>
  <c r="Y41" i="2"/>
  <c r="U41" i="2"/>
  <c r="AC41" i="2"/>
  <c r="W41" i="2"/>
  <c r="AE41" i="2"/>
  <c r="AA41" i="2"/>
  <c r="T43" i="2" l="1"/>
  <c r="X43" i="2"/>
  <c r="AB43" i="2"/>
  <c r="V43" i="2"/>
  <c r="Z43" i="2"/>
  <c r="AD43" i="2"/>
  <c r="Y43" i="2"/>
  <c r="U43" i="2"/>
  <c r="AC43" i="2"/>
  <c r="W43" i="2"/>
  <c r="AA43" i="2"/>
  <c r="AE43" i="2"/>
  <c r="T42" i="2"/>
  <c r="X42" i="2"/>
  <c r="AB42" i="2"/>
  <c r="V42" i="2"/>
  <c r="Z42" i="2"/>
  <c r="AD42" i="2"/>
  <c r="U42" i="2"/>
  <c r="AC42" i="2"/>
  <c r="W42" i="2"/>
  <c r="AE42" i="2"/>
  <c r="Y42" i="2"/>
  <c r="AA42" i="2"/>
  <c r="BF1" i="2" l="1"/>
  <c r="AS1" i="2"/>
  <c r="AF1" i="2"/>
  <c r="S1" i="2"/>
  <c r="C1" i="2"/>
  <c r="C2" i="2"/>
  <c r="D2" i="2" s="1"/>
  <c r="E2" i="2" s="1"/>
  <c r="F2" i="2" s="1"/>
  <c r="E16" i="22" l="1"/>
  <c r="C27" i="22" l="1"/>
  <c r="E27" i="22"/>
  <c r="E27" i="21"/>
  <c r="D18" i="23"/>
  <c r="F27" i="21"/>
  <c r="F18" i="23"/>
  <c r="C18" i="23"/>
  <c r="F26" i="23"/>
  <c r="E26" i="23"/>
  <c r="D26" i="23"/>
  <c r="C26" i="23"/>
  <c r="F25" i="23"/>
  <c r="E25" i="23"/>
  <c r="D25" i="23"/>
  <c r="C25" i="23"/>
  <c r="F24" i="23"/>
  <c r="E24" i="23"/>
  <c r="D24" i="23"/>
  <c r="C24" i="23"/>
  <c r="F23" i="23"/>
  <c r="E23" i="23"/>
  <c r="D23" i="23"/>
  <c r="C23" i="23"/>
  <c r="F22" i="23"/>
  <c r="E22" i="23"/>
  <c r="D22" i="23"/>
  <c r="C22" i="23"/>
  <c r="F21" i="23"/>
  <c r="E21" i="23"/>
  <c r="D21" i="23"/>
  <c r="C21" i="23"/>
  <c r="F20" i="23"/>
  <c r="E20" i="23"/>
  <c r="D20" i="23"/>
  <c r="C20" i="23"/>
  <c r="F19" i="23"/>
  <c r="E19" i="23"/>
  <c r="D19" i="23"/>
  <c r="C19" i="23"/>
  <c r="D4" i="23"/>
  <c r="E4" i="23"/>
  <c r="F4" i="23"/>
  <c r="D5" i="23"/>
  <c r="E5" i="23"/>
  <c r="F5" i="23"/>
  <c r="D6" i="23"/>
  <c r="E6" i="23"/>
  <c r="F6" i="23"/>
  <c r="D7" i="23"/>
  <c r="E7" i="23"/>
  <c r="F7" i="23"/>
  <c r="D8" i="23"/>
  <c r="E8" i="23"/>
  <c r="F8" i="23"/>
  <c r="D9" i="23"/>
  <c r="E9" i="23"/>
  <c r="F9" i="23"/>
  <c r="D10" i="23"/>
  <c r="E10" i="23"/>
  <c r="F10" i="23"/>
  <c r="D11" i="23"/>
  <c r="E11" i="23"/>
  <c r="F11" i="23"/>
  <c r="D12" i="23"/>
  <c r="E12" i="23"/>
  <c r="F12" i="23"/>
  <c r="D13" i="23"/>
  <c r="E13" i="23"/>
  <c r="F13" i="23"/>
  <c r="D14" i="23"/>
  <c r="E14" i="23"/>
  <c r="F14" i="23"/>
  <c r="D15" i="23"/>
  <c r="E15" i="23"/>
  <c r="F15" i="23"/>
  <c r="C5" i="23"/>
  <c r="C6" i="23"/>
  <c r="C7" i="23"/>
  <c r="C8" i="23"/>
  <c r="C9" i="23"/>
  <c r="C10" i="23"/>
  <c r="C11" i="23"/>
  <c r="C12" i="23"/>
  <c r="C13" i="23"/>
  <c r="C14" i="23"/>
  <c r="C15" i="23"/>
  <c r="C4" i="23"/>
  <c r="A1" i="23"/>
  <c r="A36" i="22"/>
  <c r="F27" i="22"/>
  <c r="D27" i="22"/>
  <c r="F16" i="22"/>
  <c r="D16" i="22"/>
  <c r="C16" i="22"/>
  <c r="A15" i="22"/>
  <c r="A14" i="22"/>
  <c r="A13" i="22"/>
  <c r="A12" i="22"/>
  <c r="A11" i="22"/>
  <c r="A36" i="21"/>
  <c r="C27" i="21"/>
  <c r="F16" i="21"/>
  <c r="E16" i="21"/>
  <c r="D16" i="21"/>
  <c r="C16" i="21"/>
  <c r="A15" i="21"/>
  <c r="A14" i="21"/>
  <c r="A13" i="21"/>
  <c r="A12" i="21"/>
  <c r="A11" i="21"/>
  <c r="C16" i="23" l="1"/>
  <c r="D16" i="23"/>
  <c r="E16" i="23"/>
  <c r="F29" i="22"/>
  <c r="C27" i="23"/>
  <c r="C29" i="23" s="1"/>
  <c r="F27" i="23"/>
  <c r="D27" i="23"/>
  <c r="D29" i="23" s="1"/>
  <c r="Q61" i="3" s="1"/>
  <c r="C29" i="22"/>
  <c r="E18" i="23"/>
  <c r="E27" i="23" s="1"/>
  <c r="E29" i="21"/>
  <c r="D27" i="21"/>
  <c r="D29" i="21" s="1"/>
  <c r="C29" i="21"/>
  <c r="F29" i="21"/>
  <c r="E29" i="22"/>
  <c r="D29" i="22"/>
  <c r="F16" i="23"/>
  <c r="C5" i="3"/>
  <c r="C4" i="3"/>
  <c r="E29" i="23" l="1"/>
  <c r="AD61" i="3" s="1"/>
  <c r="G61" i="3"/>
  <c r="D61" i="3"/>
  <c r="N61" i="3"/>
  <c r="I61" i="3"/>
  <c r="H61" i="3"/>
  <c r="F29" i="23"/>
  <c r="AQ61" i="3" s="1"/>
  <c r="J61" i="3"/>
  <c r="M61" i="3"/>
  <c r="F61" i="3"/>
  <c r="E61" i="3"/>
  <c r="K61" i="3"/>
  <c r="L61" i="3"/>
  <c r="O61" i="3"/>
  <c r="B2" i="6"/>
  <c r="B3" i="6" s="1"/>
  <c r="E13" i="19"/>
  <c r="F13" i="19"/>
  <c r="G13" i="19"/>
  <c r="H13" i="19"/>
  <c r="I13" i="19"/>
  <c r="J13" i="19"/>
  <c r="K13" i="19"/>
  <c r="L13" i="19"/>
  <c r="M13" i="19"/>
  <c r="N13" i="19"/>
  <c r="O13" i="19"/>
  <c r="Q13" i="19"/>
  <c r="R13" i="19"/>
  <c r="S13" i="19"/>
  <c r="T13" i="19"/>
  <c r="U13" i="19"/>
  <c r="V13" i="19"/>
  <c r="W13" i="19"/>
  <c r="X13" i="19"/>
  <c r="Y13" i="19"/>
  <c r="Z13" i="19"/>
  <c r="AA13" i="19"/>
  <c r="AB13" i="19"/>
  <c r="AD13" i="19"/>
  <c r="AE13" i="19"/>
  <c r="AF13" i="19"/>
  <c r="AG13" i="19"/>
  <c r="AH13" i="19"/>
  <c r="AI13" i="19"/>
  <c r="AJ13" i="19"/>
  <c r="AK13" i="19"/>
  <c r="AL13" i="19"/>
  <c r="AM13" i="19"/>
  <c r="AN13" i="19"/>
  <c r="AO13" i="19"/>
  <c r="AQ13" i="19"/>
  <c r="AR13" i="19"/>
  <c r="AS13" i="19"/>
  <c r="AT13" i="19"/>
  <c r="AU13" i="19"/>
  <c r="AV13" i="19"/>
  <c r="AW13" i="19"/>
  <c r="AX13" i="19"/>
  <c r="AY13" i="19"/>
  <c r="AZ13" i="19"/>
  <c r="BA13" i="19"/>
  <c r="BB13" i="19"/>
  <c r="D13" i="19"/>
  <c r="P5" i="19"/>
  <c r="AC5" i="19"/>
  <c r="AP5" i="19"/>
  <c r="BC5" i="19"/>
  <c r="P6" i="19"/>
  <c r="AC6" i="19"/>
  <c r="AP6" i="19"/>
  <c r="BC6" i="19"/>
  <c r="P7" i="19"/>
  <c r="AC7" i="19"/>
  <c r="AP7" i="19"/>
  <c r="BC7" i="19"/>
  <c r="P8" i="19"/>
  <c r="AC8" i="19"/>
  <c r="AP8" i="19"/>
  <c r="BC8" i="19"/>
  <c r="P9" i="19"/>
  <c r="AC9" i="19"/>
  <c r="AP9" i="19"/>
  <c r="BC9" i="19"/>
  <c r="P10" i="19"/>
  <c r="AC10" i="19"/>
  <c r="AP10" i="19"/>
  <c r="BC10" i="19"/>
  <c r="P11" i="19"/>
  <c r="AC11" i="19"/>
  <c r="AP11" i="19"/>
  <c r="BC11" i="19"/>
  <c r="P12" i="19"/>
  <c r="AC12" i="19"/>
  <c r="AP12" i="19"/>
  <c r="BC12" i="19"/>
  <c r="BC4" i="19"/>
  <c r="AP4" i="19"/>
  <c r="AC4" i="19"/>
  <c r="P4" i="19"/>
  <c r="BC3" i="19"/>
  <c r="AP3" i="19"/>
  <c r="AP13" i="19" s="1"/>
  <c r="AC3" i="19"/>
  <c r="AC13" i="19" s="1"/>
  <c r="P3" i="19"/>
  <c r="P13" i="19" s="1"/>
  <c r="O1" i="19"/>
  <c r="N1" i="19"/>
  <c r="M1" i="19"/>
  <c r="L1" i="19"/>
  <c r="K1" i="19"/>
  <c r="J1" i="19"/>
  <c r="I1" i="19"/>
  <c r="H1" i="19"/>
  <c r="G1" i="19"/>
  <c r="F1" i="19"/>
  <c r="E1" i="19"/>
  <c r="D1" i="19"/>
  <c r="BC13" i="19" l="1"/>
  <c r="A2" i="6"/>
  <c r="K55" i="3"/>
  <c r="H55" i="3"/>
  <c r="G55" i="3"/>
  <c r="F55" i="3"/>
  <c r="E55" i="3"/>
  <c r="E23" i="3"/>
  <c r="F23" i="3"/>
  <c r="G23" i="3"/>
  <c r="H23" i="3"/>
  <c r="I23" i="3"/>
  <c r="J23" i="3"/>
  <c r="K23" i="3"/>
  <c r="L23" i="3"/>
  <c r="M23" i="3"/>
  <c r="N23" i="3"/>
  <c r="O23" i="3"/>
  <c r="E35" i="3"/>
  <c r="F35" i="3"/>
  <c r="G35" i="3"/>
  <c r="H35" i="3"/>
  <c r="I35" i="3"/>
  <c r="J35" i="3"/>
  <c r="K35" i="3"/>
  <c r="L35" i="3"/>
  <c r="M35" i="3"/>
  <c r="N35" i="3"/>
  <c r="O35" i="3"/>
  <c r="E36" i="3"/>
  <c r="F36" i="3"/>
  <c r="G36" i="3"/>
  <c r="H36" i="3"/>
  <c r="I36" i="3"/>
  <c r="J36" i="3"/>
  <c r="K36" i="3"/>
  <c r="L36" i="3"/>
  <c r="M36" i="3"/>
  <c r="N36" i="3"/>
  <c r="O36" i="3"/>
  <c r="E38" i="3"/>
  <c r="F38" i="3"/>
  <c r="G38" i="3"/>
  <c r="H38" i="3"/>
  <c r="I38" i="3"/>
  <c r="J38" i="3"/>
  <c r="K38" i="3"/>
  <c r="L38" i="3"/>
  <c r="M38" i="3"/>
  <c r="N38" i="3"/>
  <c r="O38" i="3"/>
  <c r="E46" i="3"/>
  <c r="F46" i="3"/>
  <c r="G46" i="3"/>
  <c r="H46" i="3"/>
  <c r="I46" i="3"/>
  <c r="J46" i="3"/>
  <c r="K46" i="3"/>
  <c r="L46" i="3"/>
  <c r="M46" i="3"/>
  <c r="N46" i="3"/>
  <c r="O46" i="3"/>
  <c r="E62" i="3" l="1"/>
  <c r="K62" i="3"/>
  <c r="F62" i="3"/>
  <c r="G62" i="3"/>
  <c r="H62" i="3"/>
  <c r="B5" i="6"/>
  <c r="J9" i="6" s="1"/>
  <c r="H8" i="6"/>
  <c r="H8" i="3"/>
  <c r="A4" i="6"/>
  <c r="B4" i="6"/>
  <c r="D4" i="3"/>
  <c r="N4" i="3"/>
  <c r="J4" i="3"/>
  <c r="F4" i="3"/>
  <c r="G8" i="3"/>
  <c r="F8" i="3"/>
  <c r="M4" i="3"/>
  <c r="J8" i="3"/>
  <c r="D8" i="3"/>
  <c r="E4" i="3"/>
  <c r="L4" i="3"/>
  <c r="H4" i="3"/>
  <c r="M8" i="3"/>
  <c r="I8" i="3"/>
  <c r="E8" i="3"/>
  <c r="O8" i="3"/>
  <c r="K8" i="3"/>
  <c r="I4" i="3"/>
  <c r="N8" i="3"/>
  <c r="O4" i="3"/>
  <c r="K4" i="3"/>
  <c r="G4" i="3"/>
  <c r="L8" i="3"/>
  <c r="C11" i="6"/>
  <c r="E11" i="6"/>
  <c r="C2" i="6"/>
  <c r="D2" i="6"/>
  <c r="E2" i="6"/>
  <c r="C4" i="6"/>
  <c r="D4" i="6"/>
  <c r="E4" i="6"/>
  <c r="C5" i="6"/>
  <c r="D5" i="6"/>
  <c r="E5" i="6"/>
  <c r="D12" i="3" l="1"/>
  <c r="H12" i="3"/>
  <c r="L12" i="3"/>
  <c r="E12" i="3"/>
  <c r="I12" i="3"/>
  <c r="M12" i="3"/>
  <c r="F12" i="3"/>
  <c r="J12" i="3"/>
  <c r="G12" i="3"/>
  <c r="K12" i="3"/>
  <c r="H13" i="3"/>
  <c r="I13" i="3"/>
  <c r="K13" i="3"/>
  <c r="G13" i="3"/>
  <c r="J13" i="3"/>
  <c r="F13" i="3"/>
  <c r="L13" i="3"/>
  <c r="Q12" i="3"/>
  <c r="U12" i="3"/>
  <c r="Y12" i="3"/>
  <c r="U13" i="3"/>
  <c r="Y13" i="3"/>
  <c r="R12" i="3"/>
  <c r="V12" i="3"/>
  <c r="Z12" i="3"/>
  <c r="R13" i="3"/>
  <c r="V13" i="3"/>
  <c r="Z13" i="3"/>
  <c r="S12" i="3"/>
  <c r="W12" i="3"/>
  <c r="AA12" i="3"/>
  <c r="S13" i="3"/>
  <c r="W13" i="3"/>
  <c r="AA13" i="3"/>
  <c r="T12" i="3"/>
  <c r="X12" i="3"/>
  <c r="AB12" i="3"/>
  <c r="T13" i="3"/>
  <c r="X13" i="3"/>
  <c r="AB13" i="3"/>
  <c r="J8" i="6"/>
  <c r="I55" i="3"/>
  <c r="G39" i="3"/>
  <c r="K39" i="3"/>
  <c r="O39" i="3"/>
  <c r="H39" i="3"/>
  <c r="L39" i="3"/>
  <c r="E39" i="3"/>
  <c r="M39" i="3"/>
  <c r="J39" i="3"/>
  <c r="F39" i="3"/>
  <c r="N39" i="3"/>
  <c r="D39" i="3"/>
  <c r="I39" i="3"/>
  <c r="E19" i="3"/>
  <c r="I19" i="3"/>
  <c r="M19" i="3"/>
  <c r="F20" i="3"/>
  <c r="J20" i="3"/>
  <c r="N20" i="3"/>
  <c r="G21" i="3"/>
  <c r="K21" i="3"/>
  <c r="O21" i="3"/>
  <c r="E24" i="3"/>
  <c r="I24" i="3"/>
  <c r="M24" i="3"/>
  <c r="F25" i="3"/>
  <c r="J25" i="3"/>
  <c r="N25" i="3"/>
  <c r="G26" i="3"/>
  <c r="K26" i="3"/>
  <c r="O26" i="3"/>
  <c r="H27" i="3"/>
  <c r="L27" i="3"/>
  <c r="E28" i="3"/>
  <c r="I28" i="3"/>
  <c r="M28" i="3"/>
  <c r="F30" i="3"/>
  <c r="J30" i="3"/>
  <c r="N30" i="3"/>
  <c r="G31" i="3"/>
  <c r="K31" i="3"/>
  <c r="O31" i="3"/>
  <c r="H32" i="3"/>
  <c r="L32" i="3"/>
  <c r="E33" i="3"/>
  <c r="I33" i="3"/>
  <c r="M33" i="3"/>
  <c r="F34" i="3"/>
  <c r="J34" i="3"/>
  <c r="N34" i="3"/>
  <c r="E37" i="3"/>
  <c r="I37" i="3"/>
  <c r="M37" i="3"/>
  <c r="H40" i="3"/>
  <c r="L40" i="3"/>
  <c r="E41" i="3"/>
  <c r="I41" i="3"/>
  <c r="M41" i="3"/>
  <c r="F43" i="3"/>
  <c r="J43" i="3"/>
  <c r="N43" i="3"/>
  <c r="G44" i="3"/>
  <c r="K44" i="3"/>
  <c r="O44" i="3"/>
  <c r="H45" i="3"/>
  <c r="L45" i="3"/>
  <c r="F47" i="3"/>
  <c r="J47" i="3"/>
  <c r="N47" i="3"/>
  <c r="E11" i="3"/>
  <c r="I11" i="3"/>
  <c r="M11" i="3"/>
  <c r="D47" i="3"/>
  <c r="D41" i="3"/>
  <c r="D34" i="3"/>
  <c r="D30" i="3"/>
  <c r="D25" i="3"/>
  <c r="D19" i="3"/>
  <c r="K19" i="3"/>
  <c r="H20" i="3"/>
  <c r="E21" i="3"/>
  <c r="M21" i="3"/>
  <c r="G24" i="3"/>
  <c r="O24" i="3"/>
  <c r="E26" i="3"/>
  <c r="M26" i="3"/>
  <c r="J27" i="3"/>
  <c r="F19" i="3"/>
  <c r="J19" i="3"/>
  <c r="N19" i="3"/>
  <c r="G20" i="3"/>
  <c r="K20" i="3"/>
  <c r="O20" i="3"/>
  <c r="H21" i="3"/>
  <c r="L21" i="3"/>
  <c r="F24" i="3"/>
  <c r="J24" i="3"/>
  <c r="N24" i="3"/>
  <c r="G25" i="3"/>
  <c r="K25" i="3"/>
  <c r="O25" i="3"/>
  <c r="H26" i="3"/>
  <c r="L26" i="3"/>
  <c r="E27" i="3"/>
  <c r="I27" i="3"/>
  <c r="M27" i="3"/>
  <c r="F28" i="3"/>
  <c r="J28" i="3"/>
  <c r="N28" i="3"/>
  <c r="G30" i="3"/>
  <c r="K30" i="3"/>
  <c r="O30" i="3"/>
  <c r="H31" i="3"/>
  <c r="L31" i="3"/>
  <c r="E32" i="3"/>
  <c r="I32" i="3"/>
  <c r="M32" i="3"/>
  <c r="F33" i="3"/>
  <c r="J33" i="3"/>
  <c r="N33" i="3"/>
  <c r="G34" i="3"/>
  <c r="K34" i="3"/>
  <c r="O34" i="3"/>
  <c r="F37" i="3"/>
  <c r="J37" i="3"/>
  <c r="N37" i="3"/>
  <c r="E40" i="3"/>
  <c r="I40" i="3"/>
  <c r="M40" i="3"/>
  <c r="F41" i="3"/>
  <c r="J41" i="3"/>
  <c r="N41" i="3"/>
  <c r="G43" i="3"/>
  <c r="K43" i="3"/>
  <c r="O43" i="3"/>
  <c r="H44" i="3"/>
  <c r="L44" i="3"/>
  <c r="E45" i="3"/>
  <c r="I45" i="3"/>
  <c r="M45" i="3"/>
  <c r="G47" i="3"/>
  <c r="K47" i="3"/>
  <c r="O47" i="3"/>
  <c r="F11" i="3"/>
  <c r="J11" i="3"/>
  <c r="N11" i="3"/>
  <c r="D45" i="3"/>
  <c r="D40" i="3"/>
  <c r="D33" i="3"/>
  <c r="D28" i="3"/>
  <c r="D24" i="3"/>
  <c r="G19" i="3"/>
  <c r="O19" i="3"/>
  <c r="L20" i="3"/>
  <c r="I21" i="3"/>
  <c r="K24" i="3"/>
  <c r="H25" i="3"/>
  <c r="L25" i="3"/>
  <c r="I26" i="3"/>
  <c r="F27" i="3"/>
  <c r="N27" i="3"/>
  <c r="H19" i="3"/>
  <c r="M20" i="3"/>
  <c r="L24" i="3"/>
  <c r="F26" i="3"/>
  <c r="K27" i="3"/>
  <c r="K28" i="3"/>
  <c r="H30" i="3"/>
  <c r="E31" i="3"/>
  <c r="M31" i="3"/>
  <c r="J32" i="3"/>
  <c r="G33" i="3"/>
  <c r="O33" i="3"/>
  <c r="L34" i="3"/>
  <c r="G37" i="3"/>
  <c r="O37" i="3"/>
  <c r="J40" i="3"/>
  <c r="G41" i="3"/>
  <c r="O41" i="3"/>
  <c r="L43" i="3"/>
  <c r="I44" i="3"/>
  <c r="F45" i="3"/>
  <c r="N45" i="3"/>
  <c r="L47" i="3"/>
  <c r="G11" i="3"/>
  <c r="O11" i="3"/>
  <c r="D43" i="3"/>
  <c r="D31" i="3"/>
  <c r="D20" i="3"/>
  <c r="I25" i="3"/>
  <c r="G28" i="3"/>
  <c r="L30" i="3"/>
  <c r="F32" i="3"/>
  <c r="K33" i="3"/>
  <c r="K37" i="3"/>
  <c r="F40" i="3"/>
  <c r="K41" i="3"/>
  <c r="E44" i="3"/>
  <c r="J45" i="3"/>
  <c r="K11" i="3"/>
  <c r="H24" i="3"/>
  <c r="G27" i="3"/>
  <c r="M30" i="3"/>
  <c r="G32" i="3"/>
  <c r="O32" i="3"/>
  <c r="I34" i="3"/>
  <c r="O40" i="3"/>
  <c r="I43" i="3"/>
  <c r="N44" i="3"/>
  <c r="I47" i="3"/>
  <c r="D21" i="3"/>
  <c r="L19" i="3"/>
  <c r="F21" i="3"/>
  <c r="E25" i="3"/>
  <c r="J26" i="3"/>
  <c r="O27" i="3"/>
  <c r="L28" i="3"/>
  <c r="I30" i="3"/>
  <c r="F31" i="3"/>
  <c r="N31" i="3"/>
  <c r="K32" i="3"/>
  <c r="H33" i="3"/>
  <c r="E34" i="3"/>
  <c r="M34" i="3"/>
  <c r="H37" i="3"/>
  <c r="K40" i="3"/>
  <c r="H41" i="3"/>
  <c r="E43" i="3"/>
  <c r="M43" i="3"/>
  <c r="J44" i="3"/>
  <c r="G45" i="3"/>
  <c r="O45" i="3"/>
  <c r="E47" i="3"/>
  <c r="M47" i="3"/>
  <c r="H11" i="3"/>
  <c r="D27" i="3"/>
  <c r="E20" i="3"/>
  <c r="J21" i="3"/>
  <c r="N26" i="3"/>
  <c r="O28" i="3"/>
  <c r="I31" i="3"/>
  <c r="N32" i="3"/>
  <c r="H34" i="3"/>
  <c r="N40" i="3"/>
  <c r="H43" i="3"/>
  <c r="M44" i="3"/>
  <c r="H47" i="3"/>
  <c r="D37" i="3"/>
  <c r="D26" i="3"/>
  <c r="D11" i="3"/>
  <c r="I20" i="3"/>
  <c r="N21" i="3"/>
  <c r="M25" i="3"/>
  <c r="H28" i="3"/>
  <c r="E30" i="3"/>
  <c r="J31" i="3"/>
  <c r="L33" i="3"/>
  <c r="L37" i="3"/>
  <c r="G40" i="3"/>
  <c r="L41" i="3"/>
  <c r="F44" i="3"/>
  <c r="K45" i="3"/>
  <c r="L11" i="3"/>
  <c r="D44" i="3"/>
  <c r="D32" i="3"/>
  <c r="B7" i="3"/>
  <c r="B6" i="3"/>
  <c r="B3" i="3"/>
  <c r="A1" i="1"/>
  <c r="A5" i="1"/>
  <c r="B4" i="1"/>
  <c r="B3" i="1"/>
  <c r="AC12" i="3" l="1"/>
  <c r="I62" i="3"/>
  <c r="AM9" i="1"/>
  <c r="AK9" i="1"/>
  <c r="BB9" i="1"/>
  <c r="AI9" i="1"/>
  <c r="T9" i="1"/>
  <c r="U9" i="1"/>
  <c r="X9" i="1"/>
  <c r="Y9" i="1"/>
  <c r="AB9" i="1"/>
  <c r="AD9" i="1"/>
  <c r="AQ9" i="1"/>
  <c r="AL9" i="1"/>
  <c r="AH9" i="1"/>
  <c r="AA9" i="1"/>
  <c r="Z9" i="1"/>
  <c r="W9" i="1"/>
  <c r="V9" i="1"/>
  <c r="S9" i="1"/>
  <c r="Q9" i="1"/>
  <c r="F9" i="1"/>
  <c r="G9" i="1"/>
  <c r="H9" i="1"/>
  <c r="I9" i="1"/>
  <c r="J9" i="1"/>
  <c r="K9" i="1"/>
  <c r="L9" i="1"/>
  <c r="M9" i="1"/>
  <c r="N9" i="1"/>
  <c r="O9" i="1"/>
  <c r="E9" i="1"/>
  <c r="C2" i="4"/>
  <c r="I2" i="4" s="1"/>
  <c r="AT9" i="1" l="1"/>
  <c r="BA9" i="1"/>
  <c r="AR9" i="1"/>
  <c r="AV9" i="1"/>
  <c r="AY9" i="1"/>
  <c r="AU9" i="1"/>
  <c r="AX9" i="1"/>
  <c r="AO9" i="1"/>
  <c r="AE9" i="1"/>
  <c r="AG9" i="1"/>
  <c r="AJ9" i="1"/>
  <c r="AF9" i="1"/>
  <c r="AW9" i="1"/>
  <c r="AS9" i="1"/>
  <c r="AN9" i="1"/>
  <c r="AZ9" i="1"/>
  <c r="R9" i="1"/>
  <c r="E2" i="4"/>
  <c r="G2" i="4"/>
  <c r="F33" i="18"/>
  <c r="J33" i="18" s="1"/>
  <c r="E33" i="18"/>
  <c r="I33" i="18" s="1"/>
  <c r="E32" i="18"/>
  <c r="I32" i="18" s="1"/>
  <c r="D32" i="18"/>
  <c r="F25" i="18"/>
  <c r="J25" i="18" s="1"/>
  <c r="E25" i="18"/>
  <c r="I25" i="18" s="1"/>
  <c r="D24" i="18"/>
  <c r="F17" i="18"/>
  <c r="J17" i="18" s="1"/>
  <c r="E17" i="18"/>
  <c r="I17" i="18" s="1"/>
  <c r="D16" i="18"/>
  <c r="F32" i="18" l="1"/>
  <c r="J32" i="18" s="1"/>
  <c r="G32" i="18"/>
  <c r="K32" i="18" s="1"/>
  <c r="E24" i="18"/>
  <c r="I24" i="18" s="1"/>
  <c r="E16" i="18"/>
  <c r="I16" i="18" s="1"/>
  <c r="I18" i="18" s="1"/>
  <c r="F24" i="18"/>
  <c r="J24" i="18" s="1"/>
  <c r="F16" i="18"/>
  <c r="J16" i="18" s="1"/>
  <c r="G16" i="18"/>
  <c r="K16" i="18" s="1"/>
  <c r="H24" i="18"/>
  <c r="C33" i="18"/>
  <c r="E34" i="18"/>
  <c r="C32" i="18"/>
  <c r="C31" i="18"/>
  <c r="C30" i="18"/>
  <c r="C29" i="18"/>
  <c r="C28" i="18"/>
  <c r="C25" i="18"/>
  <c r="F26" i="18"/>
  <c r="C24" i="18"/>
  <c r="C23" i="18"/>
  <c r="C22" i="18"/>
  <c r="C21" i="18"/>
  <c r="C20" i="18"/>
  <c r="C17" i="18"/>
  <c r="C16" i="18"/>
  <c r="C15" i="18"/>
  <c r="C14" i="18"/>
  <c r="C13" i="18"/>
  <c r="C12" i="18"/>
  <c r="F9" i="18"/>
  <c r="E9" i="18"/>
  <c r="I9" i="18" l="1"/>
  <c r="I36" i="18" s="1"/>
  <c r="E36" i="18"/>
  <c r="J9" i="18"/>
  <c r="J36" i="18" s="1"/>
  <c r="F36" i="18"/>
  <c r="H32" i="18"/>
  <c r="D33" i="18"/>
  <c r="D25" i="18"/>
  <c r="D17" i="18"/>
  <c r="H16" i="18"/>
  <c r="J18" i="18"/>
  <c r="F34" i="18"/>
  <c r="J26" i="18"/>
  <c r="J34" i="18"/>
  <c r="I34" i="18"/>
  <c r="D8" i="18"/>
  <c r="D9" i="18"/>
  <c r="I26" i="18"/>
  <c r="E18" i="18"/>
  <c r="F18" i="18"/>
  <c r="E26" i="18"/>
  <c r="X50" i="14"/>
  <c r="X9" i="14"/>
  <c r="X16" i="14" s="1"/>
  <c r="R50" i="14"/>
  <c r="R9" i="14"/>
  <c r="L50" i="14"/>
  <c r="L9" i="14"/>
  <c r="F50" i="14"/>
  <c r="F9" i="14"/>
  <c r="L51" i="14" l="1"/>
  <c r="X51" i="14"/>
  <c r="D36" i="18"/>
  <c r="H8" i="18"/>
  <c r="H35" i="18" s="1"/>
  <c r="D35" i="18"/>
  <c r="G24" i="18"/>
  <c r="G25" i="18"/>
  <c r="K25" i="18" s="1"/>
  <c r="H25" i="18"/>
  <c r="H26" i="18" s="1"/>
  <c r="G17" i="18"/>
  <c r="H17" i="18"/>
  <c r="H18" i="18" s="1"/>
  <c r="H33" i="18"/>
  <c r="H34" i="18" s="1"/>
  <c r="G33" i="18"/>
  <c r="D18" i="18"/>
  <c r="G9" i="18"/>
  <c r="H9" i="18"/>
  <c r="G8" i="18"/>
  <c r="D34" i="18"/>
  <c r="D26" i="18"/>
  <c r="F8" i="18"/>
  <c r="E8" i="18"/>
  <c r="D10" i="18"/>
  <c r="X53" i="14"/>
  <c r="R51" i="14"/>
  <c r="F51" i="14"/>
  <c r="F53" i="14" s="1"/>
  <c r="F55" i="14" s="1"/>
  <c r="L53" i="14"/>
  <c r="E10" i="18" l="1"/>
  <c r="E35" i="18"/>
  <c r="E37" i="18" s="1"/>
  <c r="K9" i="18"/>
  <c r="G36" i="18"/>
  <c r="D37" i="18"/>
  <c r="K8" i="18"/>
  <c r="G35" i="18"/>
  <c r="J8" i="18"/>
  <c r="F35" i="18"/>
  <c r="F37" i="18" s="1"/>
  <c r="H10" i="18"/>
  <c r="H36" i="18"/>
  <c r="H37" i="18" s="1"/>
  <c r="K24" i="18"/>
  <c r="K26" i="18" s="1"/>
  <c r="G26" i="18"/>
  <c r="K33" i="18"/>
  <c r="K34" i="18" s="1"/>
  <c r="G34" i="18"/>
  <c r="K17" i="18"/>
  <c r="K18" i="18" s="1"/>
  <c r="G18" i="18"/>
  <c r="G10" i="18"/>
  <c r="F10" i="18"/>
  <c r="I8" i="18"/>
  <c r="R53" i="14"/>
  <c r="X55" i="14"/>
  <c r="L55" i="14"/>
  <c r="K35" i="18" l="1"/>
  <c r="I10" i="18"/>
  <c r="I35" i="18"/>
  <c r="I37" i="18" s="1"/>
  <c r="K10" i="18"/>
  <c r="G37" i="18"/>
  <c r="K36" i="18"/>
  <c r="J10" i="18"/>
  <c r="J35" i="18"/>
  <c r="J37" i="18" s="1"/>
  <c r="R55" i="14"/>
  <c r="K37" i="18" l="1"/>
  <c r="H31" i="4"/>
  <c r="J32" i="4"/>
  <c r="J25" i="4"/>
  <c r="J31" i="4"/>
  <c r="J33" i="4"/>
  <c r="J34" i="4"/>
  <c r="H24" i="4"/>
  <c r="H34" i="4"/>
  <c r="H33" i="4"/>
  <c r="H25" i="4"/>
  <c r="F34" i="4"/>
  <c r="F33" i="4"/>
  <c r="F32" i="4"/>
  <c r="F31" i="4"/>
  <c r="F25" i="4"/>
  <c r="F24" i="4"/>
  <c r="D25" i="4"/>
  <c r="D31" i="4"/>
  <c r="D32" i="4"/>
  <c r="D33" i="4"/>
  <c r="D34" i="4"/>
  <c r="J24" i="4" l="1"/>
  <c r="H32" i="4"/>
  <c r="C55" i="17"/>
  <c r="C56" i="17"/>
  <c r="C57" i="17"/>
  <c r="C58" i="17"/>
  <c r="C59" i="17"/>
  <c r="C47" i="17"/>
  <c r="C48" i="17"/>
  <c r="C49" i="17"/>
  <c r="C50" i="17"/>
  <c r="C51" i="17"/>
  <c r="C39" i="17"/>
  <c r="C40" i="17"/>
  <c r="C41" i="17"/>
  <c r="C42" i="17"/>
  <c r="C43" i="17"/>
  <c r="C46" i="17"/>
  <c r="C54" i="17"/>
  <c r="C38" i="17"/>
  <c r="C31" i="17"/>
  <c r="C32" i="17"/>
  <c r="C33" i="17"/>
  <c r="C34" i="17"/>
  <c r="C35" i="17"/>
  <c r="C23" i="17"/>
  <c r="C24" i="17"/>
  <c r="C25" i="17"/>
  <c r="C26" i="17"/>
  <c r="C27" i="17"/>
  <c r="C30" i="17"/>
  <c r="C22" i="17"/>
  <c r="C15" i="17"/>
  <c r="C16" i="17"/>
  <c r="C17" i="17"/>
  <c r="C18" i="17"/>
  <c r="C19" i="17"/>
  <c r="C14" i="17"/>
  <c r="D59" i="17"/>
  <c r="F59" i="17"/>
  <c r="E59" i="17"/>
  <c r="G58" i="17"/>
  <c r="F58" i="17"/>
  <c r="E58" i="17"/>
  <c r="D58" i="17"/>
  <c r="G59" i="17" l="1"/>
  <c r="E13" i="4"/>
  <c r="G13" i="4"/>
  <c r="I13" i="4"/>
  <c r="E22" i="4"/>
  <c r="G22" i="4"/>
  <c r="I22" i="4"/>
  <c r="E35" i="4"/>
  <c r="G35" i="4"/>
  <c r="I35" i="4"/>
  <c r="E46" i="4"/>
  <c r="Q12" i="1" s="1"/>
  <c r="G46" i="4"/>
  <c r="AD12" i="1" s="1"/>
  <c r="I46" i="4"/>
  <c r="AQ12" i="1" s="1"/>
  <c r="Q13" i="3" l="1"/>
  <c r="AC13" i="3" s="1"/>
  <c r="D22" i="4"/>
  <c r="I37" i="4"/>
  <c r="E37" i="4"/>
  <c r="H35" i="4"/>
  <c r="G37" i="4"/>
  <c r="F35" i="4"/>
  <c r="J35" i="4"/>
  <c r="D51" i="17"/>
  <c r="E51" i="17"/>
  <c r="F51" i="17"/>
  <c r="G50" i="17"/>
  <c r="F50" i="17"/>
  <c r="E50" i="17"/>
  <c r="E52" i="17" s="1"/>
  <c r="D50" i="17"/>
  <c r="D43" i="17"/>
  <c r="G43" i="17" s="1"/>
  <c r="E43" i="17"/>
  <c r="F43" i="17"/>
  <c r="G42" i="17"/>
  <c r="F42" i="17"/>
  <c r="E42" i="17"/>
  <c r="E44" i="17" s="1"/>
  <c r="D42" i="17"/>
  <c r="D35" i="17"/>
  <c r="E35" i="17"/>
  <c r="F35" i="17"/>
  <c r="G34" i="17"/>
  <c r="F34" i="17"/>
  <c r="E34" i="17"/>
  <c r="E36" i="17" s="1"/>
  <c r="D34" i="17"/>
  <c r="D10" i="17"/>
  <c r="D11" i="17"/>
  <c r="D19" i="17"/>
  <c r="E11" i="17"/>
  <c r="E60" i="17"/>
  <c r="F11" i="17"/>
  <c r="F60" i="17"/>
  <c r="G60" i="17"/>
  <c r="D60" i="17"/>
  <c r="BC3" i="1"/>
  <c r="U5" i="14" s="1"/>
  <c r="AP3" i="1"/>
  <c r="AC3" i="1"/>
  <c r="I5" i="14" s="1"/>
  <c r="G23" i="2"/>
  <c r="S11" i="2"/>
  <c r="AF11" i="2"/>
  <c r="AS11" i="2"/>
  <c r="BF11" i="2"/>
  <c r="S12" i="2"/>
  <c r="AF12" i="2"/>
  <c r="AS12" i="2"/>
  <c r="BF12" i="2"/>
  <c r="S13" i="2"/>
  <c r="AF13" i="2"/>
  <c r="AS13" i="2"/>
  <c r="BF13" i="2"/>
  <c r="S14" i="2"/>
  <c r="AF14" i="2"/>
  <c r="AS14" i="2"/>
  <c r="BF14" i="2"/>
  <c r="S15" i="2"/>
  <c r="AF15" i="2"/>
  <c r="AS15" i="2"/>
  <c r="BF15" i="2"/>
  <c r="S16" i="2"/>
  <c r="AF16" i="2"/>
  <c r="AS16" i="2"/>
  <c r="BF16" i="2"/>
  <c r="S17" i="2"/>
  <c r="AF17" i="2"/>
  <c r="AS17" i="2"/>
  <c r="BF17" i="2"/>
  <c r="S18" i="2"/>
  <c r="AF18" i="2"/>
  <c r="AS18" i="2"/>
  <c r="BF18" i="2"/>
  <c r="S19" i="2"/>
  <c r="AF19" i="2"/>
  <c r="AS19" i="2"/>
  <c r="BF19" i="2"/>
  <c r="S20" i="2"/>
  <c r="AF20" i="2"/>
  <c r="AS20" i="2"/>
  <c r="BF20" i="2"/>
  <c r="S21" i="2"/>
  <c r="AF21" i="2"/>
  <c r="AS21" i="2"/>
  <c r="BF21" i="2"/>
  <c r="S22" i="2"/>
  <c r="AF22" i="2"/>
  <c r="AS22" i="2"/>
  <c r="BF22" i="2"/>
  <c r="A26" i="2"/>
  <c r="G26" i="2"/>
  <c r="H26" i="2"/>
  <c r="I26" i="2"/>
  <c r="J26" i="2"/>
  <c r="K26" i="2"/>
  <c r="L26" i="2"/>
  <c r="M26" i="2"/>
  <c r="N26" i="2"/>
  <c r="O26" i="2"/>
  <c r="P26" i="2"/>
  <c r="Q26" i="2"/>
  <c r="R26" i="2"/>
  <c r="A27" i="2"/>
  <c r="A28" i="2"/>
  <c r="A29" i="2"/>
  <c r="A30" i="2"/>
  <c r="A31" i="2"/>
  <c r="A32" i="2"/>
  <c r="A33" i="2"/>
  <c r="A34" i="2"/>
  <c r="A35" i="2"/>
  <c r="A36" i="2"/>
  <c r="A37" i="2"/>
  <c r="A38" i="2"/>
  <c r="A39" i="2"/>
  <c r="A40" i="2"/>
  <c r="A41" i="2"/>
  <c r="A42" i="2"/>
  <c r="A43" i="2"/>
  <c r="I27" i="2"/>
  <c r="M27" i="2"/>
  <c r="Q27" i="2"/>
  <c r="J27" i="2"/>
  <c r="N27" i="2"/>
  <c r="R27" i="2"/>
  <c r="G27" i="2"/>
  <c r="K27" i="2"/>
  <c r="O27" i="2"/>
  <c r="H27" i="2"/>
  <c r="L27" i="2"/>
  <c r="P27" i="2"/>
  <c r="G28" i="2"/>
  <c r="K28" i="2"/>
  <c r="O28" i="2"/>
  <c r="H28" i="2"/>
  <c r="L28" i="2"/>
  <c r="P28" i="2"/>
  <c r="I28" i="2"/>
  <c r="M28" i="2"/>
  <c r="Q28" i="2"/>
  <c r="J28" i="2"/>
  <c r="N28" i="2"/>
  <c r="R28" i="2"/>
  <c r="I29" i="2"/>
  <c r="M29" i="2"/>
  <c r="Q29" i="2"/>
  <c r="J29" i="2"/>
  <c r="N29" i="2"/>
  <c r="R29" i="2"/>
  <c r="G29" i="2"/>
  <c r="K29" i="2"/>
  <c r="O29" i="2"/>
  <c r="H29" i="2"/>
  <c r="L29" i="2"/>
  <c r="P29" i="2"/>
  <c r="J30" i="2"/>
  <c r="N30" i="2"/>
  <c r="R30" i="2"/>
  <c r="G30" i="2"/>
  <c r="K30" i="2"/>
  <c r="O30" i="2"/>
  <c r="I30" i="2"/>
  <c r="M30" i="2"/>
  <c r="Q30" i="2"/>
  <c r="H30" i="2"/>
  <c r="L30" i="2"/>
  <c r="P30" i="2"/>
  <c r="G31" i="2"/>
  <c r="K31" i="2"/>
  <c r="O31" i="2"/>
  <c r="H31" i="2"/>
  <c r="L31" i="2"/>
  <c r="P31" i="2"/>
  <c r="J31" i="2"/>
  <c r="N31" i="2"/>
  <c r="R31" i="2"/>
  <c r="M31" i="2"/>
  <c r="Q31" i="2"/>
  <c r="I31" i="2"/>
  <c r="B35" i="14"/>
  <c r="B33" i="3"/>
  <c r="P32" i="1"/>
  <c r="D35" i="14" s="1"/>
  <c r="AC32" i="1"/>
  <c r="I35" i="14" s="1"/>
  <c r="AP32" i="1"/>
  <c r="O35" i="14" s="1"/>
  <c r="W35" i="14" s="1"/>
  <c r="BC32" i="1"/>
  <c r="U35" i="14" s="1"/>
  <c r="C27" i="14"/>
  <c r="C25" i="3"/>
  <c r="P24" i="1"/>
  <c r="D27" i="14" s="1"/>
  <c r="H27" i="14" s="1"/>
  <c r="AC24" i="1"/>
  <c r="I27" i="14" s="1"/>
  <c r="AP24" i="1"/>
  <c r="O27" i="14" s="1"/>
  <c r="BC24" i="1"/>
  <c r="U27" i="14" s="1"/>
  <c r="A12" i="9"/>
  <c r="A13" i="9"/>
  <c r="A14" i="9"/>
  <c r="A15" i="9"/>
  <c r="A11" i="9"/>
  <c r="A60" i="3"/>
  <c r="A36" i="9"/>
  <c r="I32" i="2"/>
  <c r="M32" i="2"/>
  <c r="J32" i="2"/>
  <c r="N32" i="2"/>
  <c r="R32" i="2"/>
  <c r="H32" i="2"/>
  <c r="L32" i="2"/>
  <c r="P32" i="2"/>
  <c r="G32" i="2"/>
  <c r="K32" i="2"/>
  <c r="O32" i="2"/>
  <c r="Q32" i="2"/>
  <c r="I33" i="2"/>
  <c r="M33" i="2"/>
  <c r="Q33" i="2"/>
  <c r="G33" i="2"/>
  <c r="K33" i="2"/>
  <c r="O33" i="2"/>
  <c r="J33" i="2"/>
  <c r="R33" i="2"/>
  <c r="L33" i="2"/>
  <c r="N33" i="2"/>
  <c r="H33" i="2"/>
  <c r="P33" i="2"/>
  <c r="C31" i="3"/>
  <c r="C30" i="3"/>
  <c r="B29" i="3"/>
  <c r="C33" i="14"/>
  <c r="C32" i="14"/>
  <c r="B31" i="14"/>
  <c r="P30" i="1"/>
  <c r="D33" i="14" s="1"/>
  <c r="P29" i="1"/>
  <c r="D32" i="14" s="1"/>
  <c r="W3" i="14"/>
  <c r="Q3" i="14"/>
  <c r="U3" i="14"/>
  <c r="O3" i="14"/>
  <c r="I3" i="14"/>
  <c r="V3" i="14"/>
  <c r="P3" i="14"/>
  <c r="J3" i="14"/>
  <c r="G34" i="2"/>
  <c r="K34" i="2"/>
  <c r="O34" i="2"/>
  <c r="H34" i="2"/>
  <c r="L34" i="2"/>
  <c r="P34" i="2"/>
  <c r="I34" i="2"/>
  <c r="M34" i="2"/>
  <c r="Q34" i="2"/>
  <c r="J34" i="2"/>
  <c r="N34" i="2"/>
  <c r="R34" i="2"/>
  <c r="AC29" i="1"/>
  <c r="I32" i="14" s="1"/>
  <c r="Q32" i="14" s="1"/>
  <c r="AP30" i="1"/>
  <c r="O33" i="14" s="1"/>
  <c r="AC30" i="1"/>
  <c r="I33" i="14" s="1"/>
  <c r="I35" i="2"/>
  <c r="M35" i="2"/>
  <c r="Q35" i="2"/>
  <c r="J35" i="2"/>
  <c r="N35" i="2"/>
  <c r="R35" i="2"/>
  <c r="G35" i="2"/>
  <c r="K35" i="2"/>
  <c r="O35" i="2"/>
  <c r="H35" i="2"/>
  <c r="L35" i="2"/>
  <c r="P35" i="2"/>
  <c r="BC30" i="1"/>
  <c r="U33" i="14" s="1"/>
  <c r="AP29" i="1"/>
  <c r="O32" i="14" s="1"/>
  <c r="H36" i="2"/>
  <c r="L36" i="2"/>
  <c r="P36" i="2"/>
  <c r="I36" i="2"/>
  <c r="M36" i="2"/>
  <c r="Q36" i="2"/>
  <c r="J36" i="2"/>
  <c r="N36" i="2"/>
  <c r="R36" i="2"/>
  <c r="K36" i="2"/>
  <c r="O36" i="2"/>
  <c r="G36" i="2"/>
  <c r="BC29" i="1"/>
  <c r="U32" i="14" s="1"/>
  <c r="G37" i="2"/>
  <c r="K37" i="2"/>
  <c r="O37" i="2"/>
  <c r="H37" i="2"/>
  <c r="L37" i="2"/>
  <c r="P37" i="2"/>
  <c r="I37" i="2"/>
  <c r="M37" i="2"/>
  <c r="Q37" i="2"/>
  <c r="J37" i="2"/>
  <c r="N37" i="2"/>
  <c r="R37" i="2"/>
  <c r="J38" i="2"/>
  <c r="N38" i="2"/>
  <c r="R38" i="2"/>
  <c r="G38" i="2"/>
  <c r="K38" i="2"/>
  <c r="O38" i="2"/>
  <c r="H38" i="2"/>
  <c r="L38" i="2"/>
  <c r="P38" i="2"/>
  <c r="I38" i="2"/>
  <c r="M38" i="2"/>
  <c r="Q38" i="2"/>
  <c r="A54" i="14"/>
  <c r="A55" i="14"/>
  <c r="I39" i="2"/>
  <c r="G39" i="2"/>
  <c r="K39" i="2"/>
  <c r="M39" i="2"/>
  <c r="Q39" i="2"/>
  <c r="H39" i="2"/>
  <c r="N39" i="2"/>
  <c r="R39" i="2"/>
  <c r="J39" i="2"/>
  <c r="O39" i="2"/>
  <c r="L39" i="2"/>
  <c r="P39" i="2"/>
  <c r="B5" i="14"/>
  <c r="B6" i="14"/>
  <c r="A7" i="14"/>
  <c r="A8" i="14"/>
  <c r="A10" i="14"/>
  <c r="A11" i="14"/>
  <c r="B12" i="14"/>
  <c r="B13" i="14"/>
  <c r="A16" i="14"/>
  <c r="A17" i="14"/>
  <c r="A18" i="14"/>
  <c r="A19" i="14"/>
  <c r="B20" i="14"/>
  <c r="C21" i="14"/>
  <c r="C22" i="14"/>
  <c r="B23" i="14"/>
  <c r="B24" i="14"/>
  <c r="C25" i="14"/>
  <c r="C26" i="14"/>
  <c r="C28" i="14"/>
  <c r="B29" i="14"/>
  <c r="B30" i="14"/>
  <c r="B34" i="14"/>
  <c r="B36" i="14"/>
  <c r="B37" i="14"/>
  <c r="B38" i="14"/>
  <c r="B39" i="14"/>
  <c r="B40" i="14"/>
  <c r="B41" i="14"/>
  <c r="B42" i="14"/>
  <c r="B43" i="14"/>
  <c r="B44" i="14"/>
  <c r="C45" i="14"/>
  <c r="C46" i="14"/>
  <c r="C47" i="14"/>
  <c r="B48" i="14"/>
  <c r="B49" i="14"/>
  <c r="A50" i="14"/>
  <c r="A51" i="14"/>
  <c r="A53" i="14"/>
  <c r="D16" i="9"/>
  <c r="E16" i="9"/>
  <c r="F16" i="9"/>
  <c r="D27" i="9"/>
  <c r="E27" i="9"/>
  <c r="E29" i="9" s="1"/>
  <c r="AE61" i="3" s="1"/>
  <c r="F27" i="9"/>
  <c r="P59" i="3"/>
  <c r="AC59" i="3"/>
  <c r="AP59" i="3"/>
  <c r="BC59" i="3"/>
  <c r="B11" i="3"/>
  <c r="B10" i="3"/>
  <c r="AC10" i="1"/>
  <c r="I13" i="14" s="1"/>
  <c r="AP10" i="1"/>
  <c r="O13" i="14" s="1"/>
  <c r="BC10" i="1"/>
  <c r="U13" i="14" s="1"/>
  <c r="AC12" i="1"/>
  <c r="I15" i="14" s="1"/>
  <c r="AP12" i="1"/>
  <c r="O15" i="14" s="1"/>
  <c r="BC12" i="1"/>
  <c r="U15" i="14" s="1"/>
  <c r="P10" i="1"/>
  <c r="D13" i="14" s="1"/>
  <c r="H13" i="14" s="1"/>
  <c r="AC4" i="1"/>
  <c r="I6" i="14" s="1"/>
  <c r="AP4" i="1"/>
  <c r="O6" i="14" s="1"/>
  <c r="BC4" i="1"/>
  <c r="U6" i="14" s="1"/>
  <c r="H40" i="2"/>
  <c r="L40" i="2"/>
  <c r="P40" i="2"/>
  <c r="I40" i="2"/>
  <c r="M40" i="2"/>
  <c r="Q40" i="2"/>
  <c r="J40" i="2"/>
  <c r="N40" i="2"/>
  <c r="R40" i="2"/>
  <c r="G40" i="2"/>
  <c r="K40" i="2"/>
  <c r="O40" i="2"/>
  <c r="G41" i="2"/>
  <c r="K41" i="2"/>
  <c r="O41" i="2"/>
  <c r="H41" i="2"/>
  <c r="L41" i="2"/>
  <c r="P41" i="2"/>
  <c r="I41" i="2"/>
  <c r="M41" i="2"/>
  <c r="Q41" i="2"/>
  <c r="J41" i="2"/>
  <c r="N41" i="2"/>
  <c r="R41" i="2"/>
  <c r="J42" i="2"/>
  <c r="N42" i="2"/>
  <c r="R42" i="2"/>
  <c r="G42" i="2"/>
  <c r="K42" i="2"/>
  <c r="O42" i="2"/>
  <c r="H42" i="2"/>
  <c r="L42" i="2"/>
  <c r="P42" i="2"/>
  <c r="I42" i="2"/>
  <c r="M42" i="2"/>
  <c r="Q42" i="2"/>
  <c r="A4" i="14"/>
  <c r="H43" i="2"/>
  <c r="L43" i="2"/>
  <c r="P43" i="2"/>
  <c r="I43" i="2"/>
  <c r="N43" i="2"/>
  <c r="O43" i="2"/>
  <c r="M43" i="2"/>
  <c r="Q43" i="2"/>
  <c r="R43" i="2"/>
  <c r="G43" i="2"/>
  <c r="J43" i="2"/>
  <c r="K43" i="2"/>
  <c r="BB52" i="3"/>
  <c r="BA52" i="3"/>
  <c r="AZ52" i="3"/>
  <c r="AY52" i="3"/>
  <c r="AX52" i="3"/>
  <c r="AW52" i="3"/>
  <c r="AV52" i="3"/>
  <c r="AU52" i="3"/>
  <c r="AT52" i="3"/>
  <c r="AS52" i="3"/>
  <c r="AR52" i="3"/>
  <c r="AQ52" i="3"/>
  <c r="AO52" i="3"/>
  <c r="AN52" i="3"/>
  <c r="AM52" i="3"/>
  <c r="AL52" i="3"/>
  <c r="AK52" i="3"/>
  <c r="AJ52" i="3"/>
  <c r="AI52" i="3"/>
  <c r="AH52" i="3"/>
  <c r="AG52" i="3"/>
  <c r="AF52" i="3"/>
  <c r="AE52" i="3"/>
  <c r="AD52" i="3"/>
  <c r="BB50" i="3"/>
  <c r="BA50" i="3"/>
  <c r="AZ50" i="3"/>
  <c r="AY50" i="3"/>
  <c r="AX50" i="3"/>
  <c r="AW50" i="3"/>
  <c r="AV50" i="3"/>
  <c r="AU50" i="3"/>
  <c r="AT50" i="3"/>
  <c r="AS50" i="3"/>
  <c r="AR50" i="3"/>
  <c r="AQ50" i="3"/>
  <c r="AO50" i="3"/>
  <c r="AN50" i="3"/>
  <c r="AM50" i="3"/>
  <c r="AL50" i="3"/>
  <c r="AK50" i="3"/>
  <c r="AJ50" i="3"/>
  <c r="AI50" i="3"/>
  <c r="AH50" i="3"/>
  <c r="AG50" i="3"/>
  <c r="AF50" i="3"/>
  <c r="AE50" i="3"/>
  <c r="AD50" i="3"/>
  <c r="BB46" i="3"/>
  <c r="BA46" i="3"/>
  <c r="AZ46" i="3"/>
  <c r="AY46" i="3"/>
  <c r="AX46" i="3"/>
  <c r="AW46" i="3"/>
  <c r="AV46" i="3"/>
  <c r="AU46" i="3"/>
  <c r="AT46" i="3"/>
  <c r="AS46" i="3"/>
  <c r="AR46" i="3"/>
  <c r="AQ46" i="3"/>
  <c r="BB38" i="3"/>
  <c r="BA38" i="3"/>
  <c r="AZ38" i="3"/>
  <c r="AY38" i="3"/>
  <c r="AX38" i="3"/>
  <c r="AW38" i="3"/>
  <c r="AV38" i="3"/>
  <c r="AU38" i="3"/>
  <c r="AT38" i="3"/>
  <c r="AS38" i="3"/>
  <c r="AR38" i="3"/>
  <c r="AQ38" i="3"/>
  <c r="BB36" i="3"/>
  <c r="BA36" i="3"/>
  <c r="AZ36" i="3"/>
  <c r="AY36" i="3"/>
  <c r="AX36" i="3"/>
  <c r="AW36" i="3"/>
  <c r="AV36" i="3"/>
  <c r="AU36" i="3"/>
  <c r="AT36" i="3"/>
  <c r="AS36" i="3"/>
  <c r="AR36" i="3"/>
  <c r="AQ36" i="3"/>
  <c r="BB35" i="3"/>
  <c r="BA35" i="3"/>
  <c r="AZ35" i="3"/>
  <c r="AY35" i="3"/>
  <c r="AX35" i="3"/>
  <c r="AW35" i="3"/>
  <c r="AV35" i="3"/>
  <c r="AU35" i="3"/>
  <c r="AT35" i="3"/>
  <c r="AS35" i="3"/>
  <c r="AR35" i="3"/>
  <c r="AQ35" i="3"/>
  <c r="BB23" i="3"/>
  <c r="BA23" i="3"/>
  <c r="AZ23" i="3"/>
  <c r="AY23" i="3"/>
  <c r="AX23" i="3"/>
  <c r="AW23" i="3"/>
  <c r="AV23" i="3"/>
  <c r="AU23" i="3"/>
  <c r="AT23" i="3"/>
  <c r="AS23" i="3"/>
  <c r="AR23" i="3"/>
  <c r="AQ23" i="3"/>
  <c r="AO46" i="3"/>
  <c r="AN46" i="3"/>
  <c r="AM46" i="3"/>
  <c r="AL46" i="3"/>
  <c r="AK46" i="3"/>
  <c r="AJ46" i="3"/>
  <c r="AI46" i="3"/>
  <c r="AH46" i="3"/>
  <c r="AG46" i="3"/>
  <c r="AF46" i="3"/>
  <c r="AE46" i="3"/>
  <c r="AD46" i="3"/>
  <c r="AO38" i="3"/>
  <c r="AN38" i="3"/>
  <c r="AM38" i="3"/>
  <c r="AL38" i="3"/>
  <c r="AK38" i="3"/>
  <c r="AJ38" i="3"/>
  <c r="AI38" i="3"/>
  <c r="AH38" i="3"/>
  <c r="AG38" i="3"/>
  <c r="AF38" i="3"/>
  <c r="AE38" i="3"/>
  <c r="AD38" i="3"/>
  <c r="AO36" i="3"/>
  <c r="AN36" i="3"/>
  <c r="AM36" i="3"/>
  <c r="AL36" i="3"/>
  <c r="AK36" i="3"/>
  <c r="AJ36" i="3"/>
  <c r="AI36" i="3"/>
  <c r="AH36" i="3"/>
  <c r="AG36" i="3"/>
  <c r="AF36" i="3"/>
  <c r="AE36" i="3"/>
  <c r="AD36" i="3"/>
  <c r="AO35" i="3"/>
  <c r="AN35" i="3"/>
  <c r="AM35" i="3"/>
  <c r="AL35" i="3"/>
  <c r="AK35" i="3"/>
  <c r="AJ35" i="3"/>
  <c r="AI35" i="3"/>
  <c r="AH35" i="3"/>
  <c r="AG35" i="3"/>
  <c r="AF35" i="3"/>
  <c r="AE35" i="3"/>
  <c r="AD35" i="3"/>
  <c r="AO23" i="3"/>
  <c r="AN23" i="3"/>
  <c r="AM23" i="3"/>
  <c r="AL23" i="3"/>
  <c r="AK23" i="3"/>
  <c r="AJ23" i="3"/>
  <c r="AI23" i="3"/>
  <c r="AH23" i="3"/>
  <c r="AG23" i="3"/>
  <c r="AF23" i="3"/>
  <c r="AE23" i="3"/>
  <c r="AD23" i="3"/>
  <c r="BB15" i="3"/>
  <c r="BA15" i="3"/>
  <c r="AZ15" i="3"/>
  <c r="AY15" i="3"/>
  <c r="AX15" i="3"/>
  <c r="AW15" i="3"/>
  <c r="AV15" i="3"/>
  <c r="AU15" i="3"/>
  <c r="AT15" i="3"/>
  <c r="AS15" i="3"/>
  <c r="AR15" i="3"/>
  <c r="AQ15" i="3"/>
  <c r="AO15" i="3"/>
  <c r="AN15" i="3"/>
  <c r="AM15" i="3"/>
  <c r="AL15" i="3"/>
  <c r="AK15" i="3"/>
  <c r="AJ15" i="3"/>
  <c r="AI15" i="3"/>
  <c r="AH15" i="3"/>
  <c r="AG15" i="3"/>
  <c r="AF15" i="3"/>
  <c r="AE15" i="3"/>
  <c r="AD15" i="3"/>
  <c r="BC60" i="3"/>
  <c r="BC58" i="3"/>
  <c r="BC57" i="3"/>
  <c r="BC56" i="3"/>
  <c r="AP60" i="3"/>
  <c r="AP58" i="3"/>
  <c r="AP57" i="3"/>
  <c r="AP56" i="3"/>
  <c r="AC60" i="3"/>
  <c r="AC58" i="3"/>
  <c r="AC57" i="3"/>
  <c r="AC56" i="3"/>
  <c r="R52" i="3"/>
  <c r="S52" i="3"/>
  <c r="T52" i="3"/>
  <c r="U52" i="3"/>
  <c r="V52" i="3"/>
  <c r="W52" i="3"/>
  <c r="X52" i="3"/>
  <c r="Y52" i="3"/>
  <c r="Z52" i="3"/>
  <c r="AA52" i="3"/>
  <c r="AB52" i="3"/>
  <c r="R50" i="3"/>
  <c r="S50" i="3"/>
  <c r="T50" i="3"/>
  <c r="U50" i="3"/>
  <c r="V50" i="3"/>
  <c r="W50" i="3"/>
  <c r="X50" i="3"/>
  <c r="Y50" i="3"/>
  <c r="Z50" i="3"/>
  <c r="AA50" i="3"/>
  <c r="AB50" i="3"/>
  <c r="Q50" i="3"/>
  <c r="R23" i="3"/>
  <c r="S23" i="3"/>
  <c r="T23" i="3"/>
  <c r="U23" i="3"/>
  <c r="V23" i="3"/>
  <c r="W23" i="3"/>
  <c r="X23" i="3"/>
  <c r="Y23" i="3"/>
  <c r="Z23" i="3"/>
  <c r="AA23" i="3"/>
  <c r="AB23" i="3"/>
  <c r="R35" i="3"/>
  <c r="S35" i="3"/>
  <c r="T35" i="3"/>
  <c r="U35" i="3"/>
  <c r="V35" i="3"/>
  <c r="W35" i="3"/>
  <c r="X35" i="3"/>
  <c r="Y35" i="3"/>
  <c r="Z35" i="3"/>
  <c r="AA35" i="3"/>
  <c r="AB35" i="3"/>
  <c r="R36" i="3"/>
  <c r="S36" i="3"/>
  <c r="T36" i="3"/>
  <c r="U36" i="3"/>
  <c r="V36" i="3"/>
  <c r="W36" i="3"/>
  <c r="X36" i="3"/>
  <c r="Y36" i="3"/>
  <c r="Z36" i="3"/>
  <c r="AA36" i="3"/>
  <c r="AB36" i="3"/>
  <c r="R38" i="3"/>
  <c r="S38" i="3"/>
  <c r="T38" i="3"/>
  <c r="U38" i="3"/>
  <c r="V38" i="3"/>
  <c r="W38" i="3"/>
  <c r="X38" i="3"/>
  <c r="Y38" i="3"/>
  <c r="Z38" i="3"/>
  <c r="AA38" i="3"/>
  <c r="AB38" i="3"/>
  <c r="R46" i="3"/>
  <c r="S46" i="3"/>
  <c r="T46" i="3"/>
  <c r="U46" i="3"/>
  <c r="V46" i="3"/>
  <c r="W46" i="3"/>
  <c r="X46" i="3"/>
  <c r="Y46" i="3"/>
  <c r="Z46" i="3"/>
  <c r="AA46" i="3"/>
  <c r="AB46" i="3"/>
  <c r="Q46" i="3"/>
  <c r="Q38" i="3"/>
  <c r="Q36" i="3"/>
  <c r="Q35" i="3"/>
  <c r="Q23" i="3"/>
  <c r="R15" i="3"/>
  <c r="S15" i="3"/>
  <c r="T15" i="3"/>
  <c r="U15" i="3"/>
  <c r="V15" i="3"/>
  <c r="W15" i="3"/>
  <c r="X15" i="3"/>
  <c r="Y15" i="3"/>
  <c r="Z15" i="3"/>
  <c r="AA15" i="3"/>
  <c r="AB15" i="3"/>
  <c r="Q15" i="3"/>
  <c r="P3" i="1"/>
  <c r="AP7" i="1"/>
  <c r="O10" i="14" s="1"/>
  <c r="BC7" i="1"/>
  <c r="U10" i="14" s="1"/>
  <c r="AP14" i="1"/>
  <c r="O17" i="14" s="1"/>
  <c r="BC14" i="1"/>
  <c r="U17" i="14" s="1"/>
  <c r="AP18" i="1"/>
  <c r="O21" i="14" s="1"/>
  <c r="BC18" i="1"/>
  <c r="U21" i="14" s="1"/>
  <c r="AP19" i="1"/>
  <c r="O22" i="14" s="1"/>
  <c r="BC19" i="1"/>
  <c r="U22" i="14" s="1"/>
  <c r="AP20" i="1"/>
  <c r="O23" i="14" s="1"/>
  <c r="BC20" i="1"/>
  <c r="U23" i="14" s="1"/>
  <c r="AP22" i="1"/>
  <c r="O25" i="14" s="1"/>
  <c r="BC22" i="1"/>
  <c r="U25" i="14" s="1"/>
  <c r="AP23" i="1"/>
  <c r="O26" i="14" s="1"/>
  <c r="BC23" i="1"/>
  <c r="U26" i="14" s="1"/>
  <c r="BC25" i="1"/>
  <c r="U28" i="14" s="1"/>
  <c r="AP26" i="1"/>
  <c r="O29" i="14" s="1"/>
  <c r="BC26" i="1"/>
  <c r="U29" i="14" s="1"/>
  <c r="AP27" i="1"/>
  <c r="O30" i="14" s="1"/>
  <c r="BC27" i="1"/>
  <c r="U30" i="14" s="1"/>
  <c r="AP31" i="1"/>
  <c r="O34" i="14" s="1"/>
  <c r="BC31" i="1"/>
  <c r="U34" i="14" s="1"/>
  <c r="AP33" i="1"/>
  <c r="O36" i="14" s="1"/>
  <c r="BC33" i="1"/>
  <c r="U36" i="14" s="1"/>
  <c r="AP34" i="1"/>
  <c r="O37" i="14" s="1"/>
  <c r="BC34" i="1"/>
  <c r="U37" i="14" s="1"/>
  <c r="AP35" i="1"/>
  <c r="O38" i="14" s="1"/>
  <c r="W38" i="14" s="1"/>
  <c r="BC35" i="1"/>
  <c r="U38" i="14" s="1"/>
  <c r="AP36" i="1"/>
  <c r="O39" i="14" s="1"/>
  <c r="BC36" i="1"/>
  <c r="U39" i="14" s="1"/>
  <c r="AP37" i="1"/>
  <c r="O40" i="14" s="1"/>
  <c r="BC37" i="1"/>
  <c r="U40" i="14" s="1"/>
  <c r="AP38" i="1"/>
  <c r="O41" i="14" s="1"/>
  <c r="BC38" i="1"/>
  <c r="U41" i="14" s="1"/>
  <c r="AP39" i="1"/>
  <c r="O42" i="14"/>
  <c r="BC39" i="1"/>
  <c r="U42" i="14" s="1"/>
  <c r="AP40" i="1"/>
  <c r="O43" i="14" s="1"/>
  <c r="BC40" i="1"/>
  <c r="U43" i="14" s="1"/>
  <c r="AP42" i="1"/>
  <c r="O45" i="14" s="1"/>
  <c r="BC42" i="1"/>
  <c r="U45" i="14" s="1"/>
  <c r="AP43" i="1"/>
  <c r="O46" i="14" s="1"/>
  <c r="BC43" i="1"/>
  <c r="U46" i="14" s="1"/>
  <c r="AP44" i="1"/>
  <c r="O47" i="14" s="1"/>
  <c r="BC44" i="1"/>
  <c r="U47" i="14" s="1"/>
  <c r="AP45" i="1"/>
  <c r="O48" i="14" s="1"/>
  <c r="BC45" i="1"/>
  <c r="U48" i="14" s="1"/>
  <c r="AP46" i="1"/>
  <c r="O49" i="14" s="1"/>
  <c r="BC46" i="1"/>
  <c r="U49" i="14" s="1"/>
  <c r="AP49" i="1"/>
  <c r="O52" i="14" s="1"/>
  <c r="BC49" i="1"/>
  <c r="U52" i="14" s="1"/>
  <c r="AP51" i="1"/>
  <c r="O54" i="14" s="1"/>
  <c r="BC51" i="1"/>
  <c r="U54" i="14" s="1"/>
  <c r="O64" i="3"/>
  <c r="AC14" i="1"/>
  <c r="I17" i="14" s="1"/>
  <c r="AC18" i="1"/>
  <c r="I21" i="14" s="1"/>
  <c r="AC19" i="1"/>
  <c r="I22" i="14" s="1"/>
  <c r="AC20" i="1"/>
  <c r="I23" i="14" s="1"/>
  <c r="AC22" i="1"/>
  <c r="I25" i="14" s="1"/>
  <c r="AC23" i="1"/>
  <c r="I26" i="14" s="1"/>
  <c r="AC25" i="1"/>
  <c r="AC31" i="1"/>
  <c r="I34" i="14" s="1"/>
  <c r="AC33" i="1"/>
  <c r="I36" i="14" s="1"/>
  <c r="AC34" i="1"/>
  <c r="I37" i="14" s="1"/>
  <c r="AC35" i="1"/>
  <c r="I38" i="14" s="1"/>
  <c r="AC36" i="1"/>
  <c r="I39" i="14" s="1"/>
  <c r="AC37" i="1"/>
  <c r="I40" i="14" s="1"/>
  <c r="AC38" i="1"/>
  <c r="I41" i="14" s="1"/>
  <c r="AC39" i="1"/>
  <c r="I42" i="14" s="1"/>
  <c r="AC40" i="1"/>
  <c r="I43" i="14" s="1"/>
  <c r="AC42" i="1"/>
  <c r="I45" i="14" s="1"/>
  <c r="AC43" i="1"/>
  <c r="I46" i="14" s="1"/>
  <c r="AC44" i="1"/>
  <c r="I47" i="14" s="1"/>
  <c r="AC45" i="1"/>
  <c r="I48" i="14" s="1"/>
  <c r="AC46" i="1"/>
  <c r="I49" i="14" s="1"/>
  <c r="AC49" i="1"/>
  <c r="I52" i="14" s="1"/>
  <c r="AC51" i="1"/>
  <c r="I54" i="14" s="1"/>
  <c r="H64" i="3"/>
  <c r="E64" i="3"/>
  <c r="M64" i="3"/>
  <c r="I64" i="3"/>
  <c r="D64" i="3"/>
  <c r="L64" i="3"/>
  <c r="F64" i="3"/>
  <c r="J64" i="3"/>
  <c r="N64" i="3"/>
  <c r="G64" i="3"/>
  <c r="K64" i="3"/>
  <c r="Q52" i="3"/>
  <c r="P4" i="1"/>
  <c r="D52" i="3"/>
  <c r="E1" i="3"/>
  <c r="F1" i="3"/>
  <c r="G1" i="3"/>
  <c r="H1" i="3"/>
  <c r="I1" i="3"/>
  <c r="J1" i="3"/>
  <c r="K1" i="3"/>
  <c r="L1" i="3"/>
  <c r="M1" i="3"/>
  <c r="N1" i="3"/>
  <c r="O1" i="3"/>
  <c r="D1" i="3"/>
  <c r="C16" i="9"/>
  <c r="C27" i="9"/>
  <c r="O52" i="3"/>
  <c r="N52" i="3"/>
  <c r="M52" i="3"/>
  <c r="L52" i="3"/>
  <c r="K52" i="3"/>
  <c r="J52" i="3"/>
  <c r="I52" i="3"/>
  <c r="H52" i="3"/>
  <c r="G52" i="3"/>
  <c r="F52" i="3"/>
  <c r="E52" i="3"/>
  <c r="D46" i="3"/>
  <c r="D38" i="3"/>
  <c r="D36" i="3"/>
  <c r="D35" i="3"/>
  <c r="D23" i="3"/>
  <c r="E50" i="3"/>
  <c r="F50" i="3"/>
  <c r="G50" i="3"/>
  <c r="H50" i="3"/>
  <c r="I50" i="3"/>
  <c r="J50" i="3"/>
  <c r="K50" i="3"/>
  <c r="L50" i="3"/>
  <c r="M50" i="3"/>
  <c r="N50" i="3"/>
  <c r="O50" i="3"/>
  <c r="D50" i="3"/>
  <c r="E15" i="3"/>
  <c r="F15" i="3"/>
  <c r="G15" i="3"/>
  <c r="H15" i="3"/>
  <c r="I15" i="3"/>
  <c r="J15" i="3"/>
  <c r="K15" i="3"/>
  <c r="L15" i="3"/>
  <c r="M15" i="3"/>
  <c r="N15" i="3"/>
  <c r="O15" i="3"/>
  <c r="D15" i="3"/>
  <c r="P58" i="3"/>
  <c r="U1" i="2"/>
  <c r="R1" i="19" s="1"/>
  <c r="V1" i="2"/>
  <c r="S1" i="19" s="1"/>
  <c r="W1" i="2"/>
  <c r="T1" i="1" s="1"/>
  <c r="X1" i="2"/>
  <c r="U1" i="19" s="1"/>
  <c r="Y1" i="2"/>
  <c r="V1" i="19" s="1"/>
  <c r="Z1" i="2"/>
  <c r="AA1" i="2"/>
  <c r="AB1" i="2"/>
  <c r="AC1" i="2"/>
  <c r="Z1" i="19" s="1"/>
  <c r="AD1" i="2"/>
  <c r="AA1" i="1" s="1"/>
  <c r="AE1" i="2"/>
  <c r="AB1" i="1" s="1"/>
  <c r="T1" i="2"/>
  <c r="Q1" i="19" s="1"/>
  <c r="Z1" i="1"/>
  <c r="Z1" i="3"/>
  <c r="V1" i="1"/>
  <c r="R1" i="3"/>
  <c r="AH1" i="2"/>
  <c r="AL1" i="2"/>
  <c r="C46" i="4"/>
  <c r="M12" i="1" s="1"/>
  <c r="M13" i="3" s="1"/>
  <c r="E26" i="5"/>
  <c r="E1" i="1"/>
  <c r="F1" i="1"/>
  <c r="G1" i="1"/>
  <c r="H1" i="1"/>
  <c r="I1" i="1"/>
  <c r="J1" i="1"/>
  <c r="K1" i="1"/>
  <c r="L1" i="1"/>
  <c r="M1" i="1"/>
  <c r="N1" i="1"/>
  <c r="O1" i="1"/>
  <c r="D1" i="1"/>
  <c r="C35" i="4"/>
  <c r="C22" i="4"/>
  <c r="D6" i="5" s="1"/>
  <c r="C13" i="4"/>
  <c r="A52" i="3"/>
  <c r="A51" i="3"/>
  <c r="A49" i="3"/>
  <c r="A48" i="3"/>
  <c r="A14" i="3"/>
  <c r="B47" i="3"/>
  <c r="B46" i="3"/>
  <c r="C45" i="3"/>
  <c r="C44" i="3"/>
  <c r="C43" i="3"/>
  <c r="B42" i="3"/>
  <c r="B41" i="3"/>
  <c r="B40" i="3"/>
  <c r="B39" i="3"/>
  <c r="B38" i="3"/>
  <c r="B37" i="3"/>
  <c r="B36" i="3"/>
  <c r="B35" i="3"/>
  <c r="B34" i="3"/>
  <c r="B32" i="3"/>
  <c r="B28" i="3"/>
  <c r="B27" i="3"/>
  <c r="C26" i="3"/>
  <c r="C24" i="3"/>
  <c r="C23" i="3"/>
  <c r="B22" i="3"/>
  <c r="B21" i="3"/>
  <c r="C20" i="3"/>
  <c r="C19" i="3"/>
  <c r="B18" i="3"/>
  <c r="A17" i="3"/>
  <c r="A16" i="3"/>
  <c r="A15" i="3"/>
  <c r="A9" i="3"/>
  <c r="A8" i="3"/>
  <c r="P60" i="3"/>
  <c r="P57" i="3"/>
  <c r="P56" i="3"/>
  <c r="BE23" i="2"/>
  <c r="BD23" i="2"/>
  <c r="BC23" i="2"/>
  <c r="BB23" i="2"/>
  <c r="BA23" i="2"/>
  <c r="AZ23" i="2"/>
  <c r="AY23" i="2"/>
  <c r="AX23" i="2"/>
  <c r="AW23" i="2"/>
  <c r="AV23" i="2"/>
  <c r="AU23" i="2"/>
  <c r="AT23" i="2"/>
  <c r="R23" i="2"/>
  <c r="Q23" i="2"/>
  <c r="P23" i="2"/>
  <c r="O23" i="2"/>
  <c r="N23" i="2"/>
  <c r="M23" i="2"/>
  <c r="L23" i="2"/>
  <c r="K23" i="2"/>
  <c r="J23" i="2"/>
  <c r="I23" i="2"/>
  <c r="H23" i="2"/>
  <c r="BF10" i="2"/>
  <c r="AS10" i="2"/>
  <c r="AF10" i="2"/>
  <c r="S10" i="2"/>
  <c r="BF9" i="2"/>
  <c r="AS9" i="2"/>
  <c r="AF9" i="2"/>
  <c r="S9" i="2"/>
  <c r="BF8" i="2"/>
  <c r="S8" i="2"/>
  <c r="U8" i="2" s="1"/>
  <c r="BF7" i="2"/>
  <c r="S7" i="2"/>
  <c r="BF6" i="2"/>
  <c r="AS6" i="2"/>
  <c r="AF6" i="2"/>
  <c r="S6" i="2"/>
  <c r="BF5" i="2"/>
  <c r="AS5" i="2"/>
  <c r="AF5" i="2"/>
  <c r="S5" i="2"/>
  <c r="BF4" i="2"/>
  <c r="AS4" i="2"/>
  <c r="AF4" i="2"/>
  <c r="S4" i="2"/>
  <c r="BF3" i="2"/>
  <c r="BF23" i="2" s="1"/>
  <c r="AS3" i="2"/>
  <c r="AF3" i="2"/>
  <c r="S3" i="2"/>
  <c r="R25" i="2"/>
  <c r="Q25" i="2"/>
  <c r="P25" i="2"/>
  <c r="O25" i="2"/>
  <c r="N25" i="2"/>
  <c r="M25" i="2"/>
  <c r="L25" i="2"/>
  <c r="K25" i="2"/>
  <c r="J25" i="2"/>
  <c r="I25" i="2"/>
  <c r="H25" i="2"/>
  <c r="G25" i="2"/>
  <c r="A25" i="2"/>
  <c r="R24" i="2"/>
  <c r="Q24" i="2"/>
  <c r="P24" i="2"/>
  <c r="O24" i="2"/>
  <c r="N24" i="2"/>
  <c r="M24" i="2"/>
  <c r="L24" i="2"/>
  <c r="K24" i="2"/>
  <c r="J24" i="2"/>
  <c r="I24" i="2"/>
  <c r="H24" i="2"/>
  <c r="A24" i="2"/>
  <c r="P51" i="1"/>
  <c r="D54" i="14" s="1"/>
  <c r="P49" i="1"/>
  <c r="D52" i="14" s="1"/>
  <c r="P46" i="1"/>
  <c r="D49" i="14" s="1"/>
  <c r="H49" i="14" s="1"/>
  <c r="P45" i="1"/>
  <c r="D48" i="14" s="1"/>
  <c r="P44" i="1"/>
  <c r="D47" i="14" s="1"/>
  <c r="P43" i="1"/>
  <c r="D46" i="14" s="1"/>
  <c r="P42" i="1"/>
  <c r="D45" i="14" s="1"/>
  <c r="P40" i="1"/>
  <c r="D43" i="14" s="1"/>
  <c r="P39" i="1"/>
  <c r="D42" i="14" s="1"/>
  <c r="P38" i="1"/>
  <c r="D41" i="14" s="1"/>
  <c r="P37" i="1"/>
  <c r="D40" i="14" s="1"/>
  <c r="P36" i="1"/>
  <c r="D39" i="14" s="1"/>
  <c r="P35" i="1"/>
  <c r="D38" i="14" s="1"/>
  <c r="P34" i="1"/>
  <c r="D37" i="14" s="1"/>
  <c r="P33" i="1"/>
  <c r="D36" i="14" s="1"/>
  <c r="P31" i="1"/>
  <c r="D34" i="14" s="1"/>
  <c r="P27" i="1"/>
  <c r="P26" i="1"/>
  <c r="P25" i="1"/>
  <c r="D28" i="14" s="1"/>
  <c r="P23" i="1"/>
  <c r="D26" i="14" s="1"/>
  <c r="P22" i="1"/>
  <c r="D25" i="14" s="1"/>
  <c r="P20" i="1"/>
  <c r="D23" i="14" s="1"/>
  <c r="P19" i="1"/>
  <c r="D22" i="14" s="1"/>
  <c r="P18" i="1"/>
  <c r="D21" i="14" s="1"/>
  <c r="P14" i="1"/>
  <c r="D17" i="14" s="1"/>
  <c r="AC7" i="1"/>
  <c r="I10" i="14" s="1"/>
  <c r="P7" i="1"/>
  <c r="D10" i="14" s="1"/>
  <c r="H10" i="14" s="1"/>
  <c r="D35" i="4"/>
  <c r="I28" i="14" l="1"/>
  <c r="AE25" i="1"/>
  <c r="D30" i="14"/>
  <c r="D29" i="14"/>
  <c r="W8" i="2"/>
  <c r="Y8" i="2" s="1"/>
  <c r="AE8" i="2" s="1"/>
  <c r="U29" i="2"/>
  <c r="J44" i="2"/>
  <c r="G5" i="1" s="1"/>
  <c r="M55" i="3"/>
  <c r="M62" i="3" s="1"/>
  <c r="N44" i="2"/>
  <c r="K5" i="1" s="1"/>
  <c r="K6" i="1" s="1"/>
  <c r="L44" i="2"/>
  <c r="I5" i="1" s="1"/>
  <c r="P44" i="2"/>
  <c r="M5" i="1" s="1"/>
  <c r="H44" i="2"/>
  <c r="E5" i="1" s="1"/>
  <c r="G44" i="2"/>
  <c r="D5" i="1" s="1"/>
  <c r="O12" i="1"/>
  <c r="O13" i="3" s="1"/>
  <c r="N12" i="1"/>
  <c r="N13" i="3" s="1"/>
  <c r="P15" i="3"/>
  <c r="R44" i="2"/>
  <c r="O5" i="1" s="1"/>
  <c r="I44" i="2"/>
  <c r="F5" i="1" s="1"/>
  <c r="F6" i="1" s="1"/>
  <c r="M44" i="2"/>
  <c r="J5" i="1" s="1"/>
  <c r="Q44" i="2"/>
  <c r="N5" i="1" s="1"/>
  <c r="N12" i="3" s="1"/>
  <c r="K44" i="2"/>
  <c r="H5" i="1" s="1"/>
  <c r="O44" i="2"/>
  <c r="L5" i="1" s="1"/>
  <c r="AF61" i="3"/>
  <c r="AE62" i="3"/>
  <c r="Y15" i="14"/>
  <c r="Z15" i="14"/>
  <c r="S15" i="14"/>
  <c r="T15" i="14" s="1"/>
  <c r="W15" i="14"/>
  <c r="Q15" i="14"/>
  <c r="M15" i="14"/>
  <c r="N15" i="14" s="1"/>
  <c r="D13" i="3"/>
  <c r="O5" i="14"/>
  <c r="P50" i="3"/>
  <c r="P52" i="3"/>
  <c r="AC15" i="3"/>
  <c r="N55" i="3"/>
  <c r="L55" i="3"/>
  <c r="S23" i="2"/>
  <c r="AZ5" i="1"/>
  <c r="AF25" i="2"/>
  <c r="AS25" i="2"/>
  <c r="S42" i="2"/>
  <c r="AF41" i="2"/>
  <c r="AS37" i="2"/>
  <c r="AT5" i="1"/>
  <c r="AX5" i="1"/>
  <c r="BB5" i="1"/>
  <c r="BB6" i="1" s="1"/>
  <c r="U1" i="1"/>
  <c r="AG1" i="2"/>
  <c r="AD1" i="1" s="1"/>
  <c r="AS5" i="1"/>
  <c r="AW5" i="1"/>
  <c r="S1" i="3"/>
  <c r="U1" i="3"/>
  <c r="Q1" i="3"/>
  <c r="AQ5" i="1"/>
  <c r="AR6" i="3" s="1"/>
  <c r="Q1" i="1"/>
  <c r="AI1" i="2"/>
  <c r="AF1" i="19" s="1"/>
  <c r="BF37" i="2"/>
  <c r="AF36" i="2"/>
  <c r="S43" i="2"/>
  <c r="BF41" i="2"/>
  <c r="AS40" i="2"/>
  <c r="S39" i="2"/>
  <c r="AS38" i="2"/>
  <c r="AS34" i="2"/>
  <c r="AP1" i="2"/>
  <c r="BC1" i="2" s="1"/>
  <c r="AZ1" i="3" s="1"/>
  <c r="V1" i="3"/>
  <c r="S1" i="1"/>
  <c r="BF31" i="2"/>
  <c r="S25" i="2"/>
  <c r="AS42" i="2"/>
  <c r="J55" i="3"/>
  <c r="C1" i="21"/>
  <c r="C1" i="22"/>
  <c r="C1" i="23"/>
  <c r="AI1" i="1"/>
  <c r="AI1" i="19"/>
  <c r="AR1" i="2"/>
  <c r="AO1" i="1" s="1"/>
  <c r="AO1" i="2"/>
  <c r="AL1" i="19" s="1"/>
  <c r="Y1" i="19"/>
  <c r="D1" i="22"/>
  <c r="D1" i="23"/>
  <c r="D1" i="21"/>
  <c r="AF43" i="2"/>
  <c r="BF39" i="2"/>
  <c r="AS36" i="2"/>
  <c r="BF35" i="2"/>
  <c r="BF33" i="2"/>
  <c r="S33" i="2"/>
  <c r="AS30" i="2"/>
  <c r="S30" i="2"/>
  <c r="AE1" i="1"/>
  <c r="AE1" i="19"/>
  <c r="AB1" i="3"/>
  <c r="AB1" i="19"/>
  <c r="AN1" i="2"/>
  <c r="AK1" i="19" s="1"/>
  <c r="X1" i="19"/>
  <c r="T1" i="3"/>
  <c r="T1" i="19"/>
  <c r="AC50" i="3"/>
  <c r="AY1" i="2"/>
  <c r="AU1" i="2"/>
  <c r="X1" i="1"/>
  <c r="AT1" i="2"/>
  <c r="AQ1" i="3" s="1"/>
  <c r="AQ1" i="2"/>
  <c r="AN1" i="19" s="1"/>
  <c r="AA1" i="19"/>
  <c r="AM1" i="2"/>
  <c r="AJ1" i="19" s="1"/>
  <c r="W1" i="19"/>
  <c r="AF1" i="1"/>
  <c r="AK1" i="2"/>
  <c r="AX1" i="2" s="1"/>
  <c r="AU1" i="19" s="1"/>
  <c r="F1" i="21"/>
  <c r="F1" i="22"/>
  <c r="F1" i="23"/>
  <c r="BC15" i="3"/>
  <c r="BF43" i="2"/>
  <c r="S38" i="2"/>
  <c r="AF38" i="2"/>
  <c r="BF36" i="2"/>
  <c r="AS35" i="2"/>
  <c r="AS31" i="2"/>
  <c r="AF30" i="2"/>
  <c r="BF28" i="2"/>
  <c r="AR5" i="1"/>
  <c r="AV5" i="1"/>
  <c r="R1" i="1"/>
  <c r="AJ1" i="2"/>
  <c r="AG1" i="3" s="1"/>
  <c r="X1" i="3"/>
  <c r="Y1" i="3"/>
  <c r="W1" i="3"/>
  <c r="AC52" i="3"/>
  <c r="E1" i="22"/>
  <c r="E1" i="23"/>
  <c r="E1" i="21"/>
  <c r="AP50" i="3"/>
  <c r="BC50" i="3"/>
  <c r="AP52" i="3"/>
  <c r="AF42" i="2"/>
  <c r="BF42" i="2"/>
  <c r="BF40" i="2"/>
  <c r="AF40" i="2"/>
  <c r="S40" i="2"/>
  <c r="AF37" i="2"/>
  <c r="AF34" i="2"/>
  <c r="AF32" i="2"/>
  <c r="AS32" i="2"/>
  <c r="BF32" i="2"/>
  <c r="C29" i="9"/>
  <c r="D29" i="9"/>
  <c r="R61" i="3" s="1"/>
  <c r="F29" i="9"/>
  <c r="AR61" i="3" s="1"/>
  <c r="D55" i="3"/>
  <c r="O55" i="3"/>
  <c r="O62" i="3" s="1"/>
  <c r="BF25" i="2"/>
  <c r="AU5" i="1"/>
  <c r="AS24" i="2"/>
  <c r="S24" i="2"/>
  <c r="BF24" i="2"/>
  <c r="AF24" i="2"/>
  <c r="AL20" i="3"/>
  <c r="Q4" i="3"/>
  <c r="D3" i="6"/>
  <c r="E3" i="6"/>
  <c r="C3" i="6"/>
  <c r="Y27" i="3"/>
  <c r="D7" i="5"/>
  <c r="AB43" i="3"/>
  <c r="AM21" i="3"/>
  <c r="AT24" i="3"/>
  <c r="Q28" i="3"/>
  <c r="AA34" i="3"/>
  <c r="AZ19" i="3"/>
  <c r="W45" i="3"/>
  <c r="Y45" i="3"/>
  <c r="S41" i="3"/>
  <c r="AL24" i="3"/>
  <c r="R32" i="3"/>
  <c r="Y41" i="3"/>
  <c r="U34" i="3"/>
  <c r="AU26" i="3"/>
  <c r="AR44" i="3"/>
  <c r="V31" i="3"/>
  <c r="Q26" i="3"/>
  <c r="Q37" i="3"/>
  <c r="W37" i="3"/>
  <c r="X20" i="3"/>
  <c r="AH27" i="3"/>
  <c r="S26" i="3"/>
  <c r="W27" i="3"/>
  <c r="AB19" i="3"/>
  <c r="AU41" i="3"/>
  <c r="AW20" i="3"/>
  <c r="Q27" i="3"/>
  <c r="AB45" i="3"/>
  <c r="W32" i="3"/>
  <c r="AD19" i="3"/>
  <c r="R41" i="3"/>
  <c r="W20" i="3"/>
  <c r="AJ19" i="3"/>
  <c r="AD28" i="3"/>
  <c r="AI34" i="3"/>
  <c r="AS47" i="3"/>
  <c r="AY5" i="1"/>
  <c r="BA5" i="1"/>
  <c r="D6" i="14"/>
  <c r="K6" i="14" s="1"/>
  <c r="L9" i="6"/>
  <c r="D5" i="14"/>
  <c r="G5" i="14" s="1"/>
  <c r="H5" i="14" s="1"/>
  <c r="L8" i="6"/>
  <c r="X40" i="3"/>
  <c r="AB47" i="3"/>
  <c r="Q44" i="3"/>
  <c r="Q41" i="3"/>
  <c r="Z40" i="3"/>
  <c r="AB34" i="3"/>
  <c r="U27" i="3"/>
  <c r="AH19" i="3"/>
  <c r="AD26" i="3"/>
  <c r="U40" i="3"/>
  <c r="Y28" i="3"/>
  <c r="S20" i="3"/>
  <c r="AJ20" i="3"/>
  <c r="T32" i="3"/>
  <c r="AH32" i="3"/>
  <c r="AY27" i="3"/>
  <c r="AM37" i="3"/>
  <c r="AZ47" i="3"/>
  <c r="BB27" i="3"/>
  <c r="Q47" i="3"/>
  <c r="T47" i="3"/>
  <c r="Y47" i="3"/>
  <c r="Z45" i="3"/>
  <c r="AA47" i="3"/>
  <c r="Q19" i="3"/>
  <c r="V47" i="3"/>
  <c r="R45" i="3"/>
  <c r="T43" i="3"/>
  <c r="R40" i="3"/>
  <c r="X34" i="3"/>
  <c r="X26" i="3"/>
  <c r="Y21" i="3"/>
  <c r="AA19" i="3"/>
  <c r="AD20" i="3"/>
  <c r="AL21" i="3"/>
  <c r="AH26" i="3"/>
  <c r="Z41" i="3"/>
  <c r="Z37" i="3"/>
  <c r="S34" i="3"/>
  <c r="AB21" i="3"/>
  <c r="AE19" i="3"/>
  <c r="AI27" i="3"/>
  <c r="V34" i="3"/>
  <c r="W21" i="3"/>
  <c r="AF24" i="3"/>
  <c r="T41" i="3"/>
  <c r="R27" i="3"/>
  <c r="AO21" i="3"/>
  <c r="AL37" i="3"/>
  <c r="AY19" i="3"/>
  <c r="AQ34" i="3"/>
  <c r="AQ47" i="3"/>
  <c r="AM41" i="3"/>
  <c r="AV28" i="3"/>
  <c r="AN37" i="3"/>
  <c r="AS34" i="3"/>
  <c r="AK43" i="3"/>
  <c r="AT40" i="3"/>
  <c r="AR31" i="3"/>
  <c r="Q20" i="3"/>
  <c r="Q43" i="3"/>
  <c r="Q45" i="3"/>
  <c r="AA43" i="3"/>
  <c r="AB44" i="3"/>
  <c r="X43" i="3"/>
  <c r="S32" i="3"/>
  <c r="S24" i="3"/>
  <c r="T20" i="3"/>
  <c r="AH21" i="3"/>
  <c r="W43" i="3"/>
  <c r="W34" i="3"/>
  <c r="Z24" i="3"/>
  <c r="AM24" i="3"/>
  <c r="V26" i="3"/>
  <c r="R44" i="3"/>
  <c r="AK19" i="3"/>
  <c r="AL45" i="3"/>
  <c r="AY43" i="3"/>
  <c r="AV21" i="3"/>
  <c r="AS26" i="3"/>
  <c r="AK32" i="3"/>
  <c r="Z30" i="3"/>
  <c r="U47" i="3"/>
  <c r="V45" i="3"/>
  <c r="X44" i="3"/>
  <c r="T44" i="3"/>
  <c r="W47" i="3"/>
  <c r="Q32" i="3"/>
  <c r="R47" i="3"/>
  <c r="Y44" i="3"/>
  <c r="W41" i="3"/>
  <c r="AA37" i="3"/>
  <c r="T34" i="3"/>
  <c r="R28" i="3"/>
  <c r="T26" i="3"/>
  <c r="U21" i="3"/>
  <c r="S19" i="3"/>
  <c r="AH20" i="3"/>
  <c r="AD24" i="3"/>
  <c r="AD27" i="3"/>
  <c r="V41" i="3"/>
  <c r="V37" i="3"/>
  <c r="V32" i="3"/>
  <c r="X21" i="3"/>
  <c r="AE20" i="3"/>
  <c r="W44" i="3"/>
  <c r="U32" i="3"/>
  <c r="V20" i="3"/>
  <c r="AF26" i="3"/>
  <c r="S40" i="3"/>
  <c r="X24" i="3"/>
  <c r="AD41" i="3"/>
  <c r="AQ21" i="3"/>
  <c r="AU37" i="3"/>
  <c r="AE28" i="3"/>
  <c r="AI44" i="3"/>
  <c r="AR37" i="3"/>
  <c r="AJ43" i="3"/>
  <c r="BA40" i="3"/>
  <c r="AG47" i="3"/>
  <c r="BB45" i="3"/>
  <c r="S27" i="2"/>
  <c r="BF27" i="2"/>
  <c r="AS27" i="2"/>
  <c r="AF4" i="3"/>
  <c r="AG33" i="3"/>
  <c r="AA31" i="3"/>
  <c r="AS31" i="3"/>
  <c r="AW31" i="3"/>
  <c r="Y31" i="3"/>
  <c r="BB44" i="3"/>
  <c r="AX34" i="3"/>
  <c r="BB26" i="3"/>
  <c r="BB20" i="3"/>
  <c r="AO44" i="3"/>
  <c r="AG40" i="3"/>
  <c r="AG32" i="3"/>
  <c r="AW44" i="3"/>
  <c r="BA37" i="3"/>
  <c r="BA28" i="3"/>
  <c r="BA21" i="3"/>
  <c r="AF47" i="3"/>
  <c r="AF43" i="3"/>
  <c r="AF34" i="3"/>
  <c r="AZ45" i="3"/>
  <c r="AZ41" i="3"/>
  <c r="AZ32" i="3"/>
  <c r="AR26" i="3"/>
  <c r="AR21" i="3"/>
  <c r="AI47" i="3"/>
  <c r="AE44" i="3"/>
  <c r="AE41" i="3"/>
  <c r="AE37" i="3"/>
  <c r="AI32" i="3"/>
  <c r="AM27" i="3"/>
  <c r="AQ45" i="3"/>
  <c r="AU43" i="3"/>
  <c r="AY40" i="3"/>
  <c r="AY34" i="3"/>
  <c r="AQ32" i="3"/>
  <c r="AU27" i="3"/>
  <c r="AU24" i="3"/>
  <c r="AY20" i="3"/>
  <c r="AQ19" i="3"/>
  <c r="AD45" i="3"/>
  <c r="AH43" i="3"/>
  <c r="AL40" i="3"/>
  <c r="AL34" i="3"/>
  <c r="AD32" i="3"/>
  <c r="AK27" i="3"/>
  <c r="AK24" i="3"/>
  <c r="AO20" i="3"/>
  <c r="AG19" i="3"/>
  <c r="R21" i="3"/>
  <c r="AB24" i="3"/>
  <c r="X32" i="3"/>
  <c r="T37" i="3"/>
  <c r="W40" i="3"/>
  <c r="AB41" i="3"/>
  <c r="V44" i="3"/>
  <c r="AF27" i="3"/>
  <c r="AN24" i="3"/>
  <c r="AJ21" i="3"/>
  <c r="AF20" i="3"/>
  <c r="U19" i="3"/>
  <c r="Z20" i="3"/>
  <c r="U24" i="3"/>
  <c r="Z26" i="3"/>
  <c r="Y32" i="3"/>
  <c r="U37" i="3"/>
  <c r="AB40" i="3"/>
  <c r="V43" i="3"/>
  <c r="AA44" i="3"/>
  <c r="AM26" i="3"/>
  <c r="AI24" i="3"/>
  <c r="AE21" i="3"/>
  <c r="AM19" i="3"/>
  <c r="V19" i="3"/>
  <c r="AR25" i="3"/>
  <c r="AN33" i="3"/>
  <c r="AX33" i="3"/>
  <c r="BB30" i="3"/>
  <c r="AY30" i="3"/>
  <c r="Q31" i="3"/>
  <c r="AE31" i="3"/>
  <c r="AT41" i="3"/>
  <c r="AX32" i="3"/>
  <c r="AX26" i="3"/>
  <c r="AX19" i="3"/>
  <c r="AO43" i="3"/>
  <c r="AO37" i="3"/>
  <c r="AO27" i="3"/>
  <c r="AW43" i="3"/>
  <c r="AW37" i="3"/>
  <c r="AW27" i="3"/>
  <c r="BA20" i="3"/>
  <c r="AN45" i="3"/>
  <c r="AN40" i="3"/>
  <c r="AF32" i="3"/>
  <c r="AV45" i="3"/>
  <c r="AV40" i="3"/>
  <c r="AZ28" i="3"/>
  <c r="AZ24" i="3"/>
  <c r="AR20" i="3"/>
  <c r="AM45" i="3"/>
  <c r="AM43" i="3"/>
  <c r="AI40" i="3"/>
  <c r="AM34" i="3"/>
  <c r="AE32" i="3"/>
  <c r="AU47" i="3"/>
  <c r="AY44" i="3"/>
  <c r="AQ43" i="3"/>
  <c r="AQ40" i="3"/>
  <c r="AU34" i="3"/>
  <c r="AY28" i="3"/>
  <c r="AY26" i="3"/>
  <c r="AQ24" i="3"/>
  <c r="AU20" i="3"/>
  <c r="AH47" i="3"/>
  <c r="AL44" i="3"/>
  <c r="AD43" i="3"/>
  <c r="AD40" i="3"/>
  <c r="AH34" i="3"/>
  <c r="AL28" i="3"/>
  <c r="AO26" i="3"/>
  <c r="AG24" i="3"/>
  <c r="AK20" i="3"/>
  <c r="X19" i="3"/>
  <c r="V21" i="3"/>
  <c r="U26" i="3"/>
  <c r="W28" i="3"/>
  <c r="AB32" i="3"/>
  <c r="X37" i="3"/>
  <c r="AA40" i="3"/>
  <c r="U43" i="3"/>
  <c r="Z44" i="3"/>
  <c r="AN26" i="3"/>
  <c r="AJ24" i="3"/>
  <c r="AF21" i="3"/>
  <c r="AN19" i="3"/>
  <c r="Y19" i="3"/>
  <c r="S21" i="3"/>
  <c r="Y24" i="3"/>
  <c r="S27" i="3"/>
  <c r="R34" i="3"/>
  <c r="Y37" i="3"/>
  <c r="U41" i="3"/>
  <c r="Z43" i="3"/>
  <c r="T45" i="3"/>
  <c r="AE24" i="3"/>
  <c r="AM20" i="3"/>
  <c r="AI19" i="3"/>
  <c r="Z33" i="3"/>
  <c r="AU30" i="3"/>
  <c r="AI30" i="3"/>
  <c r="BB37" i="3"/>
  <c r="AT21" i="3"/>
  <c r="AG41" i="3"/>
  <c r="BA45" i="3"/>
  <c r="AS32" i="3"/>
  <c r="AS19" i="3"/>
  <c r="AJ37" i="3"/>
  <c r="AR43" i="3"/>
  <c r="AR27" i="3"/>
  <c r="AR19" i="3"/>
  <c r="AI41" i="3"/>
  <c r="AM32" i="3"/>
  <c r="AY45" i="3"/>
  <c r="AQ41" i="3"/>
  <c r="AU32" i="3"/>
  <c r="AQ26" i="3"/>
  <c r="AU19" i="3"/>
  <c r="AL43" i="3"/>
  <c r="AH37" i="3"/>
  <c r="AL27" i="3"/>
  <c r="AG21" i="3"/>
  <c r="U20" i="3"/>
  <c r="Y34" i="3"/>
  <c r="X41" i="3"/>
  <c r="AJ27" i="3"/>
  <c r="AN21" i="3"/>
  <c r="AF19" i="3"/>
  <c r="AA21" i="3"/>
  <c r="AA27" i="3"/>
  <c r="Z34" i="3"/>
  <c r="R43" i="3"/>
  <c r="AE27" i="3"/>
  <c r="AI21" i="3"/>
  <c r="R19" i="3"/>
  <c r="AA20" i="3"/>
  <c r="R24" i="3"/>
  <c r="W26" i="3"/>
  <c r="AV33" i="3"/>
  <c r="AG31" i="3"/>
  <c r="AQ30" i="3"/>
  <c r="AT32" i="3"/>
  <c r="AK47" i="3"/>
  <c r="AK34" i="3"/>
  <c r="AS43" i="3"/>
  <c r="AW26" i="3"/>
  <c r="AJ44" i="3"/>
  <c r="AN28" i="3"/>
  <c r="AV37" i="3"/>
  <c r="AZ21" i="3"/>
  <c r="AI45" i="3"/>
  <c r="AE40" i="3"/>
  <c r="AI28" i="3"/>
  <c r="AU44" i="3"/>
  <c r="AY37" i="3"/>
  <c r="AQ28" i="3"/>
  <c r="AY21" i="3"/>
  <c r="AD47" i="3"/>
  <c r="AH41" i="3"/>
  <c r="AD34" i="3"/>
  <c r="AO19" i="3"/>
  <c r="Z21" i="3"/>
  <c r="AA28" i="3"/>
  <c r="AB37" i="3"/>
  <c r="Y43" i="3"/>
  <c r="AJ26" i="3"/>
  <c r="AN20" i="3"/>
  <c r="R20" i="3"/>
  <c r="R26" i="3"/>
  <c r="T40" i="3"/>
  <c r="S44" i="3"/>
  <c r="AE26" i="3"/>
  <c r="AI20" i="3"/>
  <c r="Z19" i="3"/>
  <c r="T21" i="3"/>
  <c r="V24" i="3"/>
  <c r="AA26" i="3"/>
  <c r="U28" i="3"/>
  <c r="Z32" i="3"/>
  <c r="R37" i="3"/>
  <c r="Y40" i="3"/>
  <c r="S43" i="3"/>
  <c r="AL26" i="3"/>
  <c r="AH24" i="3"/>
  <c r="AD21" i="3"/>
  <c r="AL19" i="3"/>
  <c r="W19" i="3"/>
  <c r="AB20" i="3"/>
  <c r="W24" i="3"/>
  <c r="AB26" i="3"/>
  <c r="AA32" i="3"/>
  <c r="S37" i="3"/>
  <c r="V40" i="3"/>
  <c r="AA41" i="3"/>
  <c r="U44" i="3"/>
  <c r="X45" i="3"/>
  <c r="Z47" i="3"/>
  <c r="Q24" i="3"/>
  <c r="S47" i="3"/>
  <c r="Q40" i="3"/>
  <c r="X47" i="3"/>
  <c r="AA45" i="3"/>
  <c r="U45" i="3"/>
  <c r="Q21" i="3"/>
  <c r="Q34" i="3"/>
  <c r="AQ33" i="3"/>
  <c r="AB11" i="3"/>
  <c r="X11" i="3"/>
  <c r="T11" i="3"/>
  <c r="AA11" i="3"/>
  <c r="W11" i="3"/>
  <c r="S11" i="3"/>
  <c r="Z11" i="3"/>
  <c r="V11" i="3"/>
  <c r="R11" i="3"/>
  <c r="Y11" i="3"/>
  <c r="U11" i="3"/>
  <c r="Q11" i="3"/>
  <c r="P35" i="3"/>
  <c r="AC23" i="3"/>
  <c r="S28" i="3"/>
  <c r="Y26" i="3"/>
  <c r="T24" i="3"/>
  <c r="Y20" i="3"/>
  <c r="T19" i="3"/>
  <c r="AG20" i="3"/>
  <c r="AK21" i="3"/>
  <c r="AO24" i="3"/>
  <c r="AG27" i="3"/>
  <c r="AH28" i="3"/>
  <c r="AL32" i="3"/>
  <c r="AD37" i="3"/>
  <c r="AH40" i="3"/>
  <c r="AL41" i="3"/>
  <c r="AD44" i="3"/>
  <c r="AH45" i="3"/>
  <c r="AL47" i="3"/>
  <c r="AQ20" i="3"/>
  <c r="AU21" i="3"/>
  <c r="AY24" i="3"/>
  <c r="AQ27" i="3"/>
  <c r="AU28" i="3"/>
  <c r="AY32" i="3"/>
  <c r="AQ37" i="3"/>
  <c r="AU40" i="3"/>
  <c r="AY41" i="3"/>
  <c r="AQ44" i="3"/>
  <c r="AU45" i="3"/>
  <c r="AY47" i="3"/>
  <c r="AM28" i="3"/>
  <c r="AE34" i="3"/>
  <c r="AI37" i="3"/>
  <c r="AM40" i="3"/>
  <c r="AE43" i="3"/>
  <c r="AE45" i="3"/>
  <c r="AM47" i="3"/>
  <c r="AV20" i="3"/>
  <c r="AV24" i="3"/>
  <c r="AV27" i="3"/>
  <c r="AR34" i="3"/>
  <c r="AZ40" i="3"/>
  <c r="AV44" i="3"/>
  <c r="AN27" i="3"/>
  <c r="AJ34" i="3"/>
  <c r="AF41" i="3"/>
  <c r="AN44" i="3"/>
  <c r="AW19" i="3"/>
  <c r="AS24" i="3"/>
  <c r="BA27" i="3"/>
  <c r="AW34" i="3"/>
  <c r="AS41" i="3"/>
  <c r="BA44" i="3"/>
  <c r="AG28" i="3"/>
  <c r="AO34" i="3"/>
  <c r="AK41" i="3"/>
  <c r="AG45" i="3"/>
  <c r="BB19" i="3"/>
  <c r="AX24" i="3"/>
  <c r="AT28" i="3"/>
  <c r="BB34" i="3"/>
  <c r="AT43" i="3"/>
  <c r="BA30" i="3"/>
  <c r="AG30" i="3"/>
  <c r="AF31" i="3"/>
  <c r="AV30" i="3"/>
  <c r="AC38" i="3"/>
  <c r="AC36" i="3"/>
  <c r="AP23" i="3"/>
  <c r="BC36" i="3"/>
  <c r="AL25" i="3"/>
  <c r="AK25" i="3"/>
  <c r="Q25" i="3"/>
  <c r="P23" i="3"/>
  <c r="P36" i="3"/>
  <c r="P38" i="3"/>
  <c r="P46" i="3"/>
  <c r="AC35" i="3"/>
  <c r="AP35" i="3"/>
  <c r="AP38" i="3"/>
  <c r="AP46" i="3"/>
  <c r="BC35" i="3"/>
  <c r="BC46" i="3"/>
  <c r="C37" i="4"/>
  <c r="AT8" i="3"/>
  <c r="AH8" i="3"/>
  <c r="AS8" i="3"/>
  <c r="AI8" i="3"/>
  <c r="Y4" i="3"/>
  <c r="AE4" i="3"/>
  <c r="AD55" i="3"/>
  <c r="AS25" i="3"/>
  <c r="AI33" i="3"/>
  <c r="AQ25" i="3"/>
  <c r="W33" i="3"/>
  <c r="AW33" i="3"/>
  <c r="T25" i="3"/>
  <c r="AO25" i="3"/>
  <c r="AK33" i="3"/>
  <c r="W31" i="3"/>
  <c r="AT30" i="3"/>
  <c r="AZ31" i="3"/>
  <c r="W30" i="3"/>
  <c r="AU31" i="3"/>
  <c r="AR30" i="3"/>
  <c r="AS30" i="3"/>
  <c r="U30" i="3"/>
  <c r="AI31" i="3"/>
  <c r="AH30" i="3"/>
  <c r="T31" i="3"/>
  <c r="AL31" i="3"/>
  <c r="AO31" i="3"/>
  <c r="X31" i="3"/>
  <c r="AK30" i="3"/>
  <c r="V30" i="3"/>
  <c r="AJ31" i="3"/>
  <c r="AN30" i="3"/>
  <c r="BB47" i="3"/>
  <c r="AX45" i="3"/>
  <c r="AT44" i="3"/>
  <c r="BB41" i="3"/>
  <c r="Q55" i="3"/>
  <c r="Q62" i="3" s="1"/>
  <c r="Z25" i="3"/>
  <c r="U25" i="3"/>
  <c r="AR33" i="3"/>
  <c r="AA25" i="3"/>
  <c r="AF33" i="3"/>
  <c r="BA33" i="3"/>
  <c r="X25" i="3"/>
  <c r="AD25" i="3"/>
  <c r="T33" i="3"/>
  <c r="AO33" i="3"/>
  <c r="S31" i="3"/>
  <c r="AT31" i="3"/>
  <c r="AV31" i="3"/>
  <c r="S30" i="3"/>
  <c r="AD31" i="3"/>
  <c r="AX31" i="3"/>
  <c r="X30" i="3"/>
  <c r="AH31" i="3"/>
  <c r="AJ30" i="3"/>
  <c r="Z31" i="3"/>
  <c r="AK31" i="3"/>
  <c r="AE30" i="3"/>
  <c r="R30" i="3"/>
  <c r="U31" i="3"/>
  <c r="AB31" i="3"/>
  <c r="AM30" i="3"/>
  <c r="AN31" i="3"/>
  <c r="BA31" i="3"/>
  <c r="AX47" i="3"/>
  <c r="AT45" i="3"/>
  <c r="BB43" i="3"/>
  <c r="AX41" i="3"/>
  <c r="S25" i="3"/>
  <c r="AZ33" i="3"/>
  <c r="S33" i="3"/>
  <c r="BB33" i="3"/>
  <c r="AX30" i="3"/>
  <c r="AA30" i="3"/>
  <c r="AY31" i="3"/>
  <c r="Q30" i="3"/>
  <c r="R31" i="3"/>
  <c r="AB30" i="3"/>
  <c r="AM31" i="3"/>
  <c r="T30" i="3"/>
  <c r="AF30" i="3"/>
  <c r="AX44" i="3"/>
  <c r="BB40" i="3"/>
  <c r="AX37" i="3"/>
  <c r="AT34" i="3"/>
  <c r="BB28" i="3"/>
  <c r="AX27" i="3"/>
  <c r="AT26" i="3"/>
  <c r="BB21" i="3"/>
  <c r="AX20" i="3"/>
  <c r="AT19" i="3"/>
  <c r="AO45" i="3"/>
  <c r="AK44" i="3"/>
  <c r="AG43" i="3"/>
  <c r="AO40" i="3"/>
  <c r="AK37" i="3"/>
  <c r="AG34" i="3"/>
  <c r="AO28" i="3"/>
  <c r="BA47" i="3"/>
  <c r="AW45" i="3"/>
  <c r="AS44" i="3"/>
  <c r="BA41" i="3"/>
  <c r="AW40" i="3"/>
  <c r="AS37" i="3"/>
  <c r="BA32" i="3"/>
  <c r="AW28" i="3"/>
  <c r="AS27" i="3"/>
  <c r="BA24" i="3"/>
  <c r="AW21" i="3"/>
  <c r="AS20" i="3"/>
  <c r="AN47" i="3"/>
  <c r="AJ45" i="3"/>
  <c r="AF44" i="3"/>
  <c r="AN41" i="3"/>
  <c r="AJ40" i="3"/>
  <c r="AF37" i="3"/>
  <c r="AN32" i="3"/>
  <c r="AJ28" i="3"/>
  <c r="AV47" i="3"/>
  <c r="AR45" i="3"/>
  <c r="AZ43" i="3"/>
  <c r="AV41" i="3"/>
  <c r="AR40" i="3"/>
  <c r="AZ34" i="3"/>
  <c r="AV32" i="3"/>
  <c r="AR28" i="3"/>
  <c r="AZ26" i="3"/>
  <c r="AQ55" i="3"/>
  <c r="Y33" i="3"/>
  <c r="AN25" i="3"/>
  <c r="AJ33" i="3"/>
  <c r="AG25" i="3"/>
  <c r="X33" i="3"/>
  <c r="Y25" i="3"/>
  <c r="BB31" i="3"/>
  <c r="AZ30" i="3"/>
  <c r="AO30" i="3"/>
  <c r="AD30" i="3"/>
  <c r="Y30" i="3"/>
  <c r="AW30" i="3"/>
  <c r="AL30" i="3"/>
  <c r="AQ31" i="3"/>
  <c r="AT47" i="3"/>
  <c r="AX43" i="3"/>
  <c r="AX40" i="3"/>
  <c r="AT37" i="3"/>
  <c r="BB32" i="3"/>
  <c r="AX28" i="3"/>
  <c r="AT27" i="3"/>
  <c r="BB24" i="3"/>
  <c r="AX21" i="3"/>
  <c r="AT20" i="3"/>
  <c r="AO47" i="3"/>
  <c r="AK45" i="3"/>
  <c r="AG44" i="3"/>
  <c r="AO41" i="3"/>
  <c r="AK40" i="3"/>
  <c r="AG37" i="3"/>
  <c r="AO32" i="3"/>
  <c r="AK28" i="3"/>
  <c r="AW47" i="3"/>
  <c r="AS45" i="3"/>
  <c r="BA43" i="3"/>
  <c r="AW41" i="3"/>
  <c r="AS40" i="3"/>
  <c r="BA34" i="3"/>
  <c r="AW32" i="3"/>
  <c r="AS28" i="3"/>
  <c r="BA26" i="3"/>
  <c r="AW24" i="3"/>
  <c r="AS21" i="3"/>
  <c r="BA19" i="3"/>
  <c r="AJ47" i="3"/>
  <c r="AF45" i="3"/>
  <c r="AN43" i="3"/>
  <c r="AJ41" i="3"/>
  <c r="AF40" i="3"/>
  <c r="AN34" i="3"/>
  <c r="AJ32" i="3"/>
  <c r="AF28" i="3"/>
  <c r="AR47" i="3"/>
  <c r="AZ44" i="3"/>
  <c r="AV43" i="3"/>
  <c r="AR41" i="3"/>
  <c r="AZ37" i="3"/>
  <c r="AV34" i="3"/>
  <c r="AR32" i="3"/>
  <c r="AZ27" i="3"/>
  <c r="AV26" i="3"/>
  <c r="AR24" i="3"/>
  <c r="AZ20" i="3"/>
  <c r="AV19" i="3"/>
  <c r="AE47" i="3"/>
  <c r="AM44" i="3"/>
  <c r="AI43" i="3"/>
  <c r="AL1" i="1"/>
  <c r="W54" i="14"/>
  <c r="S54" i="14"/>
  <c r="T54" i="14"/>
  <c r="W49" i="14"/>
  <c r="T49" i="14"/>
  <c r="S49" i="14"/>
  <c r="W41" i="14"/>
  <c r="S41" i="14"/>
  <c r="T41" i="14" s="1"/>
  <c r="S39" i="14"/>
  <c r="T39" i="14" s="1"/>
  <c r="W39" i="14"/>
  <c r="S10" i="14"/>
  <c r="T10" i="14"/>
  <c r="W10" i="14"/>
  <c r="AK1" i="3"/>
  <c r="Y52" i="14"/>
  <c r="Z52" i="14"/>
  <c r="Z48" i="14"/>
  <c r="Y48" i="14"/>
  <c r="W45" i="14"/>
  <c r="S45" i="14"/>
  <c r="T45" i="14"/>
  <c r="W37" i="14"/>
  <c r="S37" i="14"/>
  <c r="T37" i="14" s="1"/>
  <c r="W34" i="14"/>
  <c r="S34" i="14"/>
  <c r="T34" i="14" s="1"/>
  <c r="S22" i="14"/>
  <c r="T22" i="14" s="1"/>
  <c r="W22" i="14"/>
  <c r="AN1" i="3"/>
  <c r="AJ1" i="1"/>
  <c r="W52" i="14"/>
  <c r="T52" i="14"/>
  <c r="S52" i="14"/>
  <c r="W48" i="14"/>
  <c r="S48" i="14"/>
  <c r="T48" i="14" s="1"/>
  <c r="W40" i="14"/>
  <c r="S40" i="14"/>
  <c r="T40" i="14" s="1"/>
  <c r="S29" i="14"/>
  <c r="T29" i="14" s="1"/>
  <c r="W29" i="14"/>
  <c r="T26" i="14"/>
  <c r="S26" i="14"/>
  <c r="W26" i="14"/>
  <c r="Z54" i="14"/>
  <c r="Y54" i="14"/>
  <c r="Y49" i="14"/>
  <c r="Z49" i="14"/>
  <c r="W46" i="14"/>
  <c r="T46" i="14"/>
  <c r="S46" i="14"/>
  <c r="W43" i="14"/>
  <c r="S43" i="14"/>
  <c r="T43" i="14" s="1"/>
  <c r="S36" i="14"/>
  <c r="T36" i="14" s="1"/>
  <c r="W36" i="14"/>
  <c r="S23" i="14"/>
  <c r="T23" i="14" s="1"/>
  <c r="W23" i="14"/>
  <c r="S21" i="14"/>
  <c r="T21" i="14" s="1"/>
  <c r="W21" i="14"/>
  <c r="AV1" i="3"/>
  <c r="AR1" i="3"/>
  <c r="AI1" i="3"/>
  <c r="AE1" i="3"/>
  <c r="W47" i="14"/>
  <c r="S47" i="14"/>
  <c r="T47" i="14"/>
  <c r="Z43" i="14"/>
  <c r="Y43" i="14"/>
  <c r="W42" i="14"/>
  <c r="S42" i="14"/>
  <c r="T42" i="14" s="1"/>
  <c r="Z39" i="14"/>
  <c r="Y39" i="14"/>
  <c r="S38" i="14"/>
  <c r="T38" i="14" s="1"/>
  <c r="Y34" i="14"/>
  <c r="Z34" i="14"/>
  <c r="S30" i="14"/>
  <c r="T30" i="14" s="1"/>
  <c r="Z26" i="14"/>
  <c r="Y26" i="14"/>
  <c r="S25" i="14"/>
  <c r="T25" i="14" s="1"/>
  <c r="Y21" i="14"/>
  <c r="Z21" i="14" s="1"/>
  <c r="S17" i="14"/>
  <c r="T17" i="14" s="1"/>
  <c r="J2" i="18"/>
  <c r="F1" i="17"/>
  <c r="AC46" i="3"/>
  <c r="S6" i="14"/>
  <c r="T6" i="14"/>
  <c r="W6" i="14"/>
  <c r="T13" i="14"/>
  <c r="S13" i="14"/>
  <c r="W13" i="14"/>
  <c r="W32" i="14"/>
  <c r="S32" i="14"/>
  <c r="T32" i="14"/>
  <c r="W33" i="14"/>
  <c r="T33" i="14"/>
  <c r="S33" i="14"/>
  <c r="AF33" i="2"/>
  <c r="BF30" i="2"/>
  <c r="AF27" i="2"/>
  <c r="BF26" i="2"/>
  <c r="AS26" i="2"/>
  <c r="AF26" i="2"/>
  <c r="AD33" i="3"/>
  <c r="AU33" i="3"/>
  <c r="AE25" i="3"/>
  <c r="AV25" i="3"/>
  <c r="W25" i="3"/>
  <c r="AW25" i="3"/>
  <c r="AH25" i="3"/>
  <c r="AE33" i="3"/>
  <c r="Q33" i="3"/>
  <c r="AH33" i="3"/>
  <c r="AY33" i="3"/>
  <c r="R25" i="3"/>
  <c r="AI25" i="3"/>
  <c r="AZ25" i="3"/>
  <c r="AF25" i="3"/>
  <c r="AT25" i="3"/>
  <c r="AU25" i="3"/>
  <c r="R33" i="3"/>
  <c r="U33" i="3"/>
  <c r="AL33" i="3"/>
  <c r="V25" i="3"/>
  <c r="AM25" i="3"/>
  <c r="AJ25" i="3"/>
  <c r="AX25" i="3"/>
  <c r="V33" i="3"/>
  <c r="AM33" i="3"/>
  <c r="BA25" i="3"/>
  <c r="AA33" i="3"/>
  <c r="AS33" i="3"/>
  <c r="AB25" i="3"/>
  <c r="BB25" i="3"/>
  <c r="AB33" i="3"/>
  <c r="AT33" i="3"/>
  <c r="Y1" i="1"/>
  <c r="W1" i="1"/>
  <c r="AH1" i="3"/>
  <c r="S5" i="14"/>
  <c r="T5" i="14" s="1"/>
  <c r="W25" i="14"/>
  <c r="Y45" i="14"/>
  <c r="Z45" i="14"/>
  <c r="Y40" i="14"/>
  <c r="Z40" i="14"/>
  <c r="Z36" i="14"/>
  <c r="Y36" i="14"/>
  <c r="Z28" i="14"/>
  <c r="Y28" i="14"/>
  <c r="Z22" i="14"/>
  <c r="Y22" i="14"/>
  <c r="Z33" i="14"/>
  <c r="Y33" i="14"/>
  <c r="AF35" i="2"/>
  <c r="S35" i="2"/>
  <c r="S32" i="2"/>
  <c r="Z35" i="14"/>
  <c r="Y35" i="14"/>
  <c r="AF31" i="2"/>
  <c r="S31" i="2"/>
  <c r="BF29" i="2"/>
  <c r="S29" i="2"/>
  <c r="AV1" i="2"/>
  <c r="AS1" i="19" s="1"/>
  <c r="I2" i="18"/>
  <c r="E1" i="17"/>
  <c r="W30" i="14"/>
  <c r="Z46" i="14"/>
  <c r="Y46" i="14"/>
  <c r="Z41" i="14"/>
  <c r="Y41" i="14"/>
  <c r="Z37" i="14"/>
  <c r="Y37" i="14"/>
  <c r="Y29" i="14"/>
  <c r="Z29" i="14"/>
  <c r="Z23" i="14"/>
  <c r="Y23" i="14"/>
  <c r="Y10" i="14"/>
  <c r="Z10" i="14"/>
  <c r="G1" i="17"/>
  <c r="AP15" i="3"/>
  <c r="AP36" i="3"/>
  <c r="BC23" i="3"/>
  <c r="BC38" i="3"/>
  <c r="BC52" i="3"/>
  <c r="AS43" i="2"/>
  <c r="AS41" i="2"/>
  <c r="S41" i="2"/>
  <c r="Y6" i="14"/>
  <c r="Z6" i="14" s="1"/>
  <c r="Z13" i="14"/>
  <c r="Y13" i="14"/>
  <c r="BF38" i="2"/>
  <c r="Z32" i="14"/>
  <c r="Y32" i="14"/>
  <c r="S36" i="2"/>
  <c r="AS33" i="2"/>
  <c r="W27" i="14"/>
  <c r="S27" i="14"/>
  <c r="T27" i="14"/>
  <c r="Z27" i="14"/>
  <c r="Y27" i="14"/>
  <c r="S28" i="2"/>
  <c r="H2" i="18"/>
  <c r="AA1" i="3"/>
  <c r="AF1" i="3"/>
  <c r="W17" i="14"/>
  <c r="Z47" i="14"/>
  <c r="Y47" i="14"/>
  <c r="Z42" i="14"/>
  <c r="Y42" i="14"/>
  <c r="Y38" i="14"/>
  <c r="Z38" i="14"/>
  <c r="Z30" i="14"/>
  <c r="Y30" i="14"/>
  <c r="Y25" i="14"/>
  <c r="Z25" i="14" s="1"/>
  <c r="Z17" i="14"/>
  <c r="Y17" i="14"/>
  <c r="AS39" i="2"/>
  <c r="AF39" i="2"/>
  <c r="S37" i="2"/>
  <c r="BF34" i="2"/>
  <c r="S34" i="2"/>
  <c r="S26" i="2"/>
  <c r="D1" i="17"/>
  <c r="Y5" i="14"/>
  <c r="Z5" i="14" s="1"/>
  <c r="G35" i="17"/>
  <c r="G36" i="17" s="1"/>
  <c r="AP9" i="1"/>
  <c r="O12" i="14" s="1"/>
  <c r="T35" i="14"/>
  <c r="S35" i="14"/>
  <c r="G51" i="17"/>
  <c r="G52" i="17" s="1"/>
  <c r="X8" i="3"/>
  <c r="AO4" i="3"/>
  <c r="AU4" i="3"/>
  <c r="BA8" i="3"/>
  <c r="W8" i="3"/>
  <c r="S4" i="3"/>
  <c r="AN4" i="3"/>
  <c r="AV4" i="3"/>
  <c r="BB8" i="3"/>
  <c r="V8" i="3"/>
  <c r="R4" i="3"/>
  <c r="AM4" i="3"/>
  <c r="AW4" i="3"/>
  <c r="AY8" i="3"/>
  <c r="U8" i="3"/>
  <c r="AL4" i="3"/>
  <c r="AX4" i="3"/>
  <c r="AZ8" i="3"/>
  <c r="A3" i="6"/>
  <c r="X4" i="3"/>
  <c r="AK4" i="3"/>
  <c r="AY4" i="3"/>
  <c r="S8" i="3"/>
  <c r="AN8" i="3"/>
  <c r="AJ4" i="3"/>
  <c r="AZ4" i="3"/>
  <c r="R8" i="3"/>
  <c r="AM8" i="3"/>
  <c r="AI4" i="3"/>
  <c r="BA4" i="3"/>
  <c r="Q8" i="3"/>
  <c r="AL8" i="3"/>
  <c r="AH4" i="3"/>
  <c r="BB4" i="3"/>
  <c r="AG8" i="3"/>
  <c r="AQ4" i="3"/>
  <c r="AW8" i="3"/>
  <c r="AA8" i="3"/>
  <c r="W4" i="3"/>
  <c r="AF8" i="3"/>
  <c r="AR4" i="3"/>
  <c r="AX8" i="3"/>
  <c r="Z8" i="3"/>
  <c r="V4" i="3"/>
  <c r="AE8" i="3"/>
  <c r="AS4" i="3"/>
  <c r="AU8" i="3"/>
  <c r="Y8" i="3"/>
  <c r="U4" i="3"/>
  <c r="AD8" i="3"/>
  <c r="AT4" i="3"/>
  <c r="AV8" i="3"/>
  <c r="AR8" i="3"/>
  <c r="Z4" i="3"/>
  <c r="AJ8" i="3"/>
  <c r="AG4" i="3"/>
  <c r="AD4" i="3"/>
  <c r="AQ8" i="3"/>
  <c r="AA4" i="3"/>
  <c r="T4" i="3"/>
  <c r="AC9" i="1"/>
  <c r="Q38" i="14"/>
  <c r="M38" i="14"/>
  <c r="N38" i="14" s="1"/>
  <c r="Q33" i="14"/>
  <c r="N33" i="14"/>
  <c r="M33" i="14"/>
  <c r="N32" i="14"/>
  <c r="M32" i="14"/>
  <c r="Q35" i="14"/>
  <c r="N35" i="14"/>
  <c r="M35" i="14"/>
  <c r="Q49" i="14"/>
  <c r="N49" i="14"/>
  <c r="M49" i="14"/>
  <c r="Q25" i="14"/>
  <c r="M25" i="14"/>
  <c r="N25" i="14" s="1"/>
  <c r="Q5" i="14"/>
  <c r="M5" i="14"/>
  <c r="N5" i="14" s="1"/>
  <c r="Q27" i="14"/>
  <c r="M27" i="14"/>
  <c r="N27" i="14"/>
  <c r="Q54" i="14"/>
  <c r="M54" i="14"/>
  <c r="N54" i="14" s="1"/>
  <c r="Q47" i="14"/>
  <c r="M47" i="14"/>
  <c r="N47" i="14"/>
  <c r="Q45" i="14"/>
  <c r="M45" i="14"/>
  <c r="N45" i="14" s="1"/>
  <c r="Q42" i="14"/>
  <c r="M42" i="14"/>
  <c r="N42" i="14"/>
  <c r="Q40" i="14"/>
  <c r="M40" i="14"/>
  <c r="N40" i="14" s="1"/>
  <c r="Q36" i="14"/>
  <c r="M36" i="14"/>
  <c r="N36" i="14" s="1"/>
  <c r="Q28" i="14"/>
  <c r="M28" i="14"/>
  <c r="N28" i="14" s="1"/>
  <c r="Q22" i="14"/>
  <c r="M22" i="14"/>
  <c r="N22" i="14" s="1"/>
  <c r="Q17" i="14"/>
  <c r="M17" i="14"/>
  <c r="N17" i="14" s="1"/>
  <c r="Q6" i="14"/>
  <c r="M6" i="14"/>
  <c r="N6" i="14"/>
  <c r="Q13" i="14"/>
  <c r="N13" i="14"/>
  <c r="M13" i="14"/>
  <c r="Q10" i="14"/>
  <c r="M10" i="14"/>
  <c r="N10" i="14"/>
  <c r="Q52" i="14"/>
  <c r="N52" i="14"/>
  <c r="M52" i="14"/>
  <c r="Q48" i="14"/>
  <c r="M48" i="14"/>
  <c r="N48" i="14" s="1"/>
  <c r="Q46" i="14"/>
  <c r="N46" i="14"/>
  <c r="M46" i="14"/>
  <c r="Q43" i="14"/>
  <c r="M43" i="14"/>
  <c r="N43" i="14" s="1"/>
  <c r="Q41" i="14"/>
  <c r="M41" i="14"/>
  <c r="N41" i="14" s="1"/>
  <c r="Q39" i="14"/>
  <c r="M39" i="14"/>
  <c r="N39" i="14" s="1"/>
  <c r="Q37" i="14"/>
  <c r="M37" i="14"/>
  <c r="N37" i="14" s="1"/>
  <c r="Q34" i="14"/>
  <c r="M34" i="14"/>
  <c r="N34" i="14"/>
  <c r="Q26" i="14"/>
  <c r="N26" i="14"/>
  <c r="M26" i="14"/>
  <c r="Q23" i="14"/>
  <c r="M23" i="14"/>
  <c r="N23" i="14" s="1"/>
  <c r="Q21" i="14"/>
  <c r="M21" i="14"/>
  <c r="N21" i="14" s="1"/>
  <c r="G27" i="14"/>
  <c r="K27" i="14"/>
  <c r="BC9" i="1"/>
  <c r="K21" i="14"/>
  <c r="G21" i="14"/>
  <c r="H21" i="14" s="1"/>
  <c r="K23" i="14"/>
  <c r="G23" i="14"/>
  <c r="H23" i="14" s="1"/>
  <c r="K26" i="14"/>
  <c r="G26" i="14"/>
  <c r="H26" i="14" s="1"/>
  <c r="G29" i="14"/>
  <c r="H29" i="14" s="1"/>
  <c r="K34" i="14"/>
  <c r="G34" i="14"/>
  <c r="H34" i="14" s="1"/>
  <c r="K37" i="14"/>
  <c r="G37" i="14"/>
  <c r="H37" i="14" s="1"/>
  <c r="K39" i="14"/>
  <c r="G39" i="14"/>
  <c r="H39" i="14" s="1"/>
  <c r="K41" i="14"/>
  <c r="G41" i="14"/>
  <c r="H41" i="14" s="1"/>
  <c r="K43" i="14"/>
  <c r="G43" i="14"/>
  <c r="H43" i="14" s="1"/>
  <c r="K46" i="14"/>
  <c r="G46" i="14"/>
  <c r="H46" i="14" s="1"/>
  <c r="K48" i="14"/>
  <c r="G48" i="14"/>
  <c r="H48" i="14" s="1"/>
  <c r="K52" i="14"/>
  <c r="G52" i="14"/>
  <c r="H52" i="14" s="1"/>
  <c r="K32" i="14"/>
  <c r="G32" i="14"/>
  <c r="H32" i="14" s="1"/>
  <c r="K10" i="14"/>
  <c r="G10" i="14"/>
  <c r="K17" i="14"/>
  <c r="G17" i="14"/>
  <c r="H17" i="14" s="1"/>
  <c r="K22" i="14"/>
  <c r="G22" i="14"/>
  <c r="H22" i="14" s="1"/>
  <c r="K25" i="14"/>
  <c r="G25" i="14"/>
  <c r="H25" i="14" s="1"/>
  <c r="K28" i="14"/>
  <c r="G28" i="14"/>
  <c r="H28" i="14" s="1"/>
  <c r="G30" i="14"/>
  <c r="H30" i="14" s="1"/>
  <c r="K36" i="14"/>
  <c r="G36" i="14"/>
  <c r="H36" i="14" s="1"/>
  <c r="K38" i="14"/>
  <c r="G38" i="14"/>
  <c r="H38" i="14" s="1"/>
  <c r="K40" i="14"/>
  <c r="G40" i="14"/>
  <c r="H40" i="14" s="1"/>
  <c r="K42" i="14"/>
  <c r="G42" i="14"/>
  <c r="H42" i="14" s="1"/>
  <c r="K45" i="14"/>
  <c r="G45" i="14"/>
  <c r="H45" i="14" s="1"/>
  <c r="K47" i="14"/>
  <c r="G47" i="14"/>
  <c r="H47" i="14" s="1"/>
  <c r="K49" i="14"/>
  <c r="G49" i="14"/>
  <c r="K54" i="14"/>
  <c r="G54" i="14"/>
  <c r="H54" i="14" s="1"/>
  <c r="K33" i="14"/>
  <c r="G33" i="14"/>
  <c r="H33" i="14" s="1"/>
  <c r="K35" i="14"/>
  <c r="G35" i="14"/>
  <c r="H35" i="14" s="1"/>
  <c r="K13" i="14"/>
  <c r="G13" i="14"/>
  <c r="AB8" i="3"/>
  <c r="F18" i="17"/>
  <c r="AK8" i="3"/>
  <c r="AB4" i="3"/>
  <c r="AO8" i="3"/>
  <c r="T8" i="3"/>
  <c r="G11" i="17"/>
  <c r="F10" i="17"/>
  <c r="F12" i="17" s="1"/>
  <c r="F64" i="17" s="1"/>
  <c r="G44" i="17"/>
  <c r="F36" i="17"/>
  <c r="F44" i="17"/>
  <c r="F52" i="17"/>
  <c r="F19" i="17"/>
  <c r="E19" i="17"/>
  <c r="G19" i="17" s="1"/>
  <c r="D18" i="17"/>
  <c r="D20" i="17" s="1"/>
  <c r="D8" i="5"/>
  <c r="W5" i="14"/>
  <c r="P9" i="1"/>
  <c r="D5" i="5"/>
  <c r="J13" i="4"/>
  <c r="F22" i="4"/>
  <c r="F13" i="4"/>
  <c r="F38" i="4" s="1"/>
  <c r="D13" i="4"/>
  <c r="D38" i="4" s="1"/>
  <c r="H13" i="4"/>
  <c r="D17" i="5"/>
  <c r="E17" i="5" s="1"/>
  <c r="E27" i="5" s="1"/>
  <c r="E18" i="17"/>
  <c r="E20" i="17" s="1"/>
  <c r="E26" i="17"/>
  <c r="G10" i="17"/>
  <c r="E10" i="17"/>
  <c r="E12" i="17" s="1"/>
  <c r="D12" i="17"/>
  <c r="D64" i="17" s="1"/>
  <c r="D44" i="17"/>
  <c r="D52" i="17"/>
  <c r="D36" i="17"/>
  <c r="G18" i="17"/>
  <c r="G26" i="17"/>
  <c r="AG25" i="1" l="1"/>
  <c r="W29" i="2"/>
  <c r="O6" i="1"/>
  <c r="O13" i="1" s="1"/>
  <c r="O12" i="3"/>
  <c r="P12" i="3" s="1"/>
  <c r="O6" i="3"/>
  <c r="S44" i="2"/>
  <c r="AY6" i="1"/>
  <c r="AY13" i="1" s="1"/>
  <c r="BF44" i="2"/>
  <c r="AR6" i="1"/>
  <c r="AR13" i="1" s="1"/>
  <c r="AQ6" i="1"/>
  <c r="AQ13" i="1" s="1"/>
  <c r="AS6" i="3"/>
  <c r="BB6" i="3"/>
  <c r="BB13" i="1"/>
  <c r="AZ6" i="1"/>
  <c r="AZ13" i="1" s="1"/>
  <c r="AV6" i="1"/>
  <c r="AV13" i="1" s="1"/>
  <c r="BA6" i="3"/>
  <c r="AX6" i="1"/>
  <c r="AX13" i="1" s="1"/>
  <c r="AU6" i="1"/>
  <c r="AU13" i="1" s="1"/>
  <c r="AW6" i="3"/>
  <c r="AT6" i="1"/>
  <c r="AT13" i="1"/>
  <c r="M6" i="1"/>
  <c r="M13" i="1" s="1"/>
  <c r="G6" i="3"/>
  <c r="N6" i="3"/>
  <c r="I6" i="3"/>
  <c r="J6" i="1"/>
  <c r="J13" i="1" s="1"/>
  <c r="H6" i="3"/>
  <c r="L6" i="3"/>
  <c r="F13" i="1"/>
  <c r="K6" i="3"/>
  <c r="K13" i="1"/>
  <c r="N62" i="3"/>
  <c r="J62" i="3"/>
  <c r="D62" i="3"/>
  <c r="L62" i="3"/>
  <c r="AP55" i="3"/>
  <c r="AD62" i="3"/>
  <c r="AS61" i="3"/>
  <c r="AR62" i="3"/>
  <c r="BC55" i="3"/>
  <c r="AQ62" i="3"/>
  <c r="S61" i="3"/>
  <c r="R62" i="3"/>
  <c r="AG61" i="3"/>
  <c r="AF62" i="3"/>
  <c r="O15" i="1"/>
  <c r="I12" i="14"/>
  <c r="Q12" i="14" s="1"/>
  <c r="D12" i="14"/>
  <c r="G12" i="14" s="1"/>
  <c r="U12" i="14"/>
  <c r="AW6" i="1"/>
  <c r="AW13" i="1" s="1"/>
  <c r="F6" i="3"/>
  <c r="AZ6" i="3"/>
  <c r="AT6" i="3"/>
  <c r="H6" i="1"/>
  <c r="H13" i="1" s="1"/>
  <c r="BD1" i="2"/>
  <c r="BA1" i="19" s="1"/>
  <c r="BA1" i="2"/>
  <c r="AX1" i="19" s="1"/>
  <c r="AN1" i="1"/>
  <c r="AM1" i="3"/>
  <c r="AK1" i="1"/>
  <c r="AU6" i="3"/>
  <c r="AX6" i="3"/>
  <c r="AD1" i="3"/>
  <c r="AL1" i="3"/>
  <c r="AD1" i="19"/>
  <c r="G6" i="1"/>
  <c r="G13" i="1" s="1"/>
  <c r="BB1" i="2"/>
  <c r="AY1" i="19" s="1"/>
  <c r="AZ1" i="19"/>
  <c r="AS6" i="1"/>
  <c r="AS13" i="1" s="1"/>
  <c r="N6" i="1"/>
  <c r="N13" i="1" s="1"/>
  <c r="AZ1" i="1"/>
  <c r="BA6" i="1"/>
  <c r="BA13" i="1" s="1"/>
  <c r="AZ1" i="2"/>
  <c r="AW1" i="19" s="1"/>
  <c r="AM1" i="19"/>
  <c r="AJ1" i="3"/>
  <c r="AM1" i="1"/>
  <c r="L15" i="1"/>
  <c r="L47" i="1" s="1"/>
  <c r="AV1" i="1"/>
  <c r="AV1" i="19"/>
  <c r="AQ1" i="1"/>
  <c r="AQ1" i="19"/>
  <c r="AG1" i="1"/>
  <c r="AG1" i="19"/>
  <c r="AW1" i="2"/>
  <c r="AH1" i="1"/>
  <c r="AH1" i="19"/>
  <c r="AO1" i="3"/>
  <c r="AO1" i="19"/>
  <c r="BE1" i="2"/>
  <c r="D6" i="3"/>
  <c r="D7" i="3"/>
  <c r="AR1" i="1"/>
  <c r="AR1" i="19"/>
  <c r="A5" i="6"/>
  <c r="S39" i="3" s="1"/>
  <c r="H9" i="6"/>
  <c r="AV6" i="3"/>
  <c r="M6" i="3"/>
  <c r="E6" i="3"/>
  <c r="J6" i="3"/>
  <c r="AA24" i="3"/>
  <c r="AC24" i="3" s="1"/>
  <c r="AY25" i="3"/>
  <c r="AH44" i="3"/>
  <c r="AP44" i="3" s="1"/>
  <c r="Q6" i="3"/>
  <c r="L6" i="1"/>
  <c r="L13" i="1" s="1"/>
  <c r="I6" i="1"/>
  <c r="I13" i="1" s="1"/>
  <c r="D6" i="1"/>
  <c r="D13" i="1" s="1"/>
  <c r="P5" i="1"/>
  <c r="D7" i="14" s="1"/>
  <c r="G7" i="14" s="1"/>
  <c r="H7" i="14" s="1"/>
  <c r="E6" i="1"/>
  <c r="E13" i="1" s="1"/>
  <c r="BC5" i="1"/>
  <c r="U7" i="14" s="1"/>
  <c r="Q5" i="3"/>
  <c r="F5" i="3"/>
  <c r="J5" i="3"/>
  <c r="N5" i="3"/>
  <c r="F7" i="3"/>
  <c r="J7" i="3"/>
  <c r="N7" i="3"/>
  <c r="E5" i="3"/>
  <c r="G5" i="3"/>
  <c r="K5" i="3"/>
  <c r="O5" i="3"/>
  <c r="G7" i="3"/>
  <c r="K7" i="3"/>
  <c r="O7" i="3"/>
  <c r="L5" i="3"/>
  <c r="H7" i="3"/>
  <c r="E7" i="3"/>
  <c r="L7" i="3"/>
  <c r="D5" i="3"/>
  <c r="I5" i="3"/>
  <c r="M5" i="3"/>
  <c r="I7" i="3"/>
  <c r="H5" i="3"/>
  <c r="M7" i="3"/>
  <c r="Q7" i="3"/>
  <c r="S45" i="3"/>
  <c r="AC45" i="3" s="1"/>
  <c r="K5" i="14"/>
  <c r="G6" i="14"/>
  <c r="H6" i="14" s="1"/>
  <c r="AY6" i="3"/>
  <c r="L10" i="6"/>
  <c r="D11" i="6" s="1"/>
  <c r="O48" i="3"/>
  <c r="L48" i="3"/>
  <c r="AN39" i="3"/>
  <c r="AN48" i="3" s="1"/>
  <c r="J48" i="3"/>
  <c r="M48" i="3"/>
  <c r="AL39" i="3"/>
  <c r="AL48" i="3" s="1"/>
  <c r="F48" i="3"/>
  <c r="E48" i="3"/>
  <c r="D48" i="3"/>
  <c r="AV7" i="3"/>
  <c r="AX39" i="3"/>
  <c r="AX48" i="3" s="1"/>
  <c r="N48" i="3"/>
  <c r="BA39" i="3"/>
  <c r="BA48" i="3" s="1"/>
  <c r="I48" i="3"/>
  <c r="X39" i="3"/>
  <c r="H48" i="3"/>
  <c r="K48" i="3"/>
  <c r="R39" i="3"/>
  <c r="R48" i="3" s="1"/>
  <c r="AC41" i="3"/>
  <c r="AC21" i="3"/>
  <c r="AC19" i="3"/>
  <c r="AC20" i="3"/>
  <c r="AC34" i="3"/>
  <c r="AP21" i="3"/>
  <c r="AC44" i="3"/>
  <c r="AC37" i="3"/>
  <c r="AC47" i="3"/>
  <c r="AC26" i="3"/>
  <c r="AP20" i="3"/>
  <c r="AC40" i="3"/>
  <c r="AC43" i="3"/>
  <c r="AC32" i="3"/>
  <c r="AP19" i="3"/>
  <c r="AP24" i="3"/>
  <c r="AP27" i="3"/>
  <c r="AP45" i="3"/>
  <c r="P27" i="3"/>
  <c r="P37" i="3"/>
  <c r="AS7" i="3"/>
  <c r="AP28" i="3"/>
  <c r="AP41" i="3"/>
  <c r="BC28" i="3"/>
  <c r="AP37" i="3"/>
  <c r="BC24" i="3"/>
  <c r="AP43" i="3"/>
  <c r="AT7" i="3"/>
  <c r="BB7" i="3"/>
  <c r="AU7" i="3"/>
  <c r="BA7" i="3"/>
  <c r="P44" i="3"/>
  <c r="BC34" i="3"/>
  <c r="AY7" i="3"/>
  <c r="AR7" i="3"/>
  <c r="AX7" i="3"/>
  <c r="BC20" i="3"/>
  <c r="BC47" i="3"/>
  <c r="P34" i="3"/>
  <c r="P21" i="3"/>
  <c r="BC27" i="3"/>
  <c r="BC19" i="3"/>
  <c r="AW7" i="3"/>
  <c r="P28" i="3"/>
  <c r="AP34" i="3"/>
  <c r="BC33" i="3"/>
  <c r="BC26" i="3"/>
  <c r="BC40" i="3"/>
  <c r="AP32" i="3"/>
  <c r="BC21" i="3"/>
  <c r="BC44" i="3"/>
  <c r="AC31" i="3"/>
  <c r="BC30" i="3"/>
  <c r="P26" i="3"/>
  <c r="BC41" i="3"/>
  <c r="P43" i="3"/>
  <c r="W12" i="14"/>
  <c r="S12" i="14"/>
  <c r="T12" i="14" s="1"/>
  <c r="BC37" i="3"/>
  <c r="P25" i="3"/>
  <c r="AP33" i="3"/>
  <c r="BC43" i="3"/>
  <c r="AC30" i="3"/>
  <c r="BC31" i="3"/>
  <c r="P31" i="3"/>
  <c r="P47" i="3"/>
  <c r="AP40" i="3"/>
  <c r="AP47" i="3"/>
  <c r="P32" i="3"/>
  <c r="P20" i="3"/>
  <c r="AC25" i="3"/>
  <c r="BC45" i="3"/>
  <c r="AP30" i="3"/>
  <c r="AP31" i="3"/>
  <c r="P30" i="3"/>
  <c r="P40" i="3"/>
  <c r="P41" i="3"/>
  <c r="P45" i="3"/>
  <c r="P19" i="3"/>
  <c r="P33" i="3"/>
  <c r="AZ7" i="3"/>
  <c r="BC32" i="3"/>
  <c r="P24" i="3"/>
  <c r="AC55" i="3"/>
  <c r="AC33" i="3"/>
  <c r="AP25" i="3"/>
  <c r="E8" i="5"/>
  <c r="E11" i="5" s="1"/>
  <c r="E29" i="5" s="1"/>
  <c r="A29" i="5" s="1"/>
  <c r="P61" i="3"/>
  <c r="BC4" i="3"/>
  <c r="AS1" i="3"/>
  <c r="AS1" i="1"/>
  <c r="AU1" i="3"/>
  <c r="AU1" i="1"/>
  <c r="BA1" i="3"/>
  <c r="AX1" i="1"/>
  <c r="AX1" i="3"/>
  <c r="AY1" i="3"/>
  <c r="E15" i="1"/>
  <c r="E47" i="1" s="1"/>
  <c r="G20" i="17"/>
  <c r="D15" i="1"/>
  <c r="D47" i="1" s="1"/>
  <c r="F20" i="17"/>
  <c r="G12" i="17"/>
  <c r="G64" i="17" s="1"/>
  <c r="P55" i="3"/>
  <c r="AP8" i="3"/>
  <c r="AC8" i="3"/>
  <c r="AP4" i="3"/>
  <c r="P8" i="3"/>
  <c r="AC4" i="3"/>
  <c r="P4" i="3"/>
  <c r="BC8" i="3"/>
  <c r="AO5" i="3"/>
  <c r="AU5" i="3"/>
  <c r="S5" i="3"/>
  <c r="AR5" i="3"/>
  <c r="AM5" i="3"/>
  <c r="AW5" i="3"/>
  <c r="AT5" i="3"/>
  <c r="AB5" i="3"/>
  <c r="AK5" i="3"/>
  <c r="AY5" i="3"/>
  <c r="AN5" i="3"/>
  <c r="AV5" i="3"/>
  <c r="Z5" i="3"/>
  <c r="AI5" i="3"/>
  <c r="BA5" i="3"/>
  <c r="AL5" i="3"/>
  <c r="AX5" i="3"/>
  <c r="T5" i="3"/>
  <c r="AQ5" i="3"/>
  <c r="W5" i="3"/>
  <c r="AF5" i="3"/>
  <c r="R5" i="3"/>
  <c r="AS5" i="3"/>
  <c r="U5" i="3"/>
  <c r="AD5" i="3"/>
  <c r="X5" i="3"/>
  <c r="AZ5" i="3"/>
  <c r="AH5" i="3"/>
  <c r="AG5" i="3"/>
  <c r="V5" i="3"/>
  <c r="BB5" i="3"/>
  <c r="AA5" i="3"/>
  <c r="AE5" i="3"/>
  <c r="AJ5" i="3"/>
  <c r="Y5" i="3"/>
  <c r="G15" i="1"/>
  <c r="E27" i="17"/>
  <c r="E28" i="17" s="1"/>
  <c r="E62" i="17" s="1"/>
  <c r="F27" i="17"/>
  <c r="D27" i="17"/>
  <c r="D26" i="17"/>
  <c r="H15" i="1"/>
  <c r="F15" i="1"/>
  <c r="D37" i="4"/>
  <c r="F37" i="4"/>
  <c r="J22" i="4"/>
  <c r="J38" i="4" s="1"/>
  <c r="H22" i="4"/>
  <c r="H38" i="4" s="1"/>
  <c r="E64" i="17"/>
  <c r="AI25" i="1" l="1"/>
  <c r="AG26" i="3"/>
  <c r="T28" i="3"/>
  <c r="T27" i="3"/>
  <c r="M12" i="14"/>
  <c r="Y29" i="2"/>
  <c r="P62" i="3"/>
  <c r="T61" i="3"/>
  <c r="S62" i="3"/>
  <c r="AT61" i="3"/>
  <c r="AS62" i="3"/>
  <c r="AG62" i="3"/>
  <c r="AH61" i="3"/>
  <c r="E13" i="3"/>
  <c r="P12" i="1"/>
  <c r="D15" i="14" s="1"/>
  <c r="Y12" i="14"/>
  <c r="Z12" i="14" s="1"/>
  <c r="H12" i="14"/>
  <c r="K12" i="14"/>
  <c r="N12" i="14"/>
  <c r="I15" i="1"/>
  <c r="I47" i="1" s="1"/>
  <c r="I48" i="1" s="1"/>
  <c r="I50" i="1" s="1"/>
  <c r="I52" i="1" s="1"/>
  <c r="J15" i="1"/>
  <c r="J47" i="1" s="1"/>
  <c r="J48" i="1" s="1"/>
  <c r="J50" i="1" s="1"/>
  <c r="J52" i="1" s="1"/>
  <c r="K15" i="1"/>
  <c r="K47" i="1" s="1"/>
  <c r="K48" i="1" s="1"/>
  <c r="K50" i="1" s="1"/>
  <c r="K52" i="1" s="1"/>
  <c r="M15" i="1"/>
  <c r="M47" i="1" s="1"/>
  <c r="M48" i="1" s="1"/>
  <c r="M50" i="1" s="1"/>
  <c r="M52" i="1" s="1"/>
  <c r="N15" i="1"/>
  <c r="N47" i="1" s="1"/>
  <c r="N48" i="1" s="1"/>
  <c r="N50" i="1" s="1"/>
  <c r="N52" i="1" s="1"/>
  <c r="Y7" i="14"/>
  <c r="Z7" i="14" s="1"/>
  <c r="BA1" i="1"/>
  <c r="AY1" i="1"/>
  <c r="BC6" i="1"/>
  <c r="BC13" i="1" s="1"/>
  <c r="AW1" i="3"/>
  <c r="AW1" i="1"/>
  <c r="BB1" i="1"/>
  <c r="BB1" i="19"/>
  <c r="BB1" i="3"/>
  <c r="AT1" i="3"/>
  <c r="AT1" i="19"/>
  <c r="AT1" i="1"/>
  <c r="AR39" i="3"/>
  <c r="AR48" i="3" s="1"/>
  <c r="U39" i="3"/>
  <c r="U48" i="3" s="1"/>
  <c r="AH39" i="3"/>
  <c r="AH48" i="3" s="1"/>
  <c r="AV39" i="3"/>
  <c r="AV48" i="3" s="1"/>
  <c r="AU39" i="3"/>
  <c r="AU48" i="3" s="1"/>
  <c r="BB39" i="3"/>
  <c r="BB48" i="3" s="1"/>
  <c r="AW39" i="3"/>
  <c r="AW48" i="3" s="1"/>
  <c r="T39" i="3"/>
  <c r="T48" i="3" s="1"/>
  <c r="V39" i="3"/>
  <c r="AZ39" i="3"/>
  <c r="AZ48" i="3" s="1"/>
  <c r="Y39" i="3"/>
  <c r="Y48" i="3" s="1"/>
  <c r="AB39" i="3"/>
  <c r="AY39" i="3"/>
  <c r="AY48" i="3" s="1"/>
  <c r="AM39" i="3"/>
  <c r="AM48" i="3" s="1"/>
  <c r="AK39" i="3"/>
  <c r="AT39" i="3"/>
  <c r="AT48" i="3" s="1"/>
  <c r="W39" i="3"/>
  <c r="W48" i="3" s="1"/>
  <c r="AO39" i="3"/>
  <c r="AO48" i="3" s="1"/>
  <c r="AJ39" i="3"/>
  <c r="AJ48" i="3" s="1"/>
  <c r="AI39" i="3"/>
  <c r="AQ39" i="3"/>
  <c r="AQ48" i="3" s="1"/>
  <c r="AF39" i="3"/>
  <c r="AF48" i="3" s="1"/>
  <c r="AS39" i="3"/>
  <c r="AS48" i="3" s="1"/>
  <c r="AA39" i="3"/>
  <c r="AA48" i="3" s="1"/>
  <c r="Z39" i="3"/>
  <c r="AE39" i="3"/>
  <c r="AE48" i="3" s="1"/>
  <c r="Q39" i="3"/>
  <c r="Q48" i="3" s="1"/>
  <c r="AG39" i="3"/>
  <c r="AG48" i="3" s="1"/>
  <c r="AD39" i="3"/>
  <c r="AD48" i="3" s="1"/>
  <c r="D48" i="1"/>
  <c r="D50" i="1" s="1"/>
  <c r="D52" i="1" s="1"/>
  <c r="P6" i="3"/>
  <c r="E48" i="1"/>
  <c r="E50" i="1" s="1"/>
  <c r="E52" i="1" s="1"/>
  <c r="BC25" i="3"/>
  <c r="L48" i="1"/>
  <c r="L50" i="1" s="1"/>
  <c r="L52" i="1" s="1"/>
  <c r="P6" i="1"/>
  <c r="S48" i="3"/>
  <c r="K8" i="6"/>
  <c r="K9" i="6"/>
  <c r="I9" i="6" s="1"/>
  <c r="P39" i="3"/>
  <c r="P48" i="3" s="1"/>
  <c r="G48" i="3"/>
  <c r="P7" i="3"/>
  <c r="G47" i="1"/>
  <c r="G48" i="1" s="1"/>
  <c r="G50" i="1" s="1"/>
  <c r="G52" i="1" s="1"/>
  <c r="P11" i="3"/>
  <c r="AC5" i="3"/>
  <c r="AC11" i="3"/>
  <c r="AP5" i="3"/>
  <c r="P5" i="3"/>
  <c r="BC5" i="3"/>
  <c r="F26" i="17"/>
  <c r="F28" i="17" s="1"/>
  <c r="F62" i="17" s="1"/>
  <c r="G27" i="17"/>
  <c r="G28" i="17" s="1"/>
  <c r="G62" i="17" s="1"/>
  <c r="H47" i="1"/>
  <c r="H48" i="1" s="1"/>
  <c r="H50" i="1" s="1"/>
  <c r="H52" i="1" s="1"/>
  <c r="D28" i="17"/>
  <c r="D62" i="17" s="1"/>
  <c r="O47" i="1"/>
  <c r="O48" i="1" s="1"/>
  <c r="O50" i="1" s="1"/>
  <c r="O52" i="1" s="1"/>
  <c r="F47" i="1"/>
  <c r="F48" i="1" s="1"/>
  <c r="F50" i="1" s="1"/>
  <c r="F52" i="1" s="1"/>
  <c r="J37" i="4"/>
  <c r="H37" i="4"/>
  <c r="AK25" i="1" l="1"/>
  <c r="AK26" i="3" s="1"/>
  <c r="AK48" i="3" s="1"/>
  <c r="AI26" i="3"/>
  <c r="AI48" i="3" s="1"/>
  <c r="AP25" i="1"/>
  <c r="O28" i="14" s="1"/>
  <c r="V28" i="3"/>
  <c r="V27" i="3"/>
  <c r="V48" i="3" s="1"/>
  <c r="AA29" i="2"/>
  <c r="P13" i="3"/>
  <c r="AH62" i="3"/>
  <c r="AI61" i="3"/>
  <c r="AU61" i="3"/>
  <c r="AT62" i="3"/>
  <c r="U61" i="3"/>
  <c r="T62" i="3"/>
  <c r="G15" i="14"/>
  <c r="H15" i="14" s="1"/>
  <c r="K15" i="14"/>
  <c r="D8" i="14"/>
  <c r="G8" i="14" s="1"/>
  <c r="G9" i="14" s="1"/>
  <c r="P13" i="1"/>
  <c r="P15" i="1"/>
  <c r="P47" i="1" s="1"/>
  <c r="U8" i="14"/>
  <c r="U9" i="14" s="1"/>
  <c r="AP39" i="3"/>
  <c r="G8" i="6"/>
  <c r="I8" i="6"/>
  <c r="I10" i="6" s="1"/>
  <c r="B6" i="6" s="1"/>
  <c r="G9" i="6"/>
  <c r="BC39" i="3"/>
  <c r="BC48" i="3" s="1"/>
  <c r="AC39" i="3"/>
  <c r="S15" i="1"/>
  <c r="S47" i="1" s="1"/>
  <c r="W15" i="1"/>
  <c r="W47" i="1" s="1"/>
  <c r="AA15" i="1"/>
  <c r="AA47" i="1" s="1"/>
  <c r="V15" i="1"/>
  <c r="V47" i="1" s="1"/>
  <c r="T15" i="1"/>
  <c r="T47" i="1" s="1"/>
  <c r="X15" i="1"/>
  <c r="X47" i="1" s="1"/>
  <c r="AB15" i="1"/>
  <c r="Z15" i="1"/>
  <c r="U15" i="1"/>
  <c r="U47" i="1" s="1"/>
  <c r="Y15" i="1"/>
  <c r="Y47" i="1" s="1"/>
  <c r="Q15" i="1"/>
  <c r="Q47" i="1" s="1"/>
  <c r="R15" i="1"/>
  <c r="R47" i="1" s="1"/>
  <c r="W28" i="14" l="1"/>
  <c r="S28" i="14"/>
  <c r="T28" i="14" s="1"/>
  <c r="AP26" i="3"/>
  <c r="AP48" i="3"/>
  <c r="X28" i="3"/>
  <c r="X27" i="3"/>
  <c r="AE29" i="2"/>
  <c r="AC29" i="2"/>
  <c r="Z8" i="14"/>
  <c r="V16" i="14"/>
  <c r="V14" i="14"/>
  <c r="V15" i="14"/>
  <c r="U16" i="14"/>
  <c r="Y16" i="14" s="1"/>
  <c r="Z16" i="14" s="1"/>
  <c r="D9" i="14"/>
  <c r="E14" i="14" s="1"/>
  <c r="K8" i="14"/>
  <c r="V61" i="3"/>
  <c r="U62" i="3"/>
  <c r="AI62" i="3"/>
  <c r="AJ61" i="3"/>
  <c r="AV61" i="3"/>
  <c r="AU62" i="3"/>
  <c r="G16" i="14"/>
  <c r="H8" i="14"/>
  <c r="Y8" i="14"/>
  <c r="Y9" i="14" s="1"/>
  <c r="D18" i="14"/>
  <c r="D50" i="14" s="1"/>
  <c r="G50" i="14" s="1"/>
  <c r="H50" i="14" s="1"/>
  <c r="D3" i="17"/>
  <c r="P48" i="1"/>
  <c r="P50" i="1" s="1"/>
  <c r="P52" i="1" s="1"/>
  <c r="D2" i="17" s="1"/>
  <c r="G10" i="6"/>
  <c r="A6" i="6" s="1"/>
  <c r="Z9" i="14"/>
  <c r="AC15" i="1"/>
  <c r="E3" i="17" s="1"/>
  <c r="AG15" i="1"/>
  <c r="AG47" i="1" s="1"/>
  <c r="AN15" i="1"/>
  <c r="AN47" i="1" s="1"/>
  <c r="AI15" i="1"/>
  <c r="AI47" i="1" s="1"/>
  <c r="AH15" i="1"/>
  <c r="AH47" i="1" s="1"/>
  <c r="AJ15" i="1"/>
  <c r="AJ47" i="1" s="1"/>
  <c r="AE15" i="1"/>
  <c r="AE47" i="1" s="1"/>
  <c r="AO15" i="1"/>
  <c r="AO47" i="1" s="1"/>
  <c r="AF15" i="1"/>
  <c r="AF47" i="1" s="1"/>
  <c r="AD15" i="1"/>
  <c r="AK15" i="1"/>
  <c r="AK47" i="1" s="1"/>
  <c r="AM15" i="1"/>
  <c r="AM47" i="1" s="1"/>
  <c r="AL15" i="1"/>
  <c r="AL47" i="1" s="1"/>
  <c r="V52" i="14"/>
  <c r="V17" i="14"/>
  <c r="V23" i="14"/>
  <c r="V38" i="14"/>
  <c r="V26" i="14"/>
  <c r="V43" i="14"/>
  <c r="V25" i="14"/>
  <c r="V28" i="14"/>
  <c r="V12" i="14"/>
  <c r="V54" i="14"/>
  <c r="V36" i="14"/>
  <c r="V21" i="14"/>
  <c r="V5" i="14"/>
  <c r="V10" i="14"/>
  <c r="V29" i="14"/>
  <c r="V6" i="14"/>
  <c r="V34" i="14"/>
  <c r="V42" i="14"/>
  <c r="V32" i="14"/>
  <c r="V8" i="14"/>
  <c r="V45" i="14"/>
  <c r="V39" i="14"/>
  <c r="V49" i="14"/>
  <c r="V41" i="14"/>
  <c r="V33" i="14"/>
  <c r="V7" i="14"/>
  <c r="V40" i="14"/>
  <c r="V22" i="14"/>
  <c r="V9" i="14"/>
  <c r="V35" i="14"/>
  <c r="V27" i="14"/>
  <c r="V46" i="14"/>
  <c r="V30" i="14"/>
  <c r="V48" i="14"/>
  <c r="V47" i="14"/>
  <c r="V37" i="14"/>
  <c r="V13" i="14"/>
  <c r="AB28" i="3" l="1"/>
  <c r="Z28" i="3"/>
  <c r="AC27" i="1"/>
  <c r="I30" i="14" s="1"/>
  <c r="X48" i="3"/>
  <c r="Z27" i="3"/>
  <c r="AC26" i="1"/>
  <c r="I29" i="14" s="1"/>
  <c r="Z47" i="1"/>
  <c r="AF29" i="2"/>
  <c r="AG29" i="2"/>
  <c r="AF8" i="2"/>
  <c r="E47" i="14"/>
  <c r="E34" i="14"/>
  <c r="H9" i="14"/>
  <c r="H16" i="14" s="1"/>
  <c r="E25" i="14"/>
  <c r="E36" i="14"/>
  <c r="E23" i="14"/>
  <c r="E43" i="14"/>
  <c r="E17" i="14"/>
  <c r="E42" i="14"/>
  <c r="E38" i="14"/>
  <c r="E18" i="14"/>
  <c r="E9" i="14"/>
  <c r="E32" i="14"/>
  <c r="E37" i="14"/>
  <c r="E21" i="14"/>
  <c r="E26" i="14"/>
  <c r="E27" i="14"/>
  <c r="E54" i="14"/>
  <c r="E49" i="14"/>
  <c r="E40" i="14"/>
  <c r="E8" i="14"/>
  <c r="E30" i="14"/>
  <c r="E29" i="14"/>
  <c r="D16" i="14"/>
  <c r="E12" i="14"/>
  <c r="E33" i="14"/>
  <c r="E46" i="14"/>
  <c r="E7" i="14"/>
  <c r="E13" i="14"/>
  <c r="E39" i="14"/>
  <c r="E48" i="14"/>
  <c r="E15" i="14"/>
  <c r="E35" i="14"/>
  <c r="E22" i="14"/>
  <c r="E6" i="14"/>
  <c r="E41" i="14"/>
  <c r="E10" i="14"/>
  <c r="E52" i="14"/>
  <c r="E45" i="14"/>
  <c r="E5" i="14"/>
  <c r="E28" i="14"/>
  <c r="AJ62" i="3"/>
  <c r="AK61" i="3"/>
  <c r="AW61" i="3"/>
  <c r="AV62" i="3"/>
  <c r="W61" i="3"/>
  <c r="V62" i="3"/>
  <c r="AD12" i="3"/>
  <c r="AH12" i="3"/>
  <c r="AL12" i="3"/>
  <c r="AQ12" i="3"/>
  <c r="AU12" i="3"/>
  <c r="AY12" i="3"/>
  <c r="AF13" i="3"/>
  <c r="AJ13" i="3"/>
  <c r="AN13" i="3"/>
  <c r="AS13" i="3"/>
  <c r="AW13" i="3"/>
  <c r="BA13" i="3"/>
  <c r="AE12" i="3"/>
  <c r="AI12" i="3"/>
  <c r="AM12" i="3"/>
  <c r="AR12" i="3"/>
  <c r="AV12" i="3"/>
  <c r="AZ12" i="3"/>
  <c r="AG13" i="3"/>
  <c r="AK13" i="3"/>
  <c r="AO13" i="3"/>
  <c r="AT13" i="3"/>
  <c r="AX13" i="3"/>
  <c r="BB13" i="3"/>
  <c r="AF12" i="3"/>
  <c r="AJ12" i="3"/>
  <c r="AN12" i="3"/>
  <c r="AS12" i="3"/>
  <c r="AW12" i="3"/>
  <c r="BA12" i="3"/>
  <c r="AD13" i="3"/>
  <c r="AH13" i="3"/>
  <c r="AL13" i="3"/>
  <c r="AQ13" i="3"/>
  <c r="AU13" i="3"/>
  <c r="AY13" i="3"/>
  <c r="AG12" i="3"/>
  <c r="AK12" i="3"/>
  <c r="AO12" i="3"/>
  <c r="AT12" i="3"/>
  <c r="AX12" i="3"/>
  <c r="BB12" i="3"/>
  <c r="AE13" i="3"/>
  <c r="AI13" i="3"/>
  <c r="AM13" i="3"/>
  <c r="AR13" i="3"/>
  <c r="AV13" i="3"/>
  <c r="AZ13" i="3"/>
  <c r="G18" i="14"/>
  <c r="H18" i="14" s="1"/>
  <c r="D4" i="17"/>
  <c r="I18" i="14"/>
  <c r="M18" i="14" s="1"/>
  <c r="E50" i="14"/>
  <c r="AP15" i="1"/>
  <c r="AD47" i="1"/>
  <c r="AX15" i="1"/>
  <c r="AX47" i="1" s="1"/>
  <c r="AX48" i="1" s="1"/>
  <c r="AX50" i="1" s="1"/>
  <c r="AX52" i="1" s="1"/>
  <c r="AQ15" i="1"/>
  <c r="AS15" i="1"/>
  <c r="AS47" i="1" s="1"/>
  <c r="AS48" i="1" s="1"/>
  <c r="AS50" i="1" s="1"/>
  <c r="AS52" i="1" s="1"/>
  <c r="BB15" i="1"/>
  <c r="BB47" i="1" s="1"/>
  <c r="BB48" i="1" s="1"/>
  <c r="BB50" i="1" s="1"/>
  <c r="BB52" i="1" s="1"/>
  <c r="AR15" i="1"/>
  <c r="AR47" i="1" s="1"/>
  <c r="AR48" i="1" s="1"/>
  <c r="AR50" i="1" s="1"/>
  <c r="AR52" i="1" s="1"/>
  <c r="AW15" i="1"/>
  <c r="AW47" i="1" s="1"/>
  <c r="AW48" i="1" s="1"/>
  <c r="AW50" i="1" s="1"/>
  <c r="AW52" i="1" s="1"/>
  <c r="AU15" i="1"/>
  <c r="AU47" i="1" s="1"/>
  <c r="AU48" i="1" s="1"/>
  <c r="AU50" i="1" s="1"/>
  <c r="AU52" i="1" s="1"/>
  <c r="AV15" i="1"/>
  <c r="AV47" i="1" s="1"/>
  <c r="AV48" i="1" s="1"/>
  <c r="AV50" i="1" s="1"/>
  <c r="AV52" i="1" s="1"/>
  <c r="BA15" i="1"/>
  <c r="BA47" i="1" s="1"/>
  <c r="BA48" i="1" s="1"/>
  <c r="BA50" i="1" s="1"/>
  <c r="BA52" i="1" s="1"/>
  <c r="AT15" i="1"/>
  <c r="AT47" i="1" s="1"/>
  <c r="AT48" i="1" s="1"/>
  <c r="AT50" i="1" s="1"/>
  <c r="AT52" i="1" s="1"/>
  <c r="AY15" i="1"/>
  <c r="AY47" i="1" s="1"/>
  <c r="AY48" i="1" s="1"/>
  <c r="AY50" i="1" s="1"/>
  <c r="AY52" i="1" s="1"/>
  <c r="AZ15" i="1"/>
  <c r="AZ47" i="1" s="1"/>
  <c r="AZ48" i="1" s="1"/>
  <c r="AZ50" i="1" s="1"/>
  <c r="AZ52" i="1" s="1"/>
  <c r="V18" i="14"/>
  <c r="AC28" i="3" l="1"/>
  <c r="Z48" i="3"/>
  <c r="M30" i="14"/>
  <c r="N30" i="14" s="1"/>
  <c r="Q30" i="14"/>
  <c r="K30" i="14"/>
  <c r="Q29" i="14"/>
  <c r="M29" i="14"/>
  <c r="N29" i="14" s="1"/>
  <c r="K29" i="14"/>
  <c r="AB27" i="3"/>
  <c r="AB48" i="3" s="1"/>
  <c r="AB47" i="1"/>
  <c r="AC47" i="1"/>
  <c r="AH29" i="2"/>
  <c r="E16" i="14"/>
  <c r="D51" i="14"/>
  <c r="G51" i="14" s="1"/>
  <c r="H51" i="14" s="1"/>
  <c r="AX61" i="3"/>
  <c r="AW62" i="3"/>
  <c r="AK62" i="3"/>
  <c r="AL61" i="3"/>
  <c r="X61" i="3"/>
  <c r="W62" i="3"/>
  <c r="BC12" i="3"/>
  <c r="AP13" i="3"/>
  <c r="BC13" i="3"/>
  <c r="AP12" i="3"/>
  <c r="K18" i="14"/>
  <c r="I50" i="14"/>
  <c r="M50" i="14" s="1"/>
  <c r="N50" i="14" s="1"/>
  <c r="N18" i="14"/>
  <c r="BC15" i="1"/>
  <c r="AQ47" i="1"/>
  <c r="AQ48" i="1" s="1"/>
  <c r="AQ50" i="1" s="1"/>
  <c r="AQ52" i="1" s="1"/>
  <c r="F3" i="17"/>
  <c r="AP47" i="1"/>
  <c r="O18" i="14"/>
  <c r="AC27" i="3" l="1"/>
  <c r="AC48" i="3" s="1"/>
  <c r="AI29" i="2"/>
  <c r="E51" i="14"/>
  <c r="D53" i="14"/>
  <c r="G53" i="14" s="1"/>
  <c r="H53" i="14" s="1"/>
  <c r="AL62" i="3"/>
  <c r="AM61" i="3"/>
  <c r="Y61" i="3"/>
  <c r="X62" i="3"/>
  <c r="AX62" i="3"/>
  <c r="AY61" i="3"/>
  <c r="K50" i="14"/>
  <c r="S18" i="14"/>
  <c r="T18" i="14" s="1"/>
  <c r="Q18" i="14"/>
  <c r="O50" i="14"/>
  <c r="U18" i="14"/>
  <c r="G3" i="17"/>
  <c r="BC47" i="1"/>
  <c r="BC48" i="1" s="1"/>
  <c r="BC50" i="1" s="1"/>
  <c r="BC52" i="1" s="1"/>
  <c r="G2" i="17" s="1"/>
  <c r="AJ29" i="2" l="1"/>
  <c r="D55" i="14"/>
  <c r="G55" i="14" s="1"/>
  <c r="H55" i="14" s="1"/>
  <c r="E53" i="14"/>
  <c r="Z61" i="3"/>
  <c r="Y62" i="3"/>
  <c r="AY62" i="3"/>
  <c r="AZ61" i="3"/>
  <c r="AM62" i="3"/>
  <c r="AN61" i="3"/>
  <c r="U50" i="14"/>
  <c r="V50" i="14" s="1"/>
  <c r="Y18" i="14"/>
  <c r="Z18" i="14" s="1"/>
  <c r="S50" i="14"/>
  <c r="T50" i="14" s="1"/>
  <c r="G4" i="17"/>
  <c r="Q50" i="14"/>
  <c r="W18" i="14"/>
  <c r="AK29" i="2" l="1"/>
  <c r="E55" i="14"/>
  <c r="AN62" i="3"/>
  <c r="AO61" i="3"/>
  <c r="AO62" i="3" s="1"/>
  <c r="AP61" i="3"/>
  <c r="AP62" i="3" s="1"/>
  <c r="AZ62" i="3"/>
  <c r="BA61" i="3"/>
  <c r="AA61" i="3"/>
  <c r="Z62" i="3"/>
  <c r="W50" i="14"/>
  <c r="U51" i="14"/>
  <c r="V51" i="14" s="1"/>
  <c r="Y50" i="14"/>
  <c r="Z50" i="14" s="1"/>
  <c r="AL29" i="2" l="1"/>
  <c r="AB61" i="3"/>
  <c r="AB62" i="3" s="1"/>
  <c r="AA62" i="3"/>
  <c r="BA62" i="3"/>
  <c r="BB61" i="3"/>
  <c r="Y51" i="14"/>
  <c r="Z51" i="14" s="1"/>
  <c r="U53" i="14"/>
  <c r="V53" i="14" s="1"/>
  <c r="AM29" i="2" l="1"/>
  <c r="AC61" i="3"/>
  <c r="AC62" i="3" s="1"/>
  <c r="BB62" i="3"/>
  <c r="BC61" i="3"/>
  <c r="BC62" i="3" s="1"/>
  <c r="U55" i="14"/>
  <c r="V55" i="14" s="1"/>
  <c r="Y53" i="14"/>
  <c r="Z53" i="14" s="1"/>
  <c r="AN29" i="2" l="1"/>
  <c r="Y55" i="14"/>
  <c r="Z55" i="14" s="1"/>
  <c r="AO29" i="2" l="1"/>
  <c r="AW11" i="3"/>
  <c r="AD11" i="3"/>
  <c r="AO11" i="3"/>
  <c r="AE11" i="3"/>
  <c r="AG10" i="3"/>
  <c r="AJ10" i="3"/>
  <c r="Y10" i="3"/>
  <c r="AK11" i="3"/>
  <c r="AS10" i="3"/>
  <c r="AL11" i="3"/>
  <c r="AY10" i="3"/>
  <c r="AV10" i="3"/>
  <c r="AW10" i="3"/>
  <c r="AX10" i="3"/>
  <c r="AH11" i="3"/>
  <c r="AM10" i="3"/>
  <c r="AK10" i="3"/>
  <c r="AT10" i="3"/>
  <c r="AD10" i="3"/>
  <c r="V10" i="3"/>
  <c r="AQ10" i="3"/>
  <c r="AU11" i="3"/>
  <c r="AJ11" i="3"/>
  <c r="AB10" i="3"/>
  <c r="AE10" i="3"/>
  <c r="S10" i="3"/>
  <c r="AO10" i="3"/>
  <c r="BA11" i="3"/>
  <c r="AT11" i="3"/>
  <c r="T10" i="3"/>
  <c r="AF10" i="3"/>
  <c r="U10" i="3"/>
  <c r="AI10" i="3"/>
  <c r="AM11" i="3"/>
  <c r="X10" i="3"/>
  <c r="W10" i="3"/>
  <c r="BB10" i="3"/>
  <c r="AG11" i="3"/>
  <c r="AF11" i="3"/>
  <c r="AI11" i="3"/>
  <c r="Q10" i="3"/>
  <c r="Q14" i="3" s="1"/>
  <c r="BA10" i="3"/>
  <c r="AR11" i="3"/>
  <c r="AL10" i="3"/>
  <c r="AN11" i="3"/>
  <c r="AN10" i="3"/>
  <c r="AR10" i="3"/>
  <c r="AZ10" i="3"/>
  <c r="Z10" i="3"/>
  <c r="AU10" i="3"/>
  <c r="AA10" i="3"/>
  <c r="AH10" i="3"/>
  <c r="R10" i="3"/>
  <c r="AQ11" i="3"/>
  <c r="AS11" i="3"/>
  <c r="BB11" i="3"/>
  <c r="AZ11" i="3"/>
  <c r="AX11" i="3"/>
  <c r="AY11" i="3"/>
  <c r="AV11" i="3"/>
  <c r="AR14" i="3" l="1"/>
  <c r="AP29" i="2"/>
  <c r="AW14" i="3"/>
  <c r="AW49" i="3" s="1"/>
  <c r="AW51" i="3" s="1"/>
  <c r="AW53" i="3" s="1"/>
  <c r="BA14" i="3"/>
  <c r="BA49" i="3" s="1"/>
  <c r="BA51" i="3" s="1"/>
  <c r="BA53" i="3" s="1"/>
  <c r="AZ14" i="3"/>
  <c r="AZ49" i="3" s="1"/>
  <c r="AZ51" i="3" s="1"/>
  <c r="AZ53" i="3" s="1"/>
  <c r="AT14" i="3"/>
  <c r="AT49" i="3" s="1"/>
  <c r="AT51" i="3" s="1"/>
  <c r="AT53" i="3" s="1"/>
  <c r="AY14" i="3"/>
  <c r="AY49" i="3" s="1"/>
  <c r="AY51" i="3" s="1"/>
  <c r="AY53" i="3" s="1"/>
  <c r="AU14" i="3"/>
  <c r="AU49" i="3" s="1"/>
  <c r="AU51" i="3" s="1"/>
  <c r="AU53" i="3" s="1"/>
  <c r="AV14" i="3"/>
  <c r="AV49" i="3" s="1"/>
  <c r="AV51" i="3" s="1"/>
  <c r="AV53" i="3" s="1"/>
  <c r="AX14" i="3"/>
  <c r="AX49" i="3" s="1"/>
  <c r="AX51" i="3" s="1"/>
  <c r="AX53" i="3" s="1"/>
  <c r="BB14" i="3"/>
  <c r="BB49" i="3" s="1"/>
  <c r="BB51" i="3" s="1"/>
  <c r="BB53" i="3" s="1"/>
  <c r="AS14" i="3"/>
  <c r="AS49" i="3" s="1"/>
  <c r="AS51" i="3" s="1"/>
  <c r="AS53" i="3" s="1"/>
  <c r="G10" i="3"/>
  <c r="H54" i="3" s="1"/>
  <c r="L10" i="3"/>
  <c r="K10" i="3"/>
  <c r="F10" i="3"/>
  <c r="J10" i="3"/>
  <c r="I10" i="3"/>
  <c r="E10" i="3"/>
  <c r="N10" i="3"/>
  <c r="M10" i="3"/>
  <c r="N54" i="3" s="1"/>
  <c r="H10" i="3"/>
  <c r="O10" i="3"/>
  <c r="D10" i="3"/>
  <c r="AP10" i="3"/>
  <c r="BA54" i="3"/>
  <c r="Q49" i="3"/>
  <c r="Q51" i="3" s="1"/>
  <c r="Q53" i="3" s="1"/>
  <c r="R54" i="3"/>
  <c r="AC10" i="3"/>
  <c r="BC10" i="3"/>
  <c r="AU54" i="3"/>
  <c r="AW54" i="3"/>
  <c r="AV54" i="3"/>
  <c r="AS54" i="3"/>
  <c r="AR49" i="3"/>
  <c r="AR51" i="3" s="1"/>
  <c r="AR53" i="3" s="1"/>
  <c r="BB54" i="3"/>
  <c r="AY54" i="3"/>
  <c r="AP11" i="3"/>
  <c r="AZ54" i="3"/>
  <c r="BC11" i="3"/>
  <c r="AX54" i="3"/>
  <c r="AT54" i="3"/>
  <c r="AQ29" i="2" l="1"/>
  <c r="J14" i="3"/>
  <c r="J49" i="3" s="1"/>
  <c r="J51" i="3" s="1"/>
  <c r="J53" i="3" s="1"/>
  <c r="K54" i="3"/>
  <c r="N14" i="3"/>
  <c r="N49" i="3" s="1"/>
  <c r="N51" i="3" s="1"/>
  <c r="N53" i="3" s="1"/>
  <c r="O54" i="3"/>
  <c r="O14" i="3"/>
  <c r="O49" i="3" s="1"/>
  <c r="O51" i="3" s="1"/>
  <c r="O53" i="3" s="1"/>
  <c r="Q54" i="3"/>
  <c r="E14" i="3"/>
  <c r="E49" i="3" s="1"/>
  <c r="E51" i="3" s="1"/>
  <c r="E53" i="3" s="1"/>
  <c r="F54" i="3"/>
  <c r="K14" i="3"/>
  <c r="K49" i="3" s="1"/>
  <c r="K51" i="3" s="1"/>
  <c r="K53" i="3" s="1"/>
  <c r="L54" i="3"/>
  <c r="D14" i="3"/>
  <c r="D49" i="3" s="1"/>
  <c r="D51" i="3" s="1"/>
  <c r="D53" i="3" s="1"/>
  <c r="D63" i="3" s="1"/>
  <c r="D65" i="3" s="1"/>
  <c r="A3" i="20" s="1"/>
  <c r="E54" i="3"/>
  <c r="F14" i="3"/>
  <c r="F49" i="3" s="1"/>
  <c r="F51" i="3" s="1"/>
  <c r="F53" i="3" s="1"/>
  <c r="G54" i="3"/>
  <c r="H14" i="3"/>
  <c r="H49" i="3" s="1"/>
  <c r="H51" i="3" s="1"/>
  <c r="H53" i="3" s="1"/>
  <c r="I54" i="3"/>
  <c r="I14" i="3"/>
  <c r="I49" i="3" s="1"/>
  <c r="I51" i="3" s="1"/>
  <c r="I53" i="3" s="1"/>
  <c r="J54" i="3"/>
  <c r="L14" i="3"/>
  <c r="L49" i="3" s="1"/>
  <c r="L51" i="3" s="1"/>
  <c r="L53" i="3" s="1"/>
  <c r="M54" i="3"/>
  <c r="M14" i="3"/>
  <c r="M49" i="3" s="1"/>
  <c r="M51" i="3" s="1"/>
  <c r="M53" i="3" s="1"/>
  <c r="G14" i="3"/>
  <c r="G49" i="3" s="1"/>
  <c r="G51" i="3" s="1"/>
  <c r="G53" i="3" s="1"/>
  <c r="P10" i="3"/>
  <c r="P14" i="3" s="1"/>
  <c r="AZ63" i="3"/>
  <c r="AY63" i="3"/>
  <c r="BB63" i="3"/>
  <c r="AS63" i="3"/>
  <c r="AX63" i="3"/>
  <c r="AW63" i="3"/>
  <c r="BA63" i="3"/>
  <c r="AV63" i="3"/>
  <c r="AR63" i="3"/>
  <c r="AU63" i="3"/>
  <c r="AT63" i="3"/>
  <c r="AR29" i="2" l="1"/>
  <c r="AS29" i="2" s="1"/>
  <c r="AS8" i="2"/>
  <c r="G63" i="3"/>
  <c r="M63" i="3"/>
  <c r="K63" i="3"/>
  <c r="F63" i="3"/>
  <c r="N63" i="3"/>
  <c r="L63" i="3"/>
  <c r="I63" i="3"/>
  <c r="J63" i="3"/>
  <c r="H63" i="3"/>
  <c r="P49" i="3"/>
  <c r="P51" i="3" s="1"/>
  <c r="P53" i="3" s="1"/>
  <c r="E63" i="3"/>
  <c r="E65" i="3" s="1"/>
  <c r="B3" i="20" s="1"/>
  <c r="P54" i="3"/>
  <c r="Q63" i="3"/>
  <c r="O63" i="3"/>
  <c r="P63" i="3" l="1"/>
  <c r="F65" i="3"/>
  <c r="C3" i="20" s="1"/>
  <c r="G65" i="3" l="1"/>
  <c r="D3" i="20" s="1"/>
  <c r="H65" i="3" l="1"/>
  <c r="E3" i="20" s="1"/>
  <c r="I65" i="3" l="1"/>
  <c r="F3" i="20" s="1"/>
  <c r="J65" i="3" l="1"/>
  <c r="G3" i="20" s="1"/>
  <c r="K65" i="3" l="1"/>
  <c r="H3" i="20" s="1"/>
  <c r="L65" i="3" l="1"/>
  <c r="I3" i="20" s="1"/>
  <c r="M65" i="3" l="1"/>
  <c r="J3" i="20" s="1"/>
  <c r="N65" i="3" l="1"/>
  <c r="K3" i="20" s="1"/>
  <c r="O65" i="3" l="1"/>
  <c r="L3" i="20" s="1"/>
  <c r="Q65" i="3" l="1"/>
  <c r="M3" i="20" s="1"/>
  <c r="T28" i="2"/>
  <c r="V28" i="2"/>
  <c r="V44" i="2" s="1"/>
  <c r="S5" i="1" s="1"/>
  <c r="T23" i="2"/>
  <c r="V23" i="2" l="1"/>
  <c r="T6" i="3"/>
  <c r="S6" i="1"/>
  <c r="S13" i="1" s="1"/>
  <c r="S48" i="1" s="1"/>
  <c r="S50" i="1" s="1"/>
  <c r="S52" i="1" s="1"/>
  <c r="T7" i="3"/>
  <c r="T44" i="2"/>
  <c r="Q5" i="1" s="1"/>
  <c r="U28" i="2"/>
  <c r="U44" i="2" s="1"/>
  <c r="R5" i="1" s="1"/>
  <c r="U23" i="2"/>
  <c r="W28" i="2" l="1"/>
  <c r="W44" i="2" s="1"/>
  <c r="T5" i="1" s="1"/>
  <c r="W23" i="2"/>
  <c r="R6" i="1"/>
  <c r="R13" i="1" s="1"/>
  <c r="R48" i="1" s="1"/>
  <c r="R50" i="1" s="1"/>
  <c r="R52" i="1" s="1"/>
  <c r="S7" i="3"/>
  <c r="S6" i="3"/>
  <c r="R7" i="3"/>
  <c r="R6" i="3"/>
  <c r="Q6" i="1"/>
  <c r="T14" i="3"/>
  <c r="T49" i="3" s="1"/>
  <c r="T51" i="3" s="1"/>
  <c r="T53" i="3" s="1"/>
  <c r="T63" i="3" s="1"/>
  <c r="U54" i="3"/>
  <c r="X23" i="2" l="1"/>
  <c r="X28" i="2"/>
  <c r="X44" i="2" s="1"/>
  <c r="U5" i="1" s="1"/>
  <c r="U6" i="3"/>
  <c r="T6" i="1"/>
  <c r="T13" i="1" s="1"/>
  <c r="T48" i="1" s="1"/>
  <c r="T50" i="1" s="1"/>
  <c r="T52" i="1" s="1"/>
  <c r="U7" i="3"/>
  <c r="S14" i="3"/>
  <c r="S49" i="3" s="1"/>
  <c r="S51" i="3" s="1"/>
  <c r="S53" i="3" s="1"/>
  <c r="S63" i="3" s="1"/>
  <c r="T54" i="3"/>
  <c r="Q13" i="1"/>
  <c r="Q48" i="1" s="1"/>
  <c r="Q50" i="1" s="1"/>
  <c r="Q52" i="1" s="1"/>
  <c r="R14" i="3"/>
  <c r="R49" i="3" s="1"/>
  <c r="R51" i="3" s="1"/>
  <c r="R53" i="3" s="1"/>
  <c r="R63" i="3" s="1"/>
  <c r="R65" i="3" s="1"/>
  <c r="S54" i="3"/>
  <c r="U14" i="3" l="1"/>
  <c r="U49" i="3" s="1"/>
  <c r="U51" i="3" s="1"/>
  <c r="U53" i="3" s="1"/>
  <c r="U63" i="3" s="1"/>
  <c r="V54" i="3"/>
  <c r="V7" i="3"/>
  <c r="U6" i="1"/>
  <c r="U13" i="1" s="1"/>
  <c r="U48" i="1" s="1"/>
  <c r="U50" i="1" s="1"/>
  <c r="U52" i="1" s="1"/>
  <c r="V6" i="3"/>
  <c r="Y23" i="2"/>
  <c r="Y28" i="2"/>
  <c r="Y44" i="2" s="1"/>
  <c r="V5" i="1" s="1"/>
  <c r="S65" i="3"/>
  <c r="N3" i="20"/>
  <c r="W6" i="3" l="1"/>
  <c r="V6" i="1"/>
  <c r="V13" i="1" s="1"/>
  <c r="V48" i="1" s="1"/>
  <c r="V50" i="1" s="1"/>
  <c r="V52" i="1" s="1"/>
  <c r="W7" i="3"/>
  <c r="Z28" i="2"/>
  <c r="Z44" i="2" s="1"/>
  <c r="W5" i="1" s="1"/>
  <c r="Z23" i="2"/>
  <c r="W54" i="3"/>
  <c r="V14" i="3"/>
  <c r="V49" i="3" s="1"/>
  <c r="V51" i="3" s="1"/>
  <c r="V53" i="3" s="1"/>
  <c r="V63" i="3" s="1"/>
  <c r="O3" i="20"/>
  <c r="T65" i="3"/>
  <c r="X7" i="3" l="1"/>
  <c r="X6" i="3"/>
  <c r="W6" i="1"/>
  <c r="W13" i="1" s="1"/>
  <c r="W48" i="1" s="1"/>
  <c r="W50" i="1" s="1"/>
  <c r="W52" i="1" s="1"/>
  <c r="AA23" i="2"/>
  <c r="AA28" i="2"/>
  <c r="W14" i="3"/>
  <c r="W49" i="3" s="1"/>
  <c r="W51" i="3" s="1"/>
  <c r="W53" i="3" s="1"/>
  <c r="W63" i="3" s="1"/>
  <c r="X54" i="3"/>
  <c r="P3" i="20"/>
  <c r="U65" i="3"/>
  <c r="Y54" i="3" l="1"/>
  <c r="X14" i="3"/>
  <c r="X49" i="3" s="1"/>
  <c r="X51" i="3" s="1"/>
  <c r="X53" i="3" s="1"/>
  <c r="X63" i="3" s="1"/>
  <c r="AA44" i="2"/>
  <c r="X5" i="1" s="1"/>
  <c r="AB28" i="2"/>
  <c r="AB44" i="2" s="1"/>
  <c r="Y5" i="1" s="1"/>
  <c r="AB23" i="2"/>
  <c r="V65" i="3"/>
  <c r="Q3" i="20"/>
  <c r="Y6" i="1" l="1"/>
  <c r="Y13" i="1" s="1"/>
  <c r="Y48" i="1" s="1"/>
  <c r="Y50" i="1" s="1"/>
  <c r="Y52" i="1" s="1"/>
  <c r="Z6" i="3"/>
  <c r="Z7" i="3"/>
  <c r="Y7" i="3"/>
  <c r="Y6" i="3"/>
  <c r="X6" i="1"/>
  <c r="X13" i="1" s="1"/>
  <c r="X48" i="1" s="1"/>
  <c r="X50" i="1" s="1"/>
  <c r="X52" i="1" s="1"/>
  <c r="AC23" i="2"/>
  <c r="AC28" i="2"/>
  <c r="AC44" i="2" s="1"/>
  <c r="Z5" i="1" s="1"/>
  <c r="W65" i="3"/>
  <c r="R3" i="20"/>
  <c r="Y14" i="3" l="1"/>
  <c r="Y49" i="3" s="1"/>
  <c r="Y51" i="3" s="1"/>
  <c r="Y53" i="3" s="1"/>
  <c r="Y63" i="3" s="1"/>
  <c r="Z54" i="3"/>
  <c r="AA7" i="3"/>
  <c r="AA6" i="3"/>
  <c r="Z6" i="1"/>
  <c r="Z13" i="1" s="1"/>
  <c r="Z48" i="1" s="1"/>
  <c r="Z50" i="1" s="1"/>
  <c r="Z52" i="1" s="1"/>
  <c r="Z14" i="3"/>
  <c r="Z49" i="3" s="1"/>
  <c r="Z51" i="3" s="1"/>
  <c r="Z53" i="3" s="1"/>
  <c r="Z63" i="3" s="1"/>
  <c r="AA54" i="3"/>
  <c r="AD23" i="2"/>
  <c r="AD28" i="2"/>
  <c r="AG28" i="2"/>
  <c r="AG44" i="2" s="1"/>
  <c r="AD5" i="1" s="1"/>
  <c r="AG23" i="2"/>
  <c r="S3" i="20"/>
  <c r="X65" i="3"/>
  <c r="AA14" i="3" l="1"/>
  <c r="AA49" i="3" s="1"/>
  <c r="AA51" i="3" s="1"/>
  <c r="AA53" i="3" s="1"/>
  <c r="AA63" i="3" s="1"/>
  <c r="AB54" i="3"/>
  <c r="AC54" i="3" s="1"/>
  <c r="AD44" i="2"/>
  <c r="AA5" i="1" s="1"/>
  <c r="AE23" i="2"/>
  <c r="AE28" i="2"/>
  <c r="AE44" i="2" s="1"/>
  <c r="AB5" i="1" s="1"/>
  <c r="AH28" i="2"/>
  <c r="AH44" i="2" s="1"/>
  <c r="AE5" i="1" s="1"/>
  <c r="AH23" i="2"/>
  <c r="AD6" i="1"/>
  <c r="AD13" i="1" s="1"/>
  <c r="AD48" i="1" s="1"/>
  <c r="AD50" i="1" s="1"/>
  <c r="AD52" i="1" s="1"/>
  <c r="AE6" i="3"/>
  <c r="AE7" i="3"/>
  <c r="AF7" i="2"/>
  <c r="AF23" i="2" s="1"/>
  <c r="T3" i="20"/>
  <c r="Y65" i="3"/>
  <c r="AF54" i="3" l="1"/>
  <c r="AE14" i="3"/>
  <c r="AE49" i="3" s="1"/>
  <c r="AE51" i="3" s="1"/>
  <c r="AE53" i="3" s="1"/>
  <c r="AE63" i="3" s="1"/>
  <c r="AE6" i="1"/>
  <c r="AE13" i="1" s="1"/>
  <c r="AE48" i="1" s="1"/>
  <c r="AE50" i="1" s="1"/>
  <c r="AE52" i="1" s="1"/>
  <c r="AF6" i="3"/>
  <c r="AF7" i="3"/>
  <c r="AI23" i="2"/>
  <c r="AI28" i="2"/>
  <c r="AI44" i="2" s="1"/>
  <c r="AF5" i="1" s="1"/>
  <c r="AD6" i="3"/>
  <c r="AD7" i="3"/>
  <c r="AB6" i="1"/>
  <c r="AF28" i="2"/>
  <c r="AF44" i="2" s="1"/>
  <c r="AB7" i="3"/>
  <c r="AC7" i="3" s="1"/>
  <c r="AB6" i="3"/>
  <c r="AA6" i="1"/>
  <c r="AA13" i="1" s="1"/>
  <c r="AA48" i="1" s="1"/>
  <c r="AA50" i="1" s="1"/>
  <c r="AA52" i="1" s="1"/>
  <c r="AC5" i="1"/>
  <c r="Z65" i="3"/>
  <c r="U3" i="20"/>
  <c r="AC6" i="1" l="1"/>
  <c r="I8" i="14" s="1"/>
  <c r="M8" i="14" s="1"/>
  <c r="AB13" i="1"/>
  <c r="AB48" i="1" s="1"/>
  <c r="AB50" i="1" s="1"/>
  <c r="AB52" i="1" s="1"/>
  <c r="N8" i="14"/>
  <c r="AE54" i="3"/>
  <c r="AD14" i="3"/>
  <c r="AD49" i="3" s="1"/>
  <c r="AD51" i="3" s="1"/>
  <c r="AD53" i="3" s="1"/>
  <c r="AD63" i="3" s="1"/>
  <c r="AJ23" i="2"/>
  <c r="AJ28" i="2"/>
  <c r="AJ44" i="2" s="1"/>
  <c r="AG5" i="1" s="1"/>
  <c r="AC13" i="1"/>
  <c r="AC48" i="1" s="1"/>
  <c r="AC50" i="1" s="1"/>
  <c r="AC52" i="1" s="1"/>
  <c r="E2" i="17" s="1"/>
  <c r="E4" i="17" s="1"/>
  <c r="I7" i="14"/>
  <c r="AF14" i="3"/>
  <c r="AF49" i="3" s="1"/>
  <c r="AF51" i="3" s="1"/>
  <c r="AF53" i="3" s="1"/>
  <c r="AF63" i="3" s="1"/>
  <c r="AG54" i="3"/>
  <c r="AD54" i="3"/>
  <c r="AB14" i="3"/>
  <c r="AB49" i="3" s="1"/>
  <c r="AB51" i="3" s="1"/>
  <c r="AB53" i="3" s="1"/>
  <c r="AB63" i="3" s="1"/>
  <c r="AC6" i="3"/>
  <c r="AC14" i="3" s="1"/>
  <c r="AC49" i="3" s="1"/>
  <c r="AC51" i="3" s="1"/>
  <c r="AC53" i="3" s="1"/>
  <c r="AC63" i="3" s="1"/>
  <c r="AG7" i="3"/>
  <c r="AF6" i="1"/>
  <c r="AF13" i="1" s="1"/>
  <c r="AF48" i="1" s="1"/>
  <c r="AF50" i="1" s="1"/>
  <c r="AF52" i="1" s="1"/>
  <c r="AG6" i="3"/>
  <c r="AA65" i="3"/>
  <c r="V3" i="20"/>
  <c r="Q8" i="14" l="1"/>
  <c r="AG14" i="3"/>
  <c r="AG49" i="3" s="1"/>
  <c r="AG51" i="3" s="1"/>
  <c r="AG53" i="3" s="1"/>
  <c r="AG63" i="3" s="1"/>
  <c r="AH54" i="3"/>
  <c r="AK23" i="2"/>
  <c r="AK28" i="2"/>
  <c r="AK44" i="2" s="1"/>
  <c r="AH5" i="1" s="1"/>
  <c r="I9" i="14"/>
  <c r="M7" i="14"/>
  <c r="M9" i="14" s="1"/>
  <c r="M16" i="14" s="1"/>
  <c r="K7" i="14"/>
  <c r="AH6" i="3"/>
  <c r="AG6" i="1"/>
  <c r="AG13" i="1" s="1"/>
  <c r="AG48" i="1" s="1"/>
  <c r="AG50" i="1" s="1"/>
  <c r="AG52" i="1" s="1"/>
  <c r="AH7" i="3"/>
  <c r="AB65" i="3"/>
  <c r="W3" i="20"/>
  <c r="N7" i="14" l="1"/>
  <c r="AI54" i="3"/>
  <c r="AH14" i="3"/>
  <c r="AH49" i="3" s="1"/>
  <c r="AH51" i="3" s="1"/>
  <c r="AH53" i="3" s="1"/>
  <c r="AH63" i="3" s="1"/>
  <c r="J38" i="14"/>
  <c r="J15" i="14"/>
  <c r="I16" i="14"/>
  <c r="J16" i="14" s="1"/>
  <c r="J50" i="14"/>
  <c r="J46" i="14"/>
  <c r="K9" i="14"/>
  <c r="J8" i="14"/>
  <c r="J33" i="14"/>
  <c r="J7" i="14"/>
  <c r="J26" i="14"/>
  <c r="J36" i="14"/>
  <c r="J43" i="14"/>
  <c r="J42" i="14"/>
  <c r="J25" i="14"/>
  <c r="J34" i="14"/>
  <c r="J47" i="14"/>
  <c r="J35" i="14"/>
  <c r="J12" i="14"/>
  <c r="J13" i="14"/>
  <c r="J54" i="14"/>
  <c r="J6" i="14"/>
  <c r="J28" i="14"/>
  <c r="J32" i="14"/>
  <c r="J45" i="14"/>
  <c r="J18" i="14"/>
  <c r="J39" i="14"/>
  <c r="J40" i="14"/>
  <c r="J29" i="14"/>
  <c r="J49" i="14"/>
  <c r="J9" i="14"/>
  <c r="J10" i="14"/>
  <c r="J41" i="14"/>
  <c r="J17" i="14"/>
  <c r="J23" i="14"/>
  <c r="N9" i="14"/>
  <c r="N16" i="14" s="1"/>
  <c r="J22" i="14"/>
  <c r="J30" i="14"/>
  <c r="J27" i="14"/>
  <c r="J37" i="14"/>
  <c r="J21" i="14"/>
  <c r="J48" i="14"/>
  <c r="J5" i="14"/>
  <c r="J52" i="14"/>
  <c r="J14" i="14"/>
  <c r="AL23" i="2"/>
  <c r="AL28" i="2"/>
  <c r="AL44" i="2" s="1"/>
  <c r="AI5" i="1" s="1"/>
  <c r="AH6" i="1"/>
  <c r="AH13" i="1" s="1"/>
  <c r="AH48" i="1" s="1"/>
  <c r="AH50" i="1" s="1"/>
  <c r="AH52" i="1" s="1"/>
  <c r="AI7" i="3"/>
  <c r="AI6" i="3"/>
  <c r="AD65" i="3"/>
  <c r="X3" i="20"/>
  <c r="AM23" i="2" l="1"/>
  <c r="AM28" i="2"/>
  <c r="AM44" i="2" s="1"/>
  <c r="AJ5" i="1" s="1"/>
  <c r="AJ54" i="3"/>
  <c r="AI14" i="3"/>
  <c r="AI49" i="3" s="1"/>
  <c r="AI51" i="3" s="1"/>
  <c r="AI53" i="3" s="1"/>
  <c r="AI63" i="3" s="1"/>
  <c r="K16" i="14"/>
  <c r="I51" i="14"/>
  <c r="AJ6" i="3"/>
  <c r="AJ7" i="3"/>
  <c r="AI6" i="1"/>
  <c r="AI13" i="1" s="1"/>
  <c r="AI48" i="1" s="1"/>
  <c r="AI50" i="1" s="1"/>
  <c r="AI52" i="1" s="1"/>
  <c r="Y3" i="20"/>
  <c r="AE65" i="3"/>
  <c r="AJ14" i="3" l="1"/>
  <c r="AJ49" i="3" s="1"/>
  <c r="AJ51" i="3" s="1"/>
  <c r="AJ53" i="3" s="1"/>
  <c r="AJ63" i="3" s="1"/>
  <c r="AK54" i="3"/>
  <c r="K51" i="14"/>
  <c r="M51" i="14"/>
  <c r="N51" i="14" s="1"/>
  <c r="I53" i="14"/>
  <c r="J51" i="14"/>
  <c r="AK7" i="3"/>
  <c r="AJ6" i="1"/>
  <c r="AJ13" i="1" s="1"/>
  <c r="AJ48" i="1" s="1"/>
  <c r="AJ50" i="1" s="1"/>
  <c r="AJ52" i="1" s="1"/>
  <c r="AK6" i="3"/>
  <c r="AN23" i="2"/>
  <c r="AN28" i="2"/>
  <c r="AF65" i="3"/>
  <c r="Z3" i="20"/>
  <c r="AN44" i="2" l="1"/>
  <c r="AK5" i="1" s="1"/>
  <c r="I55" i="14"/>
  <c r="M53" i="14"/>
  <c r="N53" i="14" s="1"/>
  <c r="K53" i="14"/>
  <c r="J53" i="14"/>
  <c r="AL54" i="3"/>
  <c r="AK14" i="3"/>
  <c r="AK49" i="3" s="1"/>
  <c r="AK51" i="3" s="1"/>
  <c r="AK53" i="3" s="1"/>
  <c r="AK63" i="3" s="1"/>
  <c r="AO23" i="2"/>
  <c r="AO28" i="2"/>
  <c r="AO44" i="2" s="1"/>
  <c r="AL5" i="1" s="1"/>
  <c r="AA3" i="20"/>
  <c r="AG65" i="3"/>
  <c r="AM7" i="3" l="1"/>
  <c r="AL6" i="1"/>
  <c r="AL13" i="1" s="1"/>
  <c r="AL48" i="1" s="1"/>
  <c r="AL50" i="1" s="1"/>
  <c r="AL52" i="1" s="1"/>
  <c r="AM6" i="3"/>
  <c r="AP23" i="2"/>
  <c r="AP28" i="2"/>
  <c r="AP44" i="2" s="1"/>
  <c r="AM5" i="1" s="1"/>
  <c r="M55" i="14"/>
  <c r="N55" i="14" s="1"/>
  <c r="K55" i="14"/>
  <c r="J55" i="14"/>
  <c r="AL6" i="3"/>
  <c r="AK6" i="1"/>
  <c r="AK13" i="1" s="1"/>
  <c r="AK48" i="1" s="1"/>
  <c r="AK50" i="1" s="1"/>
  <c r="AK52" i="1" s="1"/>
  <c r="AL7" i="3"/>
  <c r="AB3" i="20"/>
  <c r="AH65" i="3"/>
  <c r="AN6" i="3" l="1"/>
  <c r="AN7" i="3"/>
  <c r="AM6" i="1"/>
  <c r="AM13" i="1" s="1"/>
  <c r="AM48" i="1" s="1"/>
  <c r="AM50" i="1" s="1"/>
  <c r="AM52" i="1" s="1"/>
  <c r="AQ23" i="2"/>
  <c r="AQ28" i="2"/>
  <c r="AN54" i="3"/>
  <c r="AM14" i="3"/>
  <c r="AM49" i="3" s="1"/>
  <c r="AM51" i="3" s="1"/>
  <c r="AM53" i="3" s="1"/>
  <c r="AM63" i="3" s="1"/>
  <c r="AM54" i="3"/>
  <c r="AL14" i="3"/>
  <c r="AL49" i="3" s="1"/>
  <c r="AL51" i="3" s="1"/>
  <c r="AL53" i="3" s="1"/>
  <c r="AL63" i="3" s="1"/>
  <c r="AI65" i="3"/>
  <c r="AC3" i="20"/>
  <c r="AR23" i="2" l="1"/>
  <c r="AR28" i="2"/>
  <c r="AR44" i="2" s="1"/>
  <c r="AO5" i="1" s="1"/>
  <c r="AS7" i="2"/>
  <c r="AS23" i="2" s="1"/>
  <c r="AQ44" i="2"/>
  <c r="AN5" i="1" s="1"/>
  <c r="AS28" i="2"/>
  <c r="AS44" i="2" s="1"/>
  <c r="AN14" i="3"/>
  <c r="AN49" i="3" s="1"/>
  <c r="AN51" i="3" s="1"/>
  <c r="AN53" i="3" s="1"/>
  <c r="AN63" i="3" s="1"/>
  <c r="AO54" i="3"/>
  <c r="AP54" i="3" s="1"/>
  <c r="AJ65" i="3"/>
  <c r="AD3" i="20"/>
  <c r="AN6" i="1" l="1"/>
  <c r="AN13" i="1" s="1"/>
  <c r="AN48" i="1" s="1"/>
  <c r="AN50" i="1" s="1"/>
  <c r="AN52" i="1" s="1"/>
  <c r="AO6" i="3"/>
  <c r="AO7" i="3"/>
  <c r="AP7" i="3" s="1"/>
  <c r="AP5" i="1"/>
  <c r="AQ7" i="3"/>
  <c r="BC7" i="3" s="1"/>
  <c r="AQ6" i="3"/>
  <c r="AO6" i="1"/>
  <c r="AO13" i="1" s="1"/>
  <c r="AO48" i="1" s="1"/>
  <c r="AO50" i="1" s="1"/>
  <c r="AO52" i="1" s="1"/>
  <c r="AE3" i="20"/>
  <c r="AK65" i="3"/>
  <c r="AP6" i="1" l="1"/>
  <c r="O8" i="14" s="1"/>
  <c r="W8" i="14" s="1"/>
  <c r="O7" i="14"/>
  <c r="AO14" i="3"/>
  <c r="AO49" i="3" s="1"/>
  <c r="AO51" i="3" s="1"/>
  <c r="AO53" i="3" s="1"/>
  <c r="AO63" i="3" s="1"/>
  <c r="AQ54" i="3"/>
  <c r="AP6" i="3"/>
  <c r="AP14" i="3" s="1"/>
  <c r="AP49" i="3" s="1"/>
  <c r="AP51" i="3" s="1"/>
  <c r="AP53" i="3" s="1"/>
  <c r="AP63" i="3" s="1"/>
  <c r="AQ14" i="3"/>
  <c r="AQ49" i="3" s="1"/>
  <c r="AQ51" i="3" s="1"/>
  <c r="AQ53" i="3" s="1"/>
  <c r="AQ63" i="3" s="1"/>
  <c r="AR54" i="3"/>
  <c r="BC6" i="3"/>
  <c r="BC14" i="3" s="1"/>
  <c r="BC49" i="3" s="1"/>
  <c r="BC51" i="3" s="1"/>
  <c r="BC53" i="3" s="1"/>
  <c r="BC63" i="3" s="1"/>
  <c r="AL65" i="3"/>
  <c r="AF3" i="20"/>
  <c r="S8" i="14" l="1"/>
  <c r="T8" i="14"/>
  <c r="AP13" i="1"/>
  <c r="AP48" i="1" s="1"/>
  <c r="AP50" i="1" s="1"/>
  <c r="AP52" i="1" s="1"/>
  <c r="F2" i="17" s="1"/>
  <c r="F4" i="17" s="1"/>
  <c r="BC54" i="3"/>
  <c r="O9" i="14"/>
  <c r="W7" i="14"/>
  <c r="S7" i="14"/>
  <c r="T7" i="14" s="1"/>
  <c r="Q7" i="14"/>
  <c r="AM65" i="3"/>
  <c r="AG3" i="20"/>
  <c r="S9" i="14" l="1"/>
  <c r="S16" i="14" s="1"/>
  <c r="O16" i="14"/>
  <c r="P16" i="14" s="1"/>
  <c r="P7" i="14"/>
  <c r="P5" i="14"/>
  <c r="P9" i="14"/>
  <c r="P42" i="14"/>
  <c r="P34" i="14"/>
  <c r="P27" i="14"/>
  <c r="P54" i="14"/>
  <c r="P18" i="14"/>
  <c r="P25" i="14"/>
  <c r="P15" i="14"/>
  <c r="P45" i="14"/>
  <c r="P33" i="14"/>
  <c r="P22" i="14"/>
  <c r="P37" i="14"/>
  <c r="P32" i="14"/>
  <c r="P36" i="14"/>
  <c r="P17" i="14"/>
  <c r="P50" i="14"/>
  <c r="P23" i="14"/>
  <c r="P39" i="14"/>
  <c r="P21" i="14"/>
  <c r="P28" i="14"/>
  <c r="P6" i="14"/>
  <c r="P46" i="14"/>
  <c r="P43" i="14"/>
  <c r="P48" i="14"/>
  <c r="P29" i="14"/>
  <c r="P40" i="14"/>
  <c r="P26" i="14"/>
  <c r="W9" i="14"/>
  <c r="P14" i="14"/>
  <c r="P10" i="14"/>
  <c r="P12" i="14"/>
  <c r="P49" i="14"/>
  <c r="P13" i="14"/>
  <c r="P30" i="14"/>
  <c r="P38" i="14"/>
  <c r="P47" i="14"/>
  <c r="P35" i="14"/>
  <c r="P8" i="14"/>
  <c r="P41" i="14"/>
  <c r="P52" i="14"/>
  <c r="Q9" i="14"/>
  <c r="AH3" i="20"/>
  <c r="AN65" i="3"/>
  <c r="T9" i="14" l="1"/>
  <c r="T16" i="14" s="1"/>
  <c r="O51" i="14"/>
  <c r="W16" i="14"/>
  <c r="Q16" i="14"/>
  <c r="AO65" i="3"/>
  <c r="AI3" i="20"/>
  <c r="S51" i="14" l="1"/>
  <c r="T51" i="14" s="1"/>
  <c r="Q51" i="14"/>
  <c r="O53" i="14"/>
  <c r="W51" i="14"/>
  <c r="P51" i="14"/>
  <c r="AQ65" i="3"/>
  <c r="AJ3" i="20"/>
  <c r="W53" i="14" l="1"/>
  <c r="S53" i="14"/>
  <c r="T53" i="14" s="1"/>
  <c r="Q53" i="14"/>
  <c r="O55" i="14"/>
  <c r="P53" i="14"/>
  <c r="AK3" i="20"/>
  <c r="AR65" i="3"/>
  <c r="S55" i="14" l="1"/>
  <c r="T55" i="14" s="1"/>
  <c r="W55" i="14"/>
  <c r="Q55" i="14"/>
  <c r="P55" i="14"/>
  <c r="AL3" i="20"/>
  <c r="AS65" i="3"/>
  <c r="AT65" i="3" l="1"/>
  <c r="AM3" i="20"/>
  <c r="AU65" i="3" l="1"/>
  <c r="AN3" i="20"/>
  <c r="AV65" i="3" l="1"/>
  <c r="AO3" i="20"/>
  <c r="AW65" i="3" l="1"/>
  <c r="AP3" i="20"/>
  <c r="AQ3" i="20" l="1"/>
  <c r="AX65" i="3"/>
  <c r="AY65" i="3" l="1"/>
  <c r="AR3" i="20"/>
  <c r="AZ65" i="3" l="1"/>
  <c r="AS3" i="20"/>
  <c r="BA65" i="3" l="1"/>
  <c r="AT3" i="20"/>
  <c r="A30" i="5"/>
  <c r="BB65" i="3" l="1"/>
  <c r="AU3" i="20"/>
  <c r="AV3" i="20" l="1"/>
  <c r="E30"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Angelika Nolting</author>
  </authors>
  <commentList>
    <comment ref="A8" authorId="0" shapeId="0" xr:uid="{00000000-0006-0000-0000-000001000000}">
      <text>
        <r>
          <rPr>
            <sz val="8"/>
            <color indexed="81"/>
            <rFont val="Tahoma"/>
            <family val="2"/>
          </rPr>
          <t>In den Kommentaren finden sie Hinweise und nützliche Tipps.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Angelika Nolting</author>
    <author>SYSTEM</author>
  </authors>
  <commentList>
    <comment ref="A1" authorId="0" shapeId="0" xr:uid="{00000000-0006-0000-0100-000001000000}">
      <text>
        <r>
          <rPr>
            <sz val="8"/>
            <color indexed="81"/>
            <rFont val="Tahoma"/>
            <family val="2"/>
          </rPr>
          <t xml:space="preserve">Hier beschreiben Sie Ihre unterschiedlichen Dienstleistungsangebote
</t>
        </r>
      </text>
    </comment>
    <comment ref="C1" authorId="0" shapeId="0" xr:uid="{00000000-0006-0000-0100-000002000000}">
      <text>
        <r>
          <rPr>
            <sz val="8"/>
            <color indexed="81"/>
            <rFont val="Tahoma"/>
            <family val="2"/>
          </rPr>
          <t xml:space="preserve">Bitte setzen Sie hier den Preis für eine Einheit Ihres Angebots/Ihrer Leistung ein, z.B. "100", wenn eine Einheit 100 Euro kosten soll
</t>
        </r>
      </text>
    </comment>
    <comment ref="G1" authorId="1" shapeId="0" xr:uid="{A5557239-DC5C-45CE-84FF-10A67C86C293}">
      <text>
        <r>
          <rPr>
            <sz val="9"/>
            <color indexed="81"/>
            <rFont val="Segoe UI"/>
            <family val="2"/>
          </rPr>
          <t xml:space="preserve">Hier tragen Sie jeden Monat ein, wieviele Einheiten Sie verkaufen möchten - zusammen mit dem Preis pro Einheit ergibt das den Umsatz pro Dienstleistung. Deren Summe wird in die Rentabilitätsvorschau übertragen.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Angelika Nolting</author>
  </authors>
  <commentList>
    <comment ref="B9" authorId="0" shapeId="0" xr:uid="{00000000-0006-0000-0200-000001000000}">
      <text>
        <r>
          <rPr>
            <sz val="8"/>
            <color indexed="81"/>
            <rFont val="Tahoma"/>
            <family val="2"/>
          </rPr>
          <t xml:space="preserve">Hier tragen Sie ein, wieviel Prozent vom Umsatz auf den Einkauf entfallen.
Beispiel:
100 EUR Umsatz
40 EUR Einkauf
-&gt; 40% Wareneinkauf/Wareneinsatz
Die Formel setzt dann den Warennachkauf, der aus abverkaufter Ware (=Umsatz) resultiert, 
 im Folgemonat an.
</t>
        </r>
      </text>
    </comment>
    <comment ref="C14" authorId="0" shapeId="0" xr:uid="{00000000-0006-0000-0200-000002000000}">
      <text>
        <r>
          <rPr>
            <b/>
            <sz val="8"/>
            <color indexed="81"/>
            <rFont val="Tahoma"/>
            <family val="2"/>
          </rPr>
          <t>Angelika Nolting:</t>
        </r>
        <r>
          <rPr>
            <sz val="8"/>
            <color indexed="81"/>
            <rFont val="Tahoma"/>
            <family val="2"/>
          </rPr>
          <t xml:space="preserve">
Bei Kapitalgesellschaften ist hier auch das Gehalt des Geschäftsführenden Gesellschafters einzutragen. 
Bitte auch den Eintrag  "Kapitalgesellschaft" in den Infos vor dem Start beachten!</t>
        </r>
      </text>
    </comment>
    <comment ref="C51" authorId="0" shapeId="0" xr:uid="{00000000-0006-0000-0200-000003000000}">
      <text>
        <r>
          <rPr>
            <sz val="8"/>
            <color indexed="81"/>
            <rFont val="Tahoma"/>
            <family val="2"/>
          </rPr>
          <t>Hier sind einzutragen Grundsteuer, Kfz-Steuer u.ä.
Einkommen- und Gewerbesteuer hingegen sind keine Betriebsausgaben und werden nur im Privaten Finanzbedarf bzw. der Liquiditätsplanung erfasst.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Angelika Nolting</author>
  </authors>
  <commentList>
    <comment ref="C55" authorId="0" shapeId="0" xr:uid="{00000000-0006-0000-0300-000001000000}">
      <text>
        <r>
          <rPr>
            <sz val="8"/>
            <color indexed="81"/>
            <rFont val="Tahoma"/>
            <family val="2"/>
          </rPr>
          <t>Bitte tragen Sie die Werte hierzu in das Tabellenblatt "Investitionsplan" ein.</t>
        </r>
      </text>
    </comment>
    <comment ref="C56" authorId="0" shapeId="0" xr:uid="{00000000-0006-0000-0300-000003000000}">
      <text>
        <r>
          <rPr>
            <sz val="8"/>
            <color indexed="81"/>
            <rFont val="Tahoma"/>
            <family val="2"/>
          </rPr>
          <t>Bitte tragen Sie den Betrag im Monat der geplanten Auszahlung ein.</t>
        </r>
      </text>
    </comment>
    <comment ref="C57" authorId="0" shapeId="0" xr:uid="{00000000-0006-0000-0300-000004000000}">
      <text>
        <r>
          <rPr>
            <sz val="8"/>
            <color indexed="81"/>
            <rFont val="Tahoma"/>
            <family val="2"/>
          </rPr>
          <t xml:space="preserve">gem. Zins- und Tilgungsplan für </t>
        </r>
        <r>
          <rPr>
            <u/>
            <sz val="8"/>
            <color indexed="81"/>
            <rFont val="Tahoma"/>
            <family val="2"/>
          </rPr>
          <t>alle</t>
        </r>
        <r>
          <rPr>
            <sz val="8"/>
            <color indexed="81"/>
            <rFont val="Tahoma"/>
            <family val="2"/>
          </rPr>
          <t xml:space="preserve"> betrieblichen Darlehen</t>
        </r>
      </text>
    </comment>
    <comment ref="C61" authorId="0" shapeId="0" xr:uid="{00000000-0006-0000-0300-000005000000}">
      <text>
        <r>
          <rPr>
            <sz val="8"/>
            <color indexed="81"/>
            <rFont val="Tahoma"/>
            <family val="2"/>
          </rPr>
          <t>Bitte tragen Sie die Daten hierzu ein das Tabellenblatt  "Privater Finanzbedarf" ein.</t>
        </r>
      </text>
    </comment>
    <comment ref="C64" authorId="0" shapeId="0" xr:uid="{00000000-0006-0000-0300-000006000000}">
      <text>
        <r>
          <rPr>
            <sz val="8"/>
            <color indexed="81"/>
            <rFont val="Tahoma"/>
            <family val="2"/>
          </rPr>
          <t>Bitte tragen Sie diesen Wert in das Tabellenblatt "Finanzierungsplan" ein.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 Nolting</author>
    <author>Angelika Nolting</author>
  </authors>
  <commentList>
    <comment ref="B1" authorId="0" shapeId="0" xr:uid="{00000000-0006-0000-0400-000001000000}">
      <text>
        <r>
          <rPr>
            <sz val="8"/>
            <color indexed="81"/>
            <rFont val="Tahoma"/>
            <family val="2"/>
          </rPr>
          <t>Dieser Link führt zu den amtlichen AfA-Tabellen des Bundesfinanzministeriums. Im Zweifelsfall wenden Sie sich an Ihren Steuerberater.</t>
        </r>
      </text>
    </comment>
    <comment ref="A3" authorId="1" shapeId="0" xr:uid="{00000000-0006-0000-0400-000002000000}">
      <text>
        <r>
          <rPr>
            <b/>
            <sz val="8"/>
            <color indexed="81"/>
            <rFont val="Tahoma"/>
            <family val="2"/>
          </rPr>
          <t>Angelika Nolting:</t>
        </r>
        <r>
          <rPr>
            <sz val="8"/>
            <color indexed="81"/>
            <rFont val="Tahoma"/>
            <family val="2"/>
          </rPr>
          <t xml:space="preserve">
Hier setzen Sie die Anschaffungen ein, die Sie für die Existenzgründung benötigen und noch nicht gekauft haben.</t>
        </r>
      </text>
    </comment>
    <comment ref="A14" authorId="1" shapeId="0" xr:uid="{00000000-0006-0000-0400-000003000000}">
      <text>
        <r>
          <rPr>
            <sz val="8"/>
            <color indexed="81"/>
            <rFont val="Tahoma"/>
            <family val="2"/>
          </rPr>
          <t>Diese Gegenstände besitzen Sie bereits und bringen sie in Ihre Gründung ein - Zeitwert einsetzen und Nutzungsdauer mit Steuerberater abklären!</t>
        </r>
      </text>
    </comment>
    <comment ref="A23" authorId="1" shapeId="0" xr:uid="{00000000-0006-0000-0400-000004000000}">
      <text>
        <r>
          <rPr>
            <sz val="8"/>
            <color indexed="81"/>
            <rFont val="Tahoma"/>
            <family val="2"/>
          </rPr>
          <t>Hier erfolgt die Abschreibung in voller Höhe bereits im Jahr der Anschaffung.</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Angelika Nolting</author>
  </authors>
  <commentList>
    <comment ref="D5" authorId="0" shapeId="0" xr:uid="{00000000-0006-0000-0500-000001000000}">
      <text>
        <r>
          <rPr>
            <sz val="8"/>
            <color indexed="81"/>
            <rFont val="Tahoma"/>
            <family val="2"/>
          </rPr>
          <t>Dieser Wert wird übertragen aus dem Investitionsplan.</t>
        </r>
      </text>
    </comment>
    <comment ref="D6" authorId="0" shapeId="0" xr:uid="{00000000-0006-0000-0500-000002000000}">
      <text>
        <r>
          <rPr>
            <sz val="8"/>
            <color indexed="81"/>
            <rFont val="Tahoma"/>
            <family val="2"/>
          </rPr>
          <t>Dieser Wert wird übertragen aus dem Investitionsplan.</t>
        </r>
      </text>
    </comment>
    <comment ref="D7" authorId="0" shapeId="0" xr:uid="{00000000-0006-0000-0500-000003000000}">
      <text>
        <r>
          <rPr>
            <sz val="8"/>
            <color indexed="81"/>
            <rFont val="Tahoma"/>
            <family val="2"/>
          </rPr>
          <t>Dieser Wert wird übertragen aus dem Investitionsplan.</t>
        </r>
      </text>
    </comment>
    <comment ref="D8" authorId="0" shapeId="0" xr:uid="{00000000-0006-0000-0500-000004000000}">
      <text>
        <r>
          <rPr>
            <sz val="8"/>
            <color indexed="81"/>
            <rFont val="Tahoma"/>
            <family val="2"/>
          </rPr>
          <t>Dieser Wert wird übertragen aus dem Investitionsplan.</t>
        </r>
      </text>
    </comment>
    <comment ref="E10" authorId="0" shapeId="0" xr:uid="{00000000-0006-0000-0500-000005000000}">
      <text>
        <r>
          <rPr>
            <sz val="8"/>
            <color indexed="81"/>
            <rFont val="Tahoma"/>
            <family val="2"/>
          </rPr>
          <t>Diese Summe deckt Liquiditätsengpässe und Unvorhergesehenes ab. Sie wird nicht für einen bestimmten Zweck eingeplant.</t>
        </r>
      </text>
    </comment>
    <comment ref="D16" authorId="0" shapeId="0" xr:uid="{00000000-0006-0000-0500-000006000000}">
      <text>
        <r>
          <rPr>
            <sz val="8"/>
            <color indexed="81"/>
            <rFont val="Tahoma"/>
            <family val="2"/>
          </rPr>
          <t>Bitte tragen Sie hier den Betrag ein, der Ihnen sofort und ohne Einschränkungen zur Verfügung steht, um dauerhaft in Ihrem Unternehmen eingesetzt zu werden.</t>
        </r>
      </text>
    </comment>
    <comment ref="D17" authorId="0" shapeId="0" xr:uid="{00000000-0006-0000-0500-000007000000}">
      <text>
        <r>
          <rPr>
            <sz val="8"/>
            <color indexed="81"/>
            <rFont val="Tahoma"/>
            <family val="2"/>
          </rPr>
          <t>Dieser Wert wird übertragen aus der Liquiditätsplanung.</t>
        </r>
      </text>
    </comment>
    <comment ref="A23" authorId="0" shapeId="0" xr:uid="{00000000-0006-0000-0500-000008000000}">
      <text>
        <r>
          <rPr>
            <sz val="8"/>
            <color indexed="81"/>
            <rFont val="Tahoma"/>
            <family val="2"/>
          </rPr>
          <t>Hier tragen Sie weitere Darlehen ein, z.B. Familiendarlehen o.ä. 
Auch dafür Zins und Tilgung berücksichtigen!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SYSTEM</author>
  </authors>
  <commentList>
    <comment ref="B23" authorId="0" shapeId="0" xr:uid="{0D63D4A2-BC4B-40A3-A11B-973B61E41EC7}">
      <text>
        <r>
          <rPr>
            <sz val="9"/>
            <color indexed="81"/>
            <rFont val="Segoe UI"/>
            <charset val="1"/>
          </rPr>
          <t>IhrE SteuerberaterIn wird Ihnen die notwendige Höhe nennen können, sobald Sie Ihren voraussichtlichen Jahresüberschuss berechnet haben - diesen finden Sie in Zeile 51 der Rentabilitätsvorschau</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Angelika Nolting</author>
  </authors>
  <commentList>
    <comment ref="F2" authorId="0" shapeId="0" xr:uid="{00000000-0006-0000-0B00-000001000000}">
      <text>
        <r>
          <rPr>
            <sz val="10"/>
            <color indexed="81"/>
            <rFont val="Tahoma"/>
            <family val="2"/>
          </rPr>
          <t>Die Spalten für die Ist-Zahlen können der Übersichtlichkeit halber durch Klick auf das "Minus-"Symbol in der Kopfzeile ausgeblendet werden.</t>
        </r>
        <r>
          <rPr>
            <sz val="8"/>
            <color indexed="81"/>
            <rFont val="Tahoma"/>
            <family val="2"/>
          </rPr>
          <t xml:space="preserve">
</t>
        </r>
      </text>
    </comment>
    <comment ref="L2" authorId="0" shapeId="0" xr:uid="{00000000-0006-0000-0B00-000002000000}">
      <text>
        <r>
          <rPr>
            <sz val="10"/>
            <color indexed="81"/>
            <rFont val="Tahoma"/>
            <family val="2"/>
          </rPr>
          <t>Die Spalten für die Ist-Zahlen können der Übersichtlichkeit halber durch Klick auf das "Minus-"Symbol in der Kopfzeile ausgeblendet werden.</t>
        </r>
        <r>
          <rPr>
            <sz val="8"/>
            <color indexed="81"/>
            <rFont val="Tahoma"/>
            <family val="2"/>
          </rPr>
          <t xml:space="preserve">
</t>
        </r>
      </text>
    </comment>
    <comment ref="R2" authorId="0" shapeId="0" xr:uid="{00000000-0006-0000-0B00-000003000000}">
      <text>
        <r>
          <rPr>
            <sz val="10"/>
            <color indexed="81"/>
            <rFont val="Tahoma"/>
            <family val="2"/>
          </rPr>
          <t>Die Spalten für die Ist-Zahlen können der Übersichtlichkeit halber durch Klick auf das "Minus-"Symbol in der Kopfzeile ausgeblendet werden.</t>
        </r>
        <r>
          <rPr>
            <sz val="8"/>
            <color indexed="81"/>
            <rFont val="Tahoma"/>
            <family val="2"/>
          </rPr>
          <t xml:space="preserve">
</t>
        </r>
      </text>
    </comment>
    <comment ref="X2" authorId="0" shapeId="0" xr:uid="{00000000-0006-0000-0B00-000004000000}">
      <text>
        <r>
          <rPr>
            <sz val="10"/>
            <color indexed="81"/>
            <rFont val="Tahoma"/>
            <family val="2"/>
          </rPr>
          <t>Die Spalten für die Ist-Zahlen können der Übersichtlichkeit halber durch Klick auf das "Minus-"Symbol in der Kopfzeile ausgeblendet werden.</t>
        </r>
        <r>
          <rPr>
            <sz val="8"/>
            <color indexed="81"/>
            <rFont val="Tahoma"/>
            <family val="2"/>
          </rPr>
          <t xml:space="preserv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Angelika Nolting</author>
  </authors>
  <commentList>
    <comment ref="A5" authorId="0" shapeId="0" xr:uid="{00000000-0006-0000-0C00-000001000000}">
      <text>
        <r>
          <rPr>
            <b/>
            <sz val="8"/>
            <color indexed="81"/>
            <rFont val="Tahoma"/>
            <family val="2"/>
          </rPr>
          <t>Angelika Nolting:</t>
        </r>
        <r>
          <rPr>
            <sz val="8"/>
            <color indexed="81"/>
            <rFont val="Tahoma"/>
            <family val="2"/>
          </rPr>
          <t xml:space="preserve">
Bitte hier Art des Darlehens und Kreditinstitut angeben, z.B. "ERP Kapital für Gründer, KfW"</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Angelika Nolting</author>
    <author>SYSTEM</author>
  </authors>
  <commentList>
    <comment ref="A2" authorId="0" shapeId="0" xr:uid="{00000000-0006-0000-0D00-000001000000}">
      <text>
        <r>
          <rPr>
            <b/>
            <sz val="8"/>
            <color indexed="81"/>
            <rFont val="Tahoma"/>
            <family val="2"/>
          </rPr>
          <t>Angelika Nolting:</t>
        </r>
        <r>
          <rPr>
            <sz val="8"/>
            <color indexed="81"/>
            <rFont val="Tahoma"/>
            <family val="2"/>
          </rPr>
          <t xml:space="preserve">
Ust</t>
        </r>
      </text>
    </comment>
    <comment ref="B2" authorId="0" shapeId="0" xr:uid="{00000000-0006-0000-0D00-000002000000}">
      <text>
        <r>
          <rPr>
            <b/>
            <sz val="8"/>
            <color indexed="81"/>
            <rFont val="Tahoma"/>
            <family val="2"/>
          </rPr>
          <t>Angelika Nolting:</t>
        </r>
        <r>
          <rPr>
            <sz val="8"/>
            <color indexed="81"/>
            <rFont val="Tahoma"/>
            <family val="2"/>
          </rPr>
          <t xml:space="preserve">
USteins
</t>
        </r>
      </text>
    </comment>
    <comment ref="A3" authorId="0" shapeId="0" xr:uid="{00000000-0006-0000-0D00-000003000000}">
      <text>
        <r>
          <rPr>
            <b/>
            <sz val="8"/>
            <color indexed="81"/>
            <rFont val="Tahoma"/>
            <family val="2"/>
          </rPr>
          <t>Angelika Nolting:</t>
        </r>
        <r>
          <rPr>
            <sz val="8"/>
            <color indexed="81"/>
            <rFont val="Tahoma"/>
            <family val="2"/>
          </rPr>
          <t xml:space="preserve">
Usterm</t>
        </r>
      </text>
    </comment>
    <comment ref="B3" authorId="1" shapeId="0" xr:uid="{00000000-0006-0000-0D00-000004000000}">
      <text>
        <r>
          <rPr>
            <b/>
            <sz val="9"/>
            <color indexed="81"/>
            <rFont val="Segoe UI"/>
            <family val="2"/>
          </rPr>
          <t>SYSTEM:</t>
        </r>
        <r>
          <rPr>
            <sz val="9"/>
            <color indexed="81"/>
            <rFont val="Segoe UI"/>
            <family val="2"/>
          </rPr>
          <t xml:space="preserve">
UStermeins</t>
        </r>
      </text>
    </comment>
    <comment ref="A4" authorId="0" shapeId="0" xr:uid="{00000000-0006-0000-0D00-000005000000}">
      <text>
        <r>
          <rPr>
            <b/>
            <sz val="8"/>
            <color indexed="81"/>
            <rFont val="Tahoma"/>
            <family val="2"/>
          </rPr>
          <t>Angelika Nolting:</t>
        </r>
        <r>
          <rPr>
            <sz val="8"/>
            <color indexed="81"/>
            <rFont val="Tahoma"/>
            <family val="2"/>
          </rPr>
          <t xml:space="preserve">
VSt</t>
        </r>
      </text>
    </comment>
    <comment ref="B4" authorId="1" shapeId="0" xr:uid="{00000000-0006-0000-0D00-000006000000}">
      <text>
        <r>
          <rPr>
            <b/>
            <sz val="9"/>
            <color indexed="81"/>
            <rFont val="Segoe UI"/>
            <family val="2"/>
          </rPr>
          <t>SYSTEM:</t>
        </r>
        <r>
          <rPr>
            <sz val="9"/>
            <color indexed="81"/>
            <rFont val="Segoe UI"/>
            <family val="2"/>
          </rPr>
          <t xml:space="preserve">
VSteins</t>
        </r>
      </text>
    </comment>
    <comment ref="A5" authorId="0" shapeId="0" xr:uid="{00000000-0006-0000-0D00-000007000000}">
      <text>
        <r>
          <rPr>
            <b/>
            <sz val="8"/>
            <color indexed="81"/>
            <rFont val="Tahoma"/>
            <family val="2"/>
          </rPr>
          <t>Angelika Nolting:</t>
        </r>
        <r>
          <rPr>
            <sz val="8"/>
            <color indexed="81"/>
            <rFont val="Tahoma"/>
            <family val="2"/>
          </rPr>
          <t xml:space="preserve">
VSterm</t>
        </r>
      </text>
    </comment>
    <comment ref="B5" authorId="1" shapeId="0" xr:uid="{00000000-0006-0000-0D00-000008000000}">
      <text>
        <r>
          <rPr>
            <b/>
            <sz val="9"/>
            <color indexed="81"/>
            <rFont val="Segoe UI"/>
            <family val="2"/>
          </rPr>
          <t>SYSTEM:</t>
        </r>
        <r>
          <rPr>
            <sz val="9"/>
            <color indexed="81"/>
            <rFont val="Segoe UI"/>
            <family val="2"/>
          </rPr>
          <t xml:space="preserve">
VStermeins
</t>
        </r>
      </text>
    </comment>
    <comment ref="A6" authorId="1" shapeId="0" xr:uid="{00000000-0006-0000-0D00-000009000000}">
      <text>
        <r>
          <rPr>
            <b/>
            <sz val="9"/>
            <color indexed="81"/>
            <rFont val="Segoe UI"/>
            <family val="2"/>
          </rPr>
          <t>Angelika Nolting:</t>
        </r>
        <r>
          <rPr>
            <sz val="9"/>
            <color indexed="81"/>
            <rFont val="Segoe UI"/>
            <family val="2"/>
          </rPr>
          <t xml:space="preserve">
VStWE</t>
        </r>
        <r>
          <rPr>
            <sz val="9"/>
            <color indexed="81"/>
            <rFont val="Segoe UI"/>
            <family val="2"/>
          </rPr>
          <t xml:space="preserve">
</t>
        </r>
      </text>
    </comment>
    <comment ref="B6" authorId="1" shapeId="0" xr:uid="{00000000-0006-0000-0D00-00000A000000}">
      <text>
        <r>
          <rPr>
            <b/>
            <sz val="9"/>
            <color indexed="81"/>
            <rFont val="Segoe UI"/>
            <family val="2"/>
          </rPr>
          <t>Angelika Nolting:</t>
        </r>
        <r>
          <rPr>
            <sz val="9"/>
            <color indexed="81"/>
            <rFont val="Segoe UI"/>
            <family val="2"/>
          </rPr>
          <t xml:space="preserve">
VstWEeins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Angelika Nolting</author>
  </authors>
  <commentList>
    <comment ref="A3" authorId="0" shapeId="0" xr:uid="{00000000-0006-0000-1400-000001000000}">
      <text>
        <r>
          <rPr>
            <sz val="8"/>
            <color indexed="81"/>
            <rFont val="Tahoma"/>
            <family val="2"/>
          </rPr>
          <t>Bitte hier Art des Darlehens und Kreditinstitut angeben, z.B. "ERP Kapital für Gründer, KfW"</t>
        </r>
      </text>
    </comment>
  </commentList>
</comments>
</file>

<file path=xl/sharedStrings.xml><?xml version="1.0" encoding="utf-8"?>
<sst xmlns="http://schemas.openxmlformats.org/spreadsheetml/2006/main" count="461" uniqueCount="241">
  <si>
    <t>Umsatz Handel/Produktion</t>
  </si>
  <si>
    <t>sonstige betriebliche Erträge</t>
  </si>
  <si>
    <t>Wareneinkauf/Materialaufwand</t>
  </si>
  <si>
    <t>Rohergebnis</t>
  </si>
  <si>
    <t>Sonstige betriebliche Aufwendungen</t>
  </si>
  <si>
    <t>Miete und Nebenkosten</t>
  </si>
  <si>
    <t>Instandhaltung</t>
  </si>
  <si>
    <t>Telefon, Fax</t>
  </si>
  <si>
    <t>Kfz-Kosten</t>
  </si>
  <si>
    <t>Wartung und Reparatur</t>
  </si>
  <si>
    <t>Betriebskosten</t>
  </si>
  <si>
    <t>Reise- und Bewirtungskosten</t>
  </si>
  <si>
    <t>Anzeigen- und sonst. Werbung</t>
  </si>
  <si>
    <t>Instandhaltung Betriebs- und Geschäftsausstattung</t>
  </si>
  <si>
    <t>Software-Updates</t>
  </si>
  <si>
    <t>Beiträge, Gebühren</t>
  </si>
  <si>
    <t>Bürobedarf</t>
  </si>
  <si>
    <t>Postwertzeichen</t>
  </si>
  <si>
    <t>Fachliteratur</t>
  </si>
  <si>
    <t>Fortbildung</t>
  </si>
  <si>
    <t>Messen und Ausstellungen</t>
  </si>
  <si>
    <t>Beratungskosten</t>
  </si>
  <si>
    <t>Steuerberater</t>
  </si>
  <si>
    <t>Unternehmensberater</t>
  </si>
  <si>
    <t>Rechtsanwalt</t>
  </si>
  <si>
    <t>Kosten des Geldverkehrs</t>
  </si>
  <si>
    <t>Andere betriebliche Aufwendungen</t>
  </si>
  <si>
    <t>Summe betrieblicher Aufwendungen</t>
  </si>
  <si>
    <t>Betriebsergebnis</t>
  </si>
  <si>
    <t>Gewinn/Verlust vor Steuern</t>
  </si>
  <si>
    <t>Sonstige Steuern (betrieblich)</t>
  </si>
  <si>
    <t>Jahresüberschuß/Jahresfehlbetrag</t>
  </si>
  <si>
    <t>1)</t>
  </si>
  <si>
    <t>Gewerbesteuer</t>
  </si>
  <si>
    <t>Zahlungseingänge auf gebuchten Umsatz</t>
  </si>
  <si>
    <t>-</t>
  </si>
  <si>
    <t>vorläufiger Liquiditätsbedarf (-)/-überschuß (+)</t>
  </si>
  <si>
    <t>Investitionen und GWG</t>
  </si>
  <si>
    <t>eingebrachtes Eigenkapital - liquide Mittel</t>
  </si>
  <si>
    <t>Liquiditätsreserve</t>
  </si>
  <si>
    <t>Anschaffungen im Gründungsjahr</t>
  </si>
  <si>
    <t>Investitionen</t>
  </si>
  <si>
    <t>Sacheinlagen</t>
  </si>
  <si>
    <t>Summe</t>
  </si>
  <si>
    <t>Vorsteuer</t>
  </si>
  <si>
    <t>Januar</t>
  </si>
  <si>
    <t>Februar</t>
  </si>
  <si>
    <t>März</t>
  </si>
  <si>
    <t>April</t>
  </si>
  <si>
    <t>Mai</t>
  </si>
  <si>
    <t>Juni</t>
  </si>
  <si>
    <t>Juli</t>
  </si>
  <si>
    <t>August</t>
  </si>
  <si>
    <t>September</t>
  </si>
  <si>
    <t>Oktober</t>
  </si>
  <si>
    <t>November</t>
  </si>
  <si>
    <t>Dezember</t>
  </si>
  <si>
    <t>1. Jahr</t>
  </si>
  <si>
    <t>EUR</t>
  </si>
  <si>
    <t>Neuanschaffungen</t>
  </si>
  <si>
    <t>geringwertige Wirtschaftsgüter</t>
  </si>
  <si>
    <t>Warenlager-Erstausstattung</t>
  </si>
  <si>
    <t>Betriebsmittel</t>
  </si>
  <si>
    <t>Kapitalbedarf</t>
  </si>
  <si>
    <t>Eigenkapital</t>
  </si>
  <si>
    <t>liquide Mittel</t>
  </si>
  <si>
    <t>Fremdkapital (Auszahlungsbetrag)</t>
  </si>
  <si>
    <t>Startgeld</t>
  </si>
  <si>
    <t>Raumkosten (Miete, Nebenkosten, Reinigung etc.)</t>
  </si>
  <si>
    <t>Sehr geehrte Gründerin, sehr geehrter Gründer,</t>
  </si>
  <si>
    <t>Außerdem bitten wir Sie um einige Angaben, um Ihnen die Arbeit zu erleichtern:</t>
  </si>
  <si>
    <t>Umsatzsteuer Regelsatz</t>
  </si>
  <si>
    <t>Umsatzsteuer ermäßigt</t>
  </si>
  <si>
    <t>Vorsteuer ermäßigt</t>
  </si>
  <si>
    <t>Industrie- und Handelskammer zu Köln</t>
  </si>
  <si>
    <t>Zellen, in die Sie Werte eintragen können, sind grün gekennzeichnet. Alle anderen Zellen sind schreibgeschützt.</t>
  </si>
  <si>
    <t>Erlösschmälerungen (Skonto)</t>
  </si>
  <si>
    <t>2. Jahr</t>
  </si>
  <si>
    <t>3. Jahr</t>
  </si>
  <si>
    <t>4. Jahr</t>
  </si>
  <si>
    <t>Umsatzsteuerzahllast (+) bzw. Vorsteuerüberhang (-)</t>
  </si>
  <si>
    <t>Hausbankdarlehen</t>
  </si>
  <si>
    <t>KfW Kapital für Gründer</t>
  </si>
  <si>
    <t>Privatdarlehen</t>
  </si>
  <si>
    <r>
      <t xml:space="preserve">Lebensunterhalt </t>
    </r>
    <r>
      <rPr>
        <vertAlign val="superscript"/>
        <sz val="10"/>
        <color theme="1"/>
        <rFont val="Arial"/>
        <family val="2"/>
      </rPr>
      <t>1)</t>
    </r>
  </si>
  <si>
    <t>2 Erwachsene</t>
  </si>
  <si>
    <t>1 Erwachsener</t>
  </si>
  <si>
    <t>235 EUR</t>
  </si>
  <si>
    <t>Tilgung betrieblicher Darlehen</t>
  </si>
  <si>
    <t>je Kind</t>
  </si>
  <si>
    <t>Nettogehalt Lebenspartner/in</t>
  </si>
  <si>
    <t>Kindergeld</t>
  </si>
  <si>
    <t>Erziehungsgeld</t>
  </si>
  <si>
    <t>Einkommen aus Vermietung und Verpachtung</t>
  </si>
  <si>
    <t>Sonstige Einkünfte</t>
  </si>
  <si>
    <t>Krankenversicherung</t>
  </si>
  <si>
    <t>Rentenversicherung/Altersvorsorge</t>
  </si>
  <si>
    <t>Unterhaltsanspruch</t>
  </si>
  <si>
    <t>Unterhaltsverpflichtung</t>
  </si>
  <si>
    <t>Einkommen aus Kapitalvermögen</t>
  </si>
  <si>
    <t>Summe der privaten Einnahmen</t>
  </si>
  <si>
    <t>Private Ausgaben</t>
  </si>
  <si>
    <t>Private Einnahmen (außerhalb der Selbstständigkeit)</t>
  </si>
  <si>
    <t>Sonstige Versicherungen</t>
  </si>
  <si>
    <t>Rücklagen für Neuanschaffungen</t>
  </si>
  <si>
    <t>Zinsen und Tilgung privater Darlehen</t>
  </si>
  <si>
    <t>Rücklagen für Einkommensteuer</t>
  </si>
  <si>
    <t>Privater Finanzbedarf (Unternehmerlohn)</t>
  </si>
  <si>
    <t>Personalaufwand incl. Sozialabgaben (ca. 22%)</t>
  </si>
  <si>
    <t>Kfz-Versicherungen</t>
  </si>
  <si>
    <t>Versicherungen (ohne Kfz)</t>
  </si>
  <si>
    <t>Privater Finanzbedarf = erforderlicher Unternehmerlohn</t>
  </si>
  <si>
    <t>Private Miete (einschließlich Nebenkosten)</t>
  </si>
  <si>
    <t>Auszahlung betrieblicher Darlehen (s. "Finanzierungsplan")</t>
  </si>
  <si>
    <t>AfA
(Absetzung für Abnutzung, Abschreibung)</t>
  </si>
  <si>
    <t>Obergrenze für die Anschaffungskosten Geringwertiger Wirtschaftsgüter</t>
  </si>
  <si>
    <t>Wenn Sie nicht im Januar gründen, beginnen Sie bitte mit Ihren Eintragungen im ersten Jahr mit dem Monat, in dem Sie starten möchten. Insgesamt stehen vier Jahre als Planungshorizont zur Verfügung, davon sollten mindestens drei Jahre monatsgenau geplant werden. Tragen Sie Ihren ersten Monat zudem in das Eingabefeld weiter unten ein.</t>
  </si>
  <si>
    <t>zusätzlicher Liquiditätsbedarf (-)/-überschuss (+)</t>
  </si>
  <si>
    <t>totaler Liquiditätsbedarf (-)/-überschuss (+)</t>
  </si>
  <si>
    <t>Abschreibungen</t>
  </si>
  <si>
    <r>
      <t xml:space="preserve">gem. Zins- und Tilgungsplan des Kreditinstituts für alle </t>
    </r>
    <r>
      <rPr>
        <b/>
        <sz val="10"/>
        <color theme="1"/>
        <rFont val="Arial"/>
        <family val="2"/>
      </rPr>
      <t>betrieblichen</t>
    </r>
    <r>
      <rPr>
        <sz val="10"/>
        <color theme="1"/>
        <rFont val="Arial"/>
        <family val="2"/>
      </rPr>
      <t xml:space="preserve"> Darlehen</t>
    </r>
  </si>
  <si>
    <r>
      <t>Zinsaufwendungen</t>
    </r>
    <r>
      <rPr>
        <vertAlign val="superscript"/>
        <sz val="10"/>
        <color theme="1"/>
        <rFont val="Arial"/>
        <family val="2"/>
      </rPr>
      <t xml:space="preserve"> 1)</t>
    </r>
  </si>
  <si>
    <t>Zinsaufwendungen</t>
  </si>
  <si>
    <t>Einige Zellen haben wir mit Erläuterungen versehen - diese erkennen Sie an dem roten Dreieck rechts oben.
Sie können sie lesen, wenn Sie mit dem Mauszeiger auf die entsprechende Zelle gehen.</t>
  </si>
  <si>
    <r>
      <t xml:space="preserve">Wenn Sie </t>
    </r>
    <r>
      <rPr>
        <b/>
        <sz val="10"/>
        <color rgb="FFFF0000"/>
        <rFont val="Arial"/>
        <family val="2"/>
      </rPr>
      <t>gegen Rechnung</t>
    </r>
    <r>
      <rPr>
        <sz val="10"/>
        <color theme="1"/>
        <rFont val="Arial"/>
        <family val="2"/>
      </rPr>
      <t xml:space="preserve"> liefern oder leisten, tragen Sie hier bitte ein "x" ein - der Zahlungseingang wird dann im nächsten Monat berücksichtigt. Bei Zug-um-Zug-Geschäften (Barzahlung, Vorkasse, Lastschrift o.ä.) lassen Sie das Feld bitte leer.</t>
    </r>
  </si>
  <si>
    <t>pauschaler Wareneinsatz</t>
  </si>
  <si>
    <t>Wareneinkauf Saisongeschäft</t>
  </si>
  <si>
    <t>Körperschaftsteuer (nur bei Kapitalgesellschaften)</t>
  </si>
  <si>
    <r>
      <t xml:space="preserve">Wenn Sie eine </t>
    </r>
    <r>
      <rPr>
        <b/>
        <sz val="10"/>
        <color rgb="FFFF0000"/>
        <rFont val="Arial"/>
        <family val="2"/>
      </rPr>
      <t>Kapitalgesellschaft</t>
    </r>
    <r>
      <rPr>
        <sz val="10"/>
        <color theme="1"/>
        <rFont val="Arial"/>
        <family val="2"/>
      </rPr>
      <t xml:space="preserve"> (AG, GmbH, UG (haftungsbeschränkt) oder Ltd.) gründen, tragen Sie hier bitte ein "x" ein, sonst lassen Sie das Feld bitte leer.</t>
    </r>
  </si>
  <si>
    <t>Gesamtleistung</t>
  </si>
  <si>
    <t>Anteil an Gesamt-leistung
in %</t>
  </si>
  <si>
    <t>Veränderung gegenüber Vorjahr in %</t>
  </si>
  <si>
    <t>Kosten der Warenabgabe</t>
  </si>
  <si>
    <t>Provisionen</t>
  </si>
  <si>
    <t>Verpackung/Ausgangsfrachten</t>
  </si>
  <si>
    <r>
      <t xml:space="preserve">Ihr </t>
    </r>
    <r>
      <rPr>
        <b/>
        <sz val="10"/>
        <color rgb="FFFF0000"/>
        <rFont val="Arial"/>
        <family val="2"/>
      </rPr>
      <t>erster Gründungsmonat</t>
    </r>
    <r>
      <rPr>
        <sz val="10"/>
        <color theme="1"/>
        <rFont val="Arial"/>
        <family val="2"/>
      </rPr>
      <t xml:space="preserve">: Bitte geben Sie "1" ein für Januar, "2" für Februar usw. Beginnen Sie Ihre Einträge in der Tabelle bitte auch im entsprechenden Monat. </t>
    </r>
    <r>
      <rPr>
        <b/>
        <sz val="10"/>
        <color rgb="FFFF0000"/>
        <rFont val="Arial"/>
        <family val="2"/>
      </rPr>
      <t>Bitte lassen Sie dieses Feld nicht leer!</t>
    </r>
  </si>
  <si>
    <t>Fremdleistungen</t>
  </si>
  <si>
    <r>
      <rPr>
        <vertAlign val="superscript"/>
        <sz val="10"/>
        <color theme="1"/>
        <rFont val="Arial"/>
        <family val="2"/>
      </rPr>
      <t xml:space="preserve">1) </t>
    </r>
    <r>
      <rPr>
        <sz val="10"/>
        <color theme="1"/>
        <rFont val="Arial"/>
        <family val="2"/>
      </rPr>
      <t>Richtwerte - ohne Miete, Versicherungen, Kosten privater Darlehen, Steuern, Rücklagen und Unterhaltsverpflichtungen (s.o.)</t>
    </r>
  </si>
  <si>
    <t>Summe der privaten Ausgaben</t>
  </si>
  <si>
    <t>monatlich</t>
  </si>
  <si>
    <t>Kapitalbedarfsplan</t>
  </si>
  <si>
    <t>Finanzierungsplan</t>
  </si>
  <si>
    <t>Geplante Dienstleistungsumsätze</t>
  </si>
  <si>
    <t>inbesondere Passwortaufhebung, Seiteneinrichtung und Konvertierungen in andere Formate erfolgen auf eigenes Risiko.</t>
  </si>
  <si>
    <t>Für alle daraus resultierenden Folgen, wie Ungenauigkeiten und Fehler der Anwendung, übernehmen wir keine Haftung.</t>
  </si>
  <si>
    <t xml:space="preserve">Wir stellen Ihnen hiermit unentgeltlich eine passwortgeschützte Datei in Excel zum Download zur Verfügung. Alle Änderungen daran, </t>
  </si>
  <si>
    <t>Leasing (nur Kfz)</t>
  </si>
  <si>
    <t>Leasing (außer Kfz)</t>
  </si>
  <si>
    <r>
      <t xml:space="preserve">Wenn Sie </t>
    </r>
    <r>
      <rPr>
        <b/>
        <sz val="10"/>
        <color rgb="FFFF0000"/>
        <rFont val="Arial"/>
        <family val="2"/>
      </rPr>
      <t>Umsatzsteuer</t>
    </r>
    <r>
      <rPr>
        <sz val="10"/>
        <color theme="1"/>
        <rFont val="Arial"/>
        <family val="2"/>
      </rPr>
      <t xml:space="preserve"> in Rechnung stellen werden, tragen Sie hier bitte ein "x" ein, sonst lassen Sie das Feld bitte leer.
Die Berechnungen gehen nicht von einer Dauerfristverlängerung aus.</t>
    </r>
  </si>
  <si>
    <t>Zinsen</t>
  </si>
  <si>
    <t>Tilgung</t>
  </si>
  <si>
    <t>Zinsen p.a.</t>
  </si>
  <si>
    <t>Darlehensbetrag in EUR</t>
  </si>
  <si>
    <t>Cash Flow</t>
  </si>
  <si>
    <t>davon tilgungsfrei (nur ganze Jahre)</t>
  </si>
  <si>
    <t>Ratendarlehen 1</t>
  </si>
  <si>
    <t>Ratendarlehen 2</t>
  </si>
  <si>
    <t>Ratendarlehen 3</t>
  </si>
  <si>
    <t>Ratendarlehen 4</t>
  </si>
  <si>
    <t>Ratendarlehen 5</t>
  </si>
  <si>
    <t>Ratendarlehen 6</t>
  </si>
  <si>
    <t>Summe Kapitaldienst</t>
  </si>
  <si>
    <t>monatlich im Anschaffungsjahr (einschl. GWG)</t>
  </si>
  <si>
    <t>Anschaffungen im Jahr der Gründung</t>
  </si>
  <si>
    <t>Laufzeit (mind. 3 Jahre)</t>
  </si>
  <si>
    <t>Ratendarlehen 7</t>
  </si>
  <si>
    <t>Geringwertige Wirtschaftsgüter (Anschaffungskosten bis 800 EUR netto)</t>
  </si>
  <si>
    <t>Investitionen (Anschaffungskosten höher als 800 EUR netto)</t>
  </si>
  <si>
    <t>Differenz in EUR</t>
  </si>
  <si>
    <t>Differenz in %</t>
  </si>
  <si>
    <t>Plan</t>
  </si>
  <si>
    <t>Ist</t>
  </si>
  <si>
    <t>betriebs-gewöhnliche Nutzungsdauer</t>
  </si>
  <si>
    <t>Warenlager-Erstausstattung und -aufstockung (Betriebsausgaben)</t>
  </si>
  <si>
    <t>Diese Daten werden nicht übertragen!</t>
  </si>
  <si>
    <t>Im ersten Jahr werden die Zinsen ab Gründungsmonat berechnet.</t>
  </si>
  <si>
    <t>Hier können Sie Ihre eigenen Berechnungen anstellen und mit den grünen Eingabefeldern verknüpfen.</t>
  </si>
  <si>
    <t>Jahreswerte</t>
  </si>
  <si>
    <t>Monatswerte</t>
  </si>
  <si>
    <t>In den Folgejahren werden die Zinsen überschlägig auf den Darlehensstand am Anfang des Jahres berechnet; dabei bleiben unterjährige Tilgungen unberücksichtigt.</t>
  </si>
  <si>
    <t>Banken Cash Flow (= Cash Flow nach Kapitaldienst)</t>
  </si>
  <si>
    <t>Zinsen gesamt</t>
  </si>
  <si>
    <t>Tilgung gesamt</t>
  </si>
  <si>
    <t>Jahresergebnis vor Kapitaldienst</t>
  </si>
  <si>
    <t>Zinsen p.a. (nominal)</t>
  </si>
  <si>
    <t>Umsätze Jahr 1 zum Regelsteuersatz</t>
  </si>
  <si>
    <t>Umsätze Jahr 1 zum ermäßigten Steuersatz</t>
  </si>
  <si>
    <t>Wenn Sie Fragen, Wünsche oder andere Anliegen haben oder uns einfach mitteilen möchten, was Ihnen noch fehlt, schreiben Sie uns unter</t>
  </si>
  <si>
    <t>USt Jahr 2</t>
  </si>
  <si>
    <t>USt Jahr 3</t>
  </si>
  <si>
    <t>USt Jahr 4</t>
  </si>
  <si>
    <t>Mit Klicken auf "+"-Symbole können Sie später Eingabefelder für die Ist-Zahlen öffnen. So ist der Vergleich von Plan- zu Ist-Zahlen möglich.
Heben Sie dazu den Passwortschutz unter "Überprüfen/Blattschutz aufheben" auf (kein Passwort nötig).</t>
  </si>
  <si>
    <t>Unterkategorie 1</t>
  </si>
  <si>
    <t>Unterkategorie 2</t>
  </si>
  <si>
    <t>Unterkategorie 3</t>
  </si>
  <si>
    <t>Unterkategorie 4</t>
  </si>
  <si>
    <t>Unterkategorie 5</t>
  </si>
  <si>
    <t>Unterkategorie 6</t>
  </si>
  <si>
    <t>Unterkategorie 7</t>
  </si>
  <si>
    <t>Unterkategorie 8</t>
  </si>
  <si>
    <t>Unterkategorie 9</t>
  </si>
  <si>
    <t>Unterkategorie 10</t>
  </si>
  <si>
    <t>Dieses Tabellenblatt ist komplett ungeschützt, damit Sie alle Anpassungen und Ergänzungen vornehmen können, die für Sie notwendig sind.</t>
  </si>
  <si>
    <t>Beispiel Kostenart</t>
  </si>
  <si>
    <t>Hier können Sie beispielsweise eine Position weiter aufgliedern und die Summenzeile in die entsprechende Position der Rentabilitätsvorschau verknüpfen.</t>
  </si>
  <si>
    <t>Für Kreditverhandlungen mit Ihrer Bank kann dies als Anlage genutzt werden.</t>
  </si>
  <si>
    <t>Sie können jederzeit weitere Positionen oder auch ein neues Tabellenblatt mit weiteren Nebenrechnungen hinzufügen.</t>
  </si>
  <si>
    <t>nur wenn Umsätze zu verschiedenen Umsatzsteuersätzen (Regel- und ermäßigter Satz) erfolgen:</t>
  </si>
  <si>
    <t>Vorsteuer Wareneinsatz (bei Umsätzen sowohl zum Regel- als auch zum ermäßigten Steuersatz: Ermittlung s.u.)</t>
  </si>
  <si>
    <t>gewichteter Vorsteuersatz für Wareneinsatz 
(nach dem Verhältnis der Umsätze des ersten Kalenderjahres)</t>
  </si>
  <si>
    <t>Steuersätze Jahr 1</t>
  </si>
  <si>
    <t>Steuersätze ab Jahr 2</t>
  </si>
  <si>
    <t>Es gelten wieder einheitlich der Regelsteuersatz von 19% und der ermäßigte von 7%.</t>
  </si>
  <si>
    <t>Release 3.8 Start ab 2021</t>
  </si>
  <si>
    <t>900 EUR</t>
  </si>
  <si>
    <t>1.025 EUR</t>
  </si>
  <si>
    <t>vgl. Einzelaufstellungen des Privaten Finanzbedarfs</t>
  </si>
  <si>
    <t>Details sind den einzelnen Tabellen über den Privaten Finanzbedarf zu entnehmen.</t>
  </si>
  <si>
    <t>Hier sind die Summen der Werte von bis zu drei Gründungspersonen addiert.</t>
  </si>
  <si>
    <t>Jan</t>
  </si>
  <si>
    <t>Feb</t>
  </si>
  <si>
    <t>Mrz</t>
  </si>
  <si>
    <t>Apr</t>
  </si>
  <si>
    <t>Jun</t>
  </si>
  <si>
    <t>Jul</t>
  </si>
  <si>
    <t>Aug</t>
  </si>
  <si>
    <t>Sep</t>
  </si>
  <si>
    <t>Okt</t>
  </si>
  <si>
    <t>Nov</t>
  </si>
  <si>
    <t>Dez</t>
  </si>
  <si>
    <t>finanztool@koeln.ihk.de</t>
  </si>
  <si>
    <t>vielen Dank, dass Sie das Finanztool der IHK Köln benutzen! Zunächst ein paar Informationen zur Bedienung:</t>
  </si>
  <si>
    <t>Bei Ihrem Vorhaben wünschen wir Ihnen viel Erfolg!</t>
  </si>
  <si>
    <t>Ihr Team Beratung und Service</t>
  </si>
  <si>
    <r>
      <t xml:space="preserve">Ihr </t>
    </r>
    <r>
      <rPr>
        <b/>
        <sz val="10"/>
        <color rgb="FFFF0000"/>
        <rFont val="Arial"/>
        <family val="2"/>
      </rPr>
      <t>Gründungsjahr</t>
    </r>
    <r>
      <rPr>
        <sz val="10"/>
        <color theme="1"/>
        <rFont val="Arial"/>
        <family val="2"/>
      </rPr>
      <t>: bitte ändern, falls abweichend</t>
    </r>
  </si>
  <si>
    <t>Warenlager-Erstausstattung und -aufstockung</t>
  </si>
  <si>
    <t>x</t>
  </si>
  <si>
    <t>PKW</t>
  </si>
  <si>
    <t>Paket 1</t>
  </si>
  <si>
    <t>Paket 2</t>
  </si>
  <si>
    <t>Paket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</si>
</sst>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_ ;[Red]\-#,##0\ "/>
    <numFmt numFmtId="165" formatCode="0.0%"/>
    <numFmt numFmtId="166" formatCode="0.0000%"/>
    <numFmt numFmtId="167" formatCode="0.000%"/>
  </numFmts>
  <fonts count="20" x14ac:knownFonts="1">
    <font>
      <sz val="10"/>
      <color theme="1"/>
      <name val="Arial"/>
      <family val="2"/>
    </font>
    <font>
      <sz val="10"/>
      <color theme="1"/>
      <name val="Arial"/>
      <family val="2"/>
    </font>
    <font>
      <sz val="11"/>
      <name val="Arial"/>
      <family val="2"/>
    </font>
    <font>
      <sz val="10"/>
      <name val="Arial"/>
      <family val="2"/>
    </font>
    <font>
      <b/>
      <sz val="10"/>
      <name val="Arial"/>
      <family val="2"/>
    </font>
    <font>
      <sz val="8"/>
      <color indexed="81"/>
      <name val="Tahoma"/>
      <family val="2"/>
    </font>
    <font>
      <b/>
      <sz val="16"/>
      <name val="Arial"/>
      <family val="2"/>
    </font>
    <font>
      <vertAlign val="superscript"/>
      <sz val="10"/>
      <color theme="1"/>
      <name val="Arial"/>
      <family val="2"/>
    </font>
    <font>
      <u/>
      <sz val="10"/>
      <color theme="10"/>
      <name val="Arial"/>
      <family val="2"/>
    </font>
    <font>
      <u/>
      <sz val="8"/>
      <color indexed="81"/>
      <name val="Tahoma"/>
      <family val="2"/>
    </font>
    <font>
      <b/>
      <sz val="10"/>
      <color theme="1"/>
      <name val="Arial"/>
      <family val="2"/>
    </font>
    <font>
      <b/>
      <sz val="10"/>
      <color rgb="FFFF0000"/>
      <name val="Arial"/>
      <family val="2"/>
    </font>
    <font>
      <b/>
      <sz val="8"/>
      <color indexed="81"/>
      <name val="Tahoma"/>
      <family val="2"/>
    </font>
    <font>
      <sz val="8"/>
      <color theme="1"/>
      <name val="Arial"/>
      <family val="2"/>
    </font>
    <font>
      <b/>
      <sz val="12"/>
      <color theme="1"/>
      <name val="Arial"/>
      <family val="2"/>
    </font>
    <font>
      <sz val="10"/>
      <color indexed="81"/>
      <name val="Tahoma"/>
      <family val="2"/>
    </font>
    <font>
      <sz val="9"/>
      <color indexed="81"/>
      <name val="Segoe UI"/>
      <family val="2"/>
    </font>
    <font>
      <b/>
      <sz val="9"/>
      <color indexed="81"/>
      <name val="Segoe UI"/>
      <family val="2"/>
    </font>
    <font>
      <sz val="8"/>
      <name val="Arial"/>
      <family val="2"/>
    </font>
    <font>
      <sz val="9"/>
      <color indexed="81"/>
      <name val="Segoe UI"/>
      <charset val="1"/>
    </font>
  </fonts>
  <fills count="8">
    <fill>
      <patternFill patternType="none"/>
    </fill>
    <fill>
      <patternFill patternType="gray125"/>
    </fill>
    <fill>
      <patternFill patternType="solid">
        <fgColor indexed="22"/>
        <bgColor indexed="64"/>
      </patternFill>
    </fill>
    <fill>
      <patternFill patternType="solid">
        <fgColor rgb="FFFFFF00"/>
        <bgColor indexed="64"/>
      </patternFill>
    </fill>
    <fill>
      <patternFill patternType="solid">
        <fgColor theme="0" tint="-0.249977111117893"/>
        <bgColor indexed="64"/>
      </patternFill>
    </fill>
    <fill>
      <patternFill patternType="solid">
        <fgColor rgb="FFCCFFCC"/>
        <bgColor indexed="64"/>
      </patternFill>
    </fill>
    <fill>
      <patternFill patternType="solid">
        <fgColor rgb="FF00FF00"/>
        <bgColor indexed="64"/>
      </patternFill>
    </fill>
    <fill>
      <patternFill patternType="solid">
        <fgColor rgb="FFFF0000"/>
        <bgColor indexed="64"/>
      </patternFill>
    </fill>
  </fills>
  <borders count="13">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double">
        <color indexed="64"/>
      </bottom>
      <diagonal/>
    </border>
    <border>
      <left/>
      <right/>
      <top style="thin">
        <color indexed="64"/>
      </top>
      <bottom/>
      <diagonal/>
    </border>
    <border>
      <left/>
      <right/>
      <top style="thin">
        <color indexed="64"/>
      </top>
      <bottom style="dotted">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9" fontId="1" fillId="0" borderId="0" applyFont="0" applyFill="0" applyBorder="0" applyAlignment="0" applyProtection="0"/>
    <xf numFmtId="0" fontId="8" fillId="0" borderId="0" applyNumberFormat="0" applyFill="0" applyBorder="0" applyAlignment="0" applyProtection="0"/>
  </cellStyleXfs>
  <cellXfs count="176">
    <xf numFmtId="0" fontId="0" fillId="0" borderId="0" xfId="0"/>
    <xf numFmtId="0" fontId="3" fillId="0" borderId="0" xfId="0" applyFont="1"/>
    <xf numFmtId="2" fontId="3" fillId="0" borderId="0" xfId="0" applyNumberFormat="1" applyFont="1" applyAlignment="1">
      <alignment horizontal="center"/>
    </xf>
    <xf numFmtId="3" fontId="3" fillId="0" borderId="0" xfId="0" applyNumberFormat="1" applyFont="1"/>
    <xf numFmtId="3" fontId="3" fillId="2" borderId="0" xfId="0" applyNumberFormat="1" applyFont="1" applyFill="1"/>
    <xf numFmtId="0" fontId="3" fillId="0" borderId="0" xfId="0" applyFont="1" applyAlignment="1">
      <alignment horizontal="center"/>
    </xf>
    <xf numFmtId="3" fontId="3" fillId="0" borderId="3" xfId="0" applyNumberFormat="1" applyFont="1" applyBorder="1"/>
    <xf numFmtId="3" fontId="3" fillId="2" borderId="3" xfId="0" applyNumberFormat="1" applyFont="1" applyFill="1" applyBorder="1"/>
    <xf numFmtId="3" fontId="0" fillId="0" borderId="0" xfId="0" applyNumberFormat="1"/>
    <xf numFmtId="3" fontId="0" fillId="2" borderId="0" xfId="0" applyNumberFormat="1" applyFill="1"/>
    <xf numFmtId="164" fontId="0" fillId="0" borderId="0" xfId="0" applyNumberFormat="1"/>
    <xf numFmtId="0" fontId="0" fillId="0" borderId="2" xfId="0" applyBorder="1" applyAlignment="1">
      <alignment horizontal="center" vertical="center" wrapText="1"/>
    </xf>
    <xf numFmtId="0" fontId="0" fillId="0" borderId="0" xfId="0" applyAlignment="1">
      <alignment horizontal="center" vertical="center" wrapText="1"/>
    </xf>
    <xf numFmtId="4" fontId="0" fillId="0" borderId="0" xfId="0" applyNumberFormat="1"/>
    <xf numFmtId="0" fontId="0" fillId="0" borderId="0" xfId="0" applyAlignment="1">
      <alignment horizontal="left" vertical="center"/>
    </xf>
    <xf numFmtId="0" fontId="4" fillId="0" borderId="0" xfId="0" applyFont="1" applyAlignment="1">
      <alignment horizontal="center"/>
    </xf>
    <xf numFmtId="9" fontId="0" fillId="0" borderId="0" xfId="1" applyFont="1" applyAlignment="1" applyProtection="1">
      <alignment horizontal="center"/>
    </xf>
    <xf numFmtId="0" fontId="0" fillId="0" borderId="0" xfId="0" applyAlignment="1">
      <alignment wrapText="1"/>
    </xf>
    <xf numFmtId="0" fontId="0" fillId="0" borderId="0" xfId="0" applyAlignment="1">
      <alignment horizontal="center" vertical="center"/>
    </xf>
    <xf numFmtId="0" fontId="0" fillId="0" borderId="2" xfId="0" applyBorder="1"/>
    <xf numFmtId="164" fontId="0" fillId="2" borderId="4" xfId="0" applyNumberFormat="1" applyFill="1" applyBorder="1"/>
    <xf numFmtId="0" fontId="0" fillId="0" borderId="0" xfId="0" applyAlignment="1">
      <alignment horizontal="left" wrapText="1"/>
    </xf>
    <xf numFmtId="17" fontId="3" fillId="0" borderId="2" xfId="0" applyNumberFormat="1" applyFont="1" applyBorder="1" applyAlignment="1">
      <alignment horizontal="center" vertical="center" wrapText="1"/>
    </xf>
    <xf numFmtId="0" fontId="0" fillId="0" borderId="8" xfId="0" applyBorder="1"/>
    <xf numFmtId="0" fontId="2" fillId="0" borderId="8" xfId="0" applyFont="1" applyBorder="1" applyAlignment="1">
      <alignment horizontal="center" vertical="center" wrapText="1"/>
    </xf>
    <xf numFmtId="17" fontId="2" fillId="0" borderId="2" xfId="0" applyNumberFormat="1" applyFont="1" applyBorder="1" applyAlignment="1">
      <alignment horizontal="center" vertical="center" wrapText="1"/>
    </xf>
    <xf numFmtId="164" fontId="0" fillId="2" borderId="0" xfId="0" applyNumberFormat="1" applyFill="1"/>
    <xf numFmtId="3" fontId="0" fillId="4" borderId="0" xfId="0" applyNumberFormat="1" applyFill="1"/>
    <xf numFmtId="0" fontId="4" fillId="0" borderId="0" xfId="0" applyFont="1"/>
    <xf numFmtId="4" fontId="4" fillId="0" borderId="0" xfId="0" applyNumberFormat="1" applyFont="1"/>
    <xf numFmtId="4" fontId="6" fillId="2" borderId="0" xfId="0" applyNumberFormat="1" applyFont="1" applyFill="1"/>
    <xf numFmtId="4" fontId="0" fillId="2" borderId="0" xfId="0" applyNumberFormat="1" applyFill="1"/>
    <xf numFmtId="0" fontId="0" fillId="2" borderId="0" xfId="0" applyFill="1"/>
    <xf numFmtId="4" fontId="0" fillId="0" borderId="0" xfId="0" applyNumberFormat="1" applyAlignment="1">
      <alignment horizontal="center"/>
    </xf>
    <xf numFmtId="3" fontId="0" fillId="0" borderId="3" xfId="0" applyNumberFormat="1" applyBorder="1"/>
    <xf numFmtId="3" fontId="3" fillId="0" borderId="5" xfId="0" applyNumberFormat="1" applyFont="1" applyBorder="1"/>
    <xf numFmtId="0" fontId="0" fillId="5" borderId="0" xfId="0" applyFill="1"/>
    <xf numFmtId="3" fontId="10" fillId="5" borderId="0" xfId="0" applyNumberFormat="1" applyFont="1" applyFill="1" applyAlignment="1" applyProtection="1">
      <alignment horizontal="center" vertical="center"/>
      <protection locked="0"/>
    </xf>
    <xf numFmtId="0" fontId="10" fillId="5" borderId="0" xfId="0" applyFont="1" applyFill="1" applyAlignment="1" applyProtection="1">
      <alignment horizontal="center" vertical="center"/>
      <protection locked="0"/>
    </xf>
    <xf numFmtId="0" fontId="4" fillId="5" borderId="0" xfId="0" applyFont="1" applyFill="1" applyProtection="1">
      <protection locked="0"/>
    </xf>
    <xf numFmtId="4" fontId="4" fillId="5" borderId="0" xfId="1" applyNumberFormat="1" applyFont="1" applyFill="1" applyAlignment="1" applyProtection="1">
      <alignment horizontal="center"/>
      <protection locked="0"/>
    </xf>
    <xf numFmtId="3" fontId="4" fillId="5" borderId="0" xfId="0" applyNumberFormat="1" applyFont="1" applyFill="1" applyProtection="1">
      <protection locked="0"/>
    </xf>
    <xf numFmtId="9" fontId="10" fillId="5" borderId="0" xfId="1" applyFont="1" applyFill="1" applyProtection="1">
      <protection locked="0"/>
    </xf>
    <xf numFmtId="3" fontId="10" fillId="5" borderId="0" xfId="0" applyNumberFormat="1" applyFont="1" applyFill="1" applyProtection="1">
      <protection locked="0"/>
    </xf>
    <xf numFmtId="0" fontId="4" fillId="5" borderId="0" xfId="0" applyFont="1" applyFill="1" applyAlignment="1" applyProtection="1">
      <alignment horizontal="center"/>
      <protection locked="0"/>
    </xf>
    <xf numFmtId="9" fontId="0" fillId="0" borderId="0" xfId="0" applyNumberFormat="1"/>
    <xf numFmtId="9" fontId="4" fillId="0" borderId="0" xfId="1" applyFont="1" applyAlignment="1" applyProtection="1">
      <alignment horizontal="center"/>
    </xf>
    <xf numFmtId="17" fontId="0" fillId="0" borderId="2" xfId="0" applyNumberFormat="1" applyBorder="1" applyAlignment="1">
      <alignment horizontal="center" vertical="center"/>
    </xf>
    <xf numFmtId="17" fontId="13" fillId="0" borderId="2" xfId="0" applyNumberFormat="1" applyFont="1" applyBorder="1" applyAlignment="1">
      <alignment horizontal="center" vertical="center" wrapText="1"/>
    </xf>
    <xf numFmtId="9" fontId="0" fillId="0" borderId="0" xfId="1" applyFont="1" applyFill="1" applyAlignment="1" applyProtection="1">
      <alignment horizontal="center"/>
    </xf>
    <xf numFmtId="165" fontId="0" fillId="0" borderId="0" xfId="1" applyNumberFormat="1" applyFont="1" applyFill="1" applyAlignment="1" applyProtection="1">
      <alignment horizontal="center"/>
    </xf>
    <xf numFmtId="164" fontId="0" fillId="4" borderId="5" xfId="0" applyNumberFormat="1" applyFill="1" applyBorder="1"/>
    <xf numFmtId="165" fontId="0" fillId="4" borderId="5" xfId="1" applyNumberFormat="1" applyFont="1" applyFill="1" applyBorder="1" applyAlignment="1" applyProtection="1">
      <alignment horizontal="center"/>
    </xf>
    <xf numFmtId="164" fontId="0" fillId="4" borderId="0" xfId="0" applyNumberFormat="1" applyFill="1"/>
    <xf numFmtId="165" fontId="0" fillId="4" borderId="0" xfId="1" applyNumberFormat="1" applyFont="1" applyFill="1" applyAlignment="1" applyProtection="1">
      <alignment horizontal="center"/>
    </xf>
    <xf numFmtId="164" fontId="0" fillId="4" borderId="4" xfId="0" applyNumberFormat="1" applyFill="1" applyBorder="1"/>
    <xf numFmtId="165" fontId="0" fillId="4" borderId="4" xfId="1" applyNumberFormat="1" applyFont="1" applyFill="1" applyBorder="1" applyAlignment="1" applyProtection="1">
      <alignment horizontal="center"/>
    </xf>
    <xf numFmtId="164" fontId="0" fillId="4" borderId="3" xfId="0" applyNumberFormat="1" applyFill="1" applyBorder="1"/>
    <xf numFmtId="165" fontId="0" fillId="4" borderId="3" xfId="1" applyNumberFormat="1" applyFont="1" applyFill="1" applyBorder="1" applyAlignment="1" applyProtection="1">
      <alignment horizontal="center"/>
    </xf>
    <xf numFmtId="165" fontId="0" fillId="0" borderId="0" xfId="0" applyNumberFormat="1"/>
    <xf numFmtId="9" fontId="0" fillId="0" borderId="0" xfId="1" applyFont="1" applyFill="1" applyProtection="1"/>
    <xf numFmtId="0" fontId="0" fillId="4" borderId="0" xfId="0" applyFill="1"/>
    <xf numFmtId="0" fontId="7" fillId="0" borderId="0" xfId="0" applyFont="1" applyAlignment="1">
      <alignment vertical="top"/>
    </xf>
    <xf numFmtId="0" fontId="7" fillId="0" borderId="0" xfId="0" applyFont="1"/>
    <xf numFmtId="0" fontId="10" fillId="0" borderId="0" xfId="0" applyFont="1"/>
    <xf numFmtId="3" fontId="0" fillId="0" borderId="5" xfId="0" applyNumberFormat="1" applyBorder="1"/>
    <xf numFmtId="0" fontId="0" fillId="0" borderId="4" xfId="0" applyBorder="1"/>
    <xf numFmtId="9" fontId="3" fillId="0" borderId="0" xfId="1" applyFont="1" applyAlignment="1" applyProtection="1">
      <alignment horizontal="center"/>
    </xf>
    <xf numFmtId="164" fontId="0" fillId="0" borderId="0" xfId="0" applyNumberFormat="1" applyAlignment="1">
      <alignment horizontal="center"/>
    </xf>
    <xf numFmtId="164" fontId="0" fillId="2" borderId="0" xfId="0" applyNumberFormat="1" applyFill="1" applyAlignment="1">
      <alignment horizontal="center"/>
    </xf>
    <xf numFmtId="164" fontId="3" fillId="0" borderId="0" xfId="0" applyNumberFormat="1" applyFont="1"/>
    <xf numFmtId="164" fontId="4" fillId="0" borderId="0" xfId="0" applyNumberFormat="1" applyFont="1"/>
    <xf numFmtId="164" fontId="4" fillId="5" borderId="0" xfId="0" applyNumberFormat="1" applyFont="1" applyFill="1" applyProtection="1">
      <protection locked="0"/>
    </xf>
    <xf numFmtId="164" fontId="3" fillId="2" borderId="0" xfId="0" applyNumberFormat="1" applyFont="1" applyFill="1"/>
    <xf numFmtId="164" fontId="10" fillId="5" borderId="0" xfId="0" applyNumberFormat="1" applyFont="1" applyFill="1" applyProtection="1">
      <protection locked="0"/>
    </xf>
    <xf numFmtId="164" fontId="10" fillId="0" borderId="0" xfId="0" applyNumberFormat="1" applyFont="1"/>
    <xf numFmtId="164" fontId="0" fillId="0" borderId="3" xfId="0" applyNumberFormat="1" applyBorder="1"/>
    <xf numFmtId="164" fontId="0" fillId="0" borderId="8" xfId="0" applyNumberFormat="1" applyBorder="1"/>
    <xf numFmtId="164" fontId="4" fillId="5" borderId="8" xfId="0" applyNumberFormat="1" applyFont="1" applyFill="1" applyBorder="1" applyProtection="1">
      <protection locked="0"/>
    </xf>
    <xf numFmtId="0" fontId="0" fillId="0" borderId="0" xfId="0" applyAlignment="1">
      <alignment horizontal="left"/>
    </xf>
    <xf numFmtId="1" fontId="0" fillId="0" borderId="0" xfId="1" applyNumberFormat="1" applyFont="1" applyAlignment="1" applyProtection="1">
      <alignment horizontal="left"/>
    </xf>
    <xf numFmtId="14" fontId="0" fillId="0" borderId="0" xfId="1" applyNumberFormat="1" applyFont="1" applyAlignment="1" applyProtection="1">
      <alignment horizontal="left"/>
    </xf>
    <xf numFmtId="3" fontId="10" fillId="0" borderId="0" xfId="0" applyNumberFormat="1" applyFont="1" applyProtection="1">
      <protection locked="0"/>
    </xf>
    <xf numFmtId="3" fontId="0" fillId="0" borderId="5" xfId="0" applyNumberFormat="1" applyBorder="1" applyProtection="1">
      <protection locked="0"/>
    </xf>
    <xf numFmtId="3" fontId="0" fillId="0" borderId="0" xfId="0" applyNumberFormat="1" applyProtection="1">
      <protection locked="0"/>
    </xf>
    <xf numFmtId="3" fontId="0" fillId="0" borderId="5" xfId="0" applyNumberFormat="1" applyBorder="1" applyAlignment="1">
      <alignment horizontal="right"/>
    </xf>
    <xf numFmtId="3" fontId="0" fillId="0" borderId="0" xfId="0" applyNumberFormat="1" applyAlignment="1">
      <alignment horizontal="right"/>
    </xf>
    <xf numFmtId="3" fontId="10" fillId="5" borderId="0" xfId="0" applyNumberFormat="1" applyFont="1" applyFill="1"/>
    <xf numFmtId="166" fontId="10" fillId="5" borderId="0" xfId="1" applyNumberFormat="1" applyFont="1" applyFill="1" applyProtection="1"/>
    <xf numFmtId="3" fontId="10" fillId="5" borderId="0" xfId="1" applyNumberFormat="1" applyFont="1" applyFill="1" applyProtection="1"/>
    <xf numFmtId="0" fontId="0" fillId="0" borderId="10" xfId="0" applyBorder="1" applyAlignment="1">
      <alignment horizontal="left" vertical="center" wrapText="1"/>
    </xf>
    <xf numFmtId="0" fontId="0" fillId="0" borderId="0" xfId="0" applyAlignment="1">
      <alignment horizontal="left" vertical="center" wrapText="1"/>
    </xf>
    <xf numFmtId="4" fontId="3" fillId="0" borderId="0" xfId="0" applyNumberFormat="1" applyFont="1"/>
    <xf numFmtId="3" fontId="10" fillId="0" borderId="0" xfId="1" applyNumberFormat="1" applyFont="1" applyFill="1" applyProtection="1"/>
    <xf numFmtId="0" fontId="0" fillId="0" borderId="0" xfId="0" applyAlignment="1">
      <alignment vertical="center" wrapText="1"/>
    </xf>
    <xf numFmtId="166" fontId="10" fillId="5" borderId="0" xfId="1" applyNumberFormat="1" applyFont="1" applyFill="1" applyProtection="1">
      <protection locked="0"/>
    </xf>
    <xf numFmtId="3" fontId="10" fillId="5" borderId="0" xfId="1" applyNumberFormat="1" applyFont="1" applyFill="1" applyProtection="1">
      <protection locked="0"/>
    </xf>
    <xf numFmtId="0" fontId="0" fillId="0" borderId="0" xfId="0" applyAlignment="1">
      <alignment horizontal="center"/>
    </xf>
    <xf numFmtId="4" fontId="0" fillId="0" borderId="5" xfId="0" applyNumberFormat="1" applyBorder="1"/>
    <xf numFmtId="4" fontId="0" fillId="0" borderId="3" xfId="0" applyNumberFormat="1" applyBorder="1"/>
    <xf numFmtId="0" fontId="0" fillId="0" borderId="0" xfId="0" applyAlignment="1">
      <alignment horizontal="right"/>
    </xf>
    <xf numFmtId="10" fontId="3" fillId="0" borderId="0" xfId="1" applyNumberFormat="1" applyFont="1" applyAlignment="1" applyProtection="1">
      <alignment horizontal="center"/>
    </xf>
    <xf numFmtId="1" fontId="0" fillId="0" borderId="0" xfId="1" applyNumberFormat="1" applyFont="1" applyFill="1" applyAlignment="1" applyProtection="1">
      <alignment horizontal="center"/>
    </xf>
    <xf numFmtId="167" fontId="0" fillId="0" borderId="0" xfId="0" applyNumberFormat="1"/>
    <xf numFmtId="1" fontId="0" fillId="0" borderId="0" xfId="0" applyNumberFormat="1" applyAlignment="1">
      <alignment horizontal="right"/>
    </xf>
    <xf numFmtId="1" fontId="0" fillId="0" borderId="0" xfId="0" applyNumberFormat="1"/>
    <xf numFmtId="9" fontId="0" fillId="0" borderId="0" xfId="1" applyFont="1" applyProtection="1"/>
    <xf numFmtId="10" fontId="0" fillId="0" borderId="0" xfId="1" applyNumberFormat="1" applyFont="1" applyProtection="1"/>
    <xf numFmtId="4" fontId="4" fillId="6" borderId="0" xfId="1" applyNumberFormat="1" applyFont="1" applyFill="1" applyAlignment="1" applyProtection="1">
      <alignment horizontal="center"/>
    </xf>
    <xf numFmtId="0" fontId="8" fillId="0" borderId="0" xfId="2" applyAlignment="1" applyProtection="1">
      <alignment horizontal="left"/>
    </xf>
    <xf numFmtId="9" fontId="3" fillId="3" borderId="0" xfId="1" applyFont="1" applyFill="1" applyAlignment="1" applyProtection="1">
      <alignment horizontal="center"/>
    </xf>
    <xf numFmtId="10" fontId="3" fillId="3" borderId="0" xfId="1" applyNumberFormat="1" applyFont="1" applyFill="1" applyAlignment="1" applyProtection="1">
      <alignment horizontal="center"/>
    </xf>
    <xf numFmtId="0" fontId="0" fillId="0" borderId="0" xfId="0" applyAlignment="1">
      <alignment textRotation="45"/>
    </xf>
    <xf numFmtId="17" fontId="0" fillId="0" borderId="2" xfId="0" applyNumberFormat="1" applyBorder="1" applyAlignment="1">
      <alignment textRotation="45"/>
    </xf>
    <xf numFmtId="0" fontId="0" fillId="0" borderId="0" xfId="0" applyAlignment="1">
      <alignment vertical="center"/>
    </xf>
    <xf numFmtId="9" fontId="0" fillId="0" borderId="0" xfId="1" applyFont="1" applyAlignment="1" applyProtection="1">
      <alignment vertical="center"/>
    </xf>
    <xf numFmtId="9" fontId="0" fillId="0" borderId="3" xfId="1" applyFont="1" applyBorder="1" applyAlignment="1" applyProtection="1">
      <alignment vertical="center"/>
    </xf>
    <xf numFmtId="3" fontId="0" fillId="0" borderId="3" xfId="0" applyNumberFormat="1" applyBorder="1" applyAlignment="1">
      <alignment vertical="center"/>
    </xf>
    <xf numFmtId="10" fontId="0" fillId="0" borderId="3" xfId="1" applyNumberFormat="1" applyFont="1" applyBorder="1" applyAlignment="1" applyProtection="1">
      <alignment horizontal="center" vertical="center"/>
    </xf>
    <xf numFmtId="0" fontId="11" fillId="0" borderId="0" xfId="0" applyFont="1"/>
    <xf numFmtId="9" fontId="0" fillId="7" borderId="0" xfId="1" applyFont="1" applyFill="1" applyAlignment="1" applyProtection="1">
      <alignment horizontal="left"/>
    </xf>
    <xf numFmtId="9" fontId="0" fillId="7" borderId="0" xfId="1" applyFont="1" applyFill="1" applyAlignment="1" applyProtection="1">
      <alignment horizontal="center"/>
    </xf>
    <xf numFmtId="3" fontId="0" fillId="7" borderId="0" xfId="1" applyNumberFormat="1" applyFont="1" applyFill="1" applyAlignment="1" applyProtection="1">
      <alignment horizontal="right"/>
    </xf>
    <xf numFmtId="3" fontId="0" fillId="7" borderId="0" xfId="0" applyNumberFormat="1" applyFill="1"/>
    <xf numFmtId="9" fontId="0" fillId="7" borderId="0" xfId="1" applyFont="1" applyFill="1" applyProtection="1"/>
    <xf numFmtId="1" fontId="0" fillId="7" borderId="0" xfId="1" applyNumberFormat="1" applyFont="1" applyFill="1" applyAlignment="1" applyProtection="1">
      <alignment horizontal="right"/>
    </xf>
    <xf numFmtId="164" fontId="4" fillId="0" borderId="0" xfId="0" applyNumberFormat="1" applyFont="1" applyAlignment="1" applyProtection="1">
      <alignment horizontal="center" vertical="center"/>
      <protection locked="0"/>
    </xf>
    <xf numFmtId="17" fontId="3" fillId="0" borderId="0" xfId="0" applyNumberFormat="1" applyFont="1" applyAlignment="1">
      <alignment horizontal="center" vertical="center" wrapText="1"/>
    </xf>
    <xf numFmtId="17" fontId="3" fillId="4" borderId="0" xfId="0" applyNumberFormat="1" applyFont="1" applyFill="1" applyAlignment="1">
      <alignment horizontal="center" vertical="center" wrapText="1"/>
    </xf>
    <xf numFmtId="0" fontId="3" fillId="0" borderId="2" xfId="0" applyFont="1" applyBorder="1" applyAlignment="1">
      <alignment horizontal="center" vertical="center" wrapText="1"/>
    </xf>
    <xf numFmtId="0" fontId="3" fillId="4" borderId="2" xfId="0" applyFont="1" applyFill="1" applyBorder="1" applyAlignment="1">
      <alignment horizontal="center" vertical="center" wrapText="1"/>
    </xf>
    <xf numFmtId="0" fontId="0" fillId="4" borderId="2" xfId="0" applyFill="1" applyBorder="1" applyAlignment="1">
      <alignment horizontal="center" vertical="center"/>
    </xf>
    <xf numFmtId="0" fontId="2" fillId="4" borderId="2" xfId="0" applyFont="1" applyFill="1" applyBorder="1" applyAlignment="1">
      <alignment horizontal="center" vertical="center" wrapText="1"/>
    </xf>
    <xf numFmtId="0" fontId="0" fillId="0" borderId="2" xfId="0" applyBorder="1" applyAlignment="1">
      <alignment horizontal="center" vertical="center"/>
    </xf>
    <xf numFmtId="3" fontId="10" fillId="0" borderId="0" xfId="0" applyNumberFormat="1" applyFont="1" applyAlignment="1">
      <alignment horizontal="center" vertical="center"/>
    </xf>
    <xf numFmtId="3" fontId="0" fillId="0" borderId="0" xfId="0" quotePrefix="1" applyNumberFormat="1"/>
    <xf numFmtId="0" fontId="0" fillId="0" borderId="0" xfId="0" quotePrefix="1"/>
    <xf numFmtId="49" fontId="0" fillId="0" borderId="0" xfId="0" applyNumberFormat="1"/>
    <xf numFmtId="3" fontId="0" fillId="0" borderId="0" xfId="0" quotePrefix="1" applyNumberFormat="1" applyAlignment="1">
      <alignment vertical="center"/>
    </xf>
    <xf numFmtId="0" fontId="0" fillId="0" borderId="0" xfId="0" applyAlignment="1">
      <alignment horizontal="left" wrapText="1"/>
    </xf>
    <xf numFmtId="0" fontId="0" fillId="0" borderId="0" xfId="0" applyAlignment="1">
      <alignment horizontal="left"/>
    </xf>
    <xf numFmtId="0" fontId="0" fillId="0" borderId="0" xfId="0" applyAlignment="1">
      <alignment horizontal="left" vertical="center" wrapText="1"/>
    </xf>
    <xf numFmtId="17" fontId="3" fillId="3" borderId="6" xfId="0" applyNumberFormat="1" applyFont="1" applyFill="1" applyBorder="1" applyAlignment="1">
      <alignment horizontal="center" vertical="center" wrapText="1"/>
    </xf>
    <xf numFmtId="17" fontId="3" fillId="3" borderId="7" xfId="0" applyNumberFormat="1" applyFont="1" applyFill="1" applyBorder="1" applyAlignment="1">
      <alignment horizontal="center" vertical="center" wrapText="1"/>
    </xf>
    <xf numFmtId="17" fontId="3" fillId="3" borderId="1" xfId="0" applyNumberFormat="1" applyFont="1" applyFill="1" applyBorder="1" applyAlignment="1">
      <alignment horizontal="center" vertical="center" wrapText="1"/>
    </xf>
    <xf numFmtId="0" fontId="0" fillId="3" borderId="0" xfId="0" applyFill="1" applyAlignment="1">
      <alignment horizontal="left" vertical="center" wrapText="1"/>
    </xf>
    <xf numFmtId="0" fontId="0" fillId="3" borderId="0" xfId="0" applyFill="1" applyAlignment="1">
      <alignment horizontal="left" vertical="center"/>
    </xf>
    <xf numFmtId="0" fontId="0" fillId="3" borderId="9" xfId="0" applyFill="1" applyBorder="1" applyAlignment="1">
      <alignment horizontal="left" vertical="center"/>
    </xf>
    <xf numFmtId="0" fontId="0" fillId="0" borderId="0" xfId="0" applyAlignment="1">
      <alignment horizontal="left" vertical="top" wrapText="1"/>
    </xf>
    <xf numFmtId="0" fontId="0" fillId="0" borderId="6" xfId="0" applyBorder="1" applyAlignment="1">
      <alignment horizontal="center" vertical="center"/>
    </xf>
    <xf numFmtId="0" fontId="0" fillId="0" borderId="1" xfId="0" applyBorder="1" applyAlignment="1">
      <alignment horizontal="center" vertical="center"/>
    </xf>
    <xf numFmtId="0" fontId="0" fillId="0" borderId="6" xfId="0" applyBorder="1" applyAlignment="1">
      <alignment horizontal="left" vertical="center"/>
    </xf>
    <xf numFmtId="0" fontId="0" fillId="0" borderId="7" xfId="0" applyBorder="1" applyAlignment="1">
      <alignment horizontal="left" vertical="center"/>
    </xf>
    <xf numFmtId="0" fontId="0" fillId="0" borderId="1" xfId="0" applyBorder="1" applyAlignment="1">
      <alignment horizontal="left" vertical="center"/>
    </xf>
    <xf numFmtId="0" fontId="0" fillId="0" borderId="4" xfId="0" applyBorder="1" applyAlignment="1">
      <alignment horizontal="center" vertical="center" wrapText="1"/>
    </xf>
    <xf numFmtId="0" fontId="0" fillId="0" borderId="2" xfId="0" applyBorder="1" applyAlignment="1">
      <alignment horizontal="center" vertical="center" wrapText="1"/>
    </xf>
    <xf numFmtId="0" fontId="8" fillId="0" borderId="11" xfId="2" applyFill="1" applyBorder="1" applyAlignment="1">
      <alignment horizontal="center" vertical="center" wrapText="1"/>
    </xf>
    <xf numFmtId="0" fontId="8" fillId="0" borderId="12" xfId="2" applyFill="1" applyBorder="1" applyAlignment="1">
      <alignment horizontal="center" vertical="center" wrapText="1"/>
    </xf>
    <xf numFmtId="0" fontId="10" fillId="5" borderId="0" xfId="0" applyFont="1" applyFill="1" applyAlignment="1" applyProtection="1">
      <alignment horizontal="left"/>
      <protection locked="0"/>
    </xf>
    <xf numFmtId="0" fontId="0" fillId="0" borderId="11" xfId="0" applyBorder="1" applyAlignment="1">
      <alignment horizontal="center"/>
    </xf>
    <xf numFmtId="0" fontId="0" fillId="3" borderId="0" xfId="0" applyFill="1" applyAlignment="1">
      <alignment horizontal="center" vertical="center" wrapText="1"/>
    </xf>
    <xf numFmtId="0" fontId="0" fillId="3" borderId="9" xfId="0" applyFill="1" applyBorder="1" applyAlignment="1">
      <alignment horizontal="center" vertical="center" wrapText="1"/>
    </xf>
    <xf numFmtId="17" fontId="14" fillId="0" borderId="6" xfId="0" applyNumberFormat="1" applyFont="1" applyBorder="1" applyAlignment="1">
      <alignment horizontal="center" vertical="center"/>
    </xf>
    <xf numFmtId="17" fontId="14" fillId="0" borderId="7" xfId="0" applyNumberFormat="1" applyFont="1" applyBorder="1" applyAlignment="1">
      <alignment horizontal="center" vertical="center"/>
    </xf>
    <xf numFmtId="17" fontId="14" fillId="0" borderId="1" xfId="0" applyNumberFormat="1" applyFont="1" applyBorder="1" applyAlignment="1">
      <alignment horizontal="center" vertical="center"/>
    </xf>
    <xf numFmtId="0" fontId="14" fillId="0" borderId="2" xfId="0" applyFont="1" applyBorder="1" applyAlignment="1">
      <alignment horizontal="center" vertical="center"/>
    </xf>
    <xf numFmtId="0" fontId="10" fillId="5" borderId="0" xfId="0" applyFont="1" applyFill="1" applyAlignment="1">
      <alignment horizontal="left"/>
    </xf>
    <xf numFmtId="0" fontId="0" fillId="3" borderId="6" xfId="0" applyFill="1" applyBorder="1" applyAlignment="1">
      <alignment horizontal="center" vertical="center"/>
    </xf>
    <xf numFmtId="0" fontId="0" fillId="3" borderId="7" xfId="0" applyFill="1" applyBorder="1" applyAlignment="1">
      <alignment horizontal="center" vertical="center"/>
    </xf>
    <xf numFmtId="0" fontId="0" fillId="3" borderId="1" xfId="0" applyFill="1" applyBorder="1" applyAlignment="1">
      <alignment horizontal="center" vertical="center"/>
    </xf>
    <xf numFmtId="17" fontId="0" fillId="0" borderId="6" xfId="0" applyNumberFormat="1" applyBorder="1" applyAlignment="1">
      <alignment horizontal="center" vertical="center"/>
    </xf>
    <xf numFmtId="17" fontId="0" fillId="0" borderId="7" xfId="0" applyNumberFormat="1" applyBorder="1" applyAlignment="1">
      <alignment horizontal="center" vertical="center"/>
    </xf>
    <xf numFmtId="17" fontId="0" fillId="0" borderId="1" xfId="0" applyNumberFormat="1" applyBorder="1" applyAlignment="1">
      <alignment horizontal="center" vertical="center"/>
    </xf>
    <xf numFmtId="0" fontId="13" fillId="3" borderId="0" xfId="0" applyFont="1" applyFill="1" applyAlignment="1">
      <alignment horizontal="left" vertical="center" wrapText="1"/>
    </xf>
    <xf numFmtId="0" fontId="13" fillId="3" borderId="0" xfId="0" applyFont="1" applyFill="1" applyAlignment="1">
      <alignment horizontal="left" vertical="center"/>
    </xf>
    <xf numFmtId="0" fontId="13" fillId="3" borderId="9" xfId="0" applyFont="1" applyFill="1" applyBorder="1" applyAlignment="1">
      <alignment horizontal="left" vertical="center"/>
    </xf>
  </cellXfs>
  <cellStyles count="3">
    <cellStyle name="Link" xfId="2" builtinId="8"/>
    <cellStyle name="Prozent" xfId="1" builtinId="5"/>
    <cellStyle name="Standard" xfId="0" builtinId="0"/>
  </cellStyles>
  <dxfs count="4">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mruColors>
      <color rgb="FFCCFFCC"/>
      <color rgb="FF00FF00"/>
      <color rgb="FF2DFB1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Liquiditätsentwicklung in TEUR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lineChart>
        <c:grouping val="standard"/>
        <c:varyColors val="0"/>
        <c:ser>
          <c:idx val="0"/>
          <c:order val="0"/>
          <c:spPr>
            <a:ln w="28575" cap="rnd">
              <a:solidFill>
                <a:schemeClr val="accent1"/>
              </a:solidFill>
              <a:round/>
            </a:ln>
            <a:effectLst/>
          </c:spPr>
          <c:marker>
            <c:symbol val="none"/>
          </c:marker>
          <c:cat>
            <c:strRef>
              <c:f>'Daten Liquiditätskurve'!$A$2:$AV$2</c:f>
              <c:strCache>
                <c:ptCount val="48"/>
                <c:pt idx="0">
                  <c:v>Jan</c:v>
                </c:pt>
                <c:pt idx="1">
                  <c:v>Feb</c:v>
                </c:pt>
                <c:pt idx="2">
                  <c:v>Mrz</c:v>
                </c:pt>
                <c:pt idx="3">
                  <c:v>Apr</c:v>
                </c:pt>
                <c:pt idx="4">
                  <c:v>Mai</c:v>
                </c:pt>
                <c:pt idx="5">
                  <c:v>Jun</c:v>
                </c:pt>
                <c:pt idx="6">
                  <c:v>Jul</c:v>
                </c:pt>
                <c:pt idx="7">
                  <c:v>Aug</c:v>
                </c:pt>
                <c:pt idx="8">
                  <c:v>Sep</c:v>
                </c:pt>
                <c:pt idx="9">
                  <c:v>Okt</c:v>
                </c:pt>
                <c:pt idx="10">
                  <c:v>Nov</c:v>
                </c:pt>
                <c:pt idx="11">
                  <c:v>Dez</c:v>
                </c:pt>
                <c:pt idx="12">
                  <c:v>Jan</c:v>
                </c:pt>
                <c:pt idx="13">
                  <c:v>Feb</c:v>
                </c:pt>
                <c:pt idx="14">
                  <c:v>Mrz</c:v>
                </c:pt>
                <c:pt idx="15">
                  <c:v>Apr</c:v>
                </c:pt>
                <c:pt idx="16">
                  <c:v>Mai</c:v>
                </c:pt>
                <c:pt idx="17">
                  <c:v>Jun</c:v>
                </c:pt>
                <c:pt idx="18">
                  <c:v>Jul</c:v>
                </c:pt>
                <c:pt idx="19">
                  <c:v>Aug</c:v>
                </c:pt>
                <c:pt idx="20">
                  <c:v>Sep</c:v>
                </c:pt>
                <c:pt idx="21">
                  <c:v>Okt</c:v>
                </c:pt>
                <c:pt idx="22">
                  <c:v>Nov</c:v>
                </c:pt>
                <c:pt idx="23">
                  <c:v>Dez</c:v>
                </c:pt>
                <c:pt idx="24">
                  <c:v>Jan</c:v>
                </c:pt>
                <c:pt idx="25">
                  <c:v>Feb</c:v>
                </c:pt>
                <c:pt idx="26">
                  <c:v>Mrz</c:v>
                </c:pt>
                <c:pt idx="27">
                  <c:v>Apr</c:v>
                </c:pt>
                <c:pt idx="28">
                  <c:v>Mai</c:v>
                </c:pt>
                <c:pt idx="29">
                  <c:v>Jun</c:v>
                </c:pt>
                <c:pt idx="30">
                  <c:v>Jul</c:v>
                </c:pt>
                <c:pt idx="31">
                  <c:v>Aug</c:v>
                </c:pt>
                <c:pt idx="32">
                  <c:v>Sep</c:v>
                </c:pt>
                <c:pt idx="33">
                  <c:v>Okt</c:v>
                </c:pt>
                <c:pt idx="34">
                  <c:v>Nov</c:v>
                </c:pt>
                <c:pt idx="35">
                  <c:v>Dez</c:v>
                </c:pt>
                <c:pt idx="36">
                  <c:v>Jan</c:v>
                </c:pt>
                <c:pt idx="37">
                  <c:v>Feb</c:v>
                </c:pt>
                <c:pt idx="38">
                  <c:v>Mrz</c:v>
                </c:pt>
                <c:pt idx="39">
                  <c:v>Apr</c:v>
                </c:pt>
                <c:pt idx="40">
                  <c:v>Mai</c:v>
                </c:pt>
                <c:pt idx="41">
                  <c:v>Jun</c:v>
                </c:pt>
                <c:pt idx="42">
                  <c:v>Jul</c:v>
                </c:pt>
                <c:pt idx="43">
                  <c:v>Aug</c:v>
                </c:pt>
                <c:pt idx="44">
                  <c:v>Sep</c:v>
                </c:pt>
                <c:pt idx="45">
                  <c:v>Okt</c:v>
                </c:pt>
                <c:pt idx="46">
                  <c:v>Nov</c:v>
                </c:pt>
                <c:pt idx="47">
                  <c:v>Dez</c:v>
                </c:pt>
              </c:strCache>
            </c:strRef>
          </c:cat>
          <c:val>
            <c:numRef>
              <c:f>'Daten Liquiditätskurve'!$A$3:$AV$3</c:f>
              <c:numCache>
                <c:formatCode>#,##0_ ;[Red]\-#,##0\ </c:formatCode>
                <c:ptCount val="48"/>
                <c:pt idx="0">
                  <c:v>0</c:v>
                </c:pt>
                <c:pt idx="1">
                  <c:v>0</c:v>
                </c:pt>
                <c:pt idx="2">
                  <c:v>0</c:v>
                </c:pt>
                <c:pt idx="3">
                  <c:v>0</c:v>
                </c:pt>
                <c:pt idx="4">
                  <c:v>0</c:v>
                </c:pt>
                <c:pt idx="5">
                  <c:v>0</c:v>
                </c:pt>
                <c:pt idx="6">
                  <c:v>0</c:v>
                </c:pt>
                <c:pt idx="7">
                  <c:v>0</c:v>
                </c:pt>
                <c:pt idx="8">
                  <c:v>3000</c:v>
                </c:pt>
                <c:pt idx="9">
                  <c:v>1263.3</c:v>
                </c:pt>
                <c:pt idx="10">
                  <c:v>16186.599999999999</c:v>
                </c:pt>
                <c:pt idx="11">
                  <c:v>14449.899999999998</c:v>
                </c:pt>
                <c:pt idx="12">
                  <c:v>33413.199999999997</c:v>
                </c:pt>
                <c:pt idx="13">
                  <c:v>30956.499999999996</c:v>
                </c:pt>
                <c:pt idx="14">
                  <c:v>28499.799999999996</c:v>
                </c:pt>
                <c:pt idx="15">
                  <c:v>26043.099999999995</c:v>
                </c:pt>
                <c:pt idx="16">
                  <c:v>23586.399999999994</c:v>
                </c:pt>
                <c:pt idx="17">
                  <c:v>21129.699999999993</c:v>
                </c:pt>
                <c:pt idx="18">
                  <c:v>18672.999999999993</c:v>
                </c:pt>
                <c:pt idx="19">
                  <c:v>16216.299999999992</c:v>
                </c:pt>
                <c:pt idx="20">
                  <c:v>13759.599999999991</c:v>
                </c:pt>
                <c:pt idx="21">
                  <c:v>11302.899999999991</c:v>
                </c:pt>
                <c:pt idx="22">
                  <c:v>8846.1999999999898</c:v>
                </c:pt>
                <c:pt idx="23">
                  <c:v>6389.49999999999</c:v>
                </c:pt>
                <c:pt idx="24">
                  <c:v>6389.49999999999</c:v>
                </c:pt>
                <c:pt idx="25">
                  <c:v>6389.49999999999</c:v>
                </c:pt>
                <c:pt idx="26">
                  <c:v>6389.49999999999</c:v>
                </c:pt>
                <c:pt idx="27">
                  <c:v>6389.49999999999</c:v>
                </c:pt>
                <c:pt idx="28">
                  <c:v>6389.49999999999</c:v>
                </c:pt>
                <c:pt idx="29">
                  <c:v>6389.49999999999</c:v>
                </c:pt>
                <c:pt idx="30">
                  <c:v>6389.49999999999</c:v>
                </c:pt>
                <c:pt idx="31">
                  <c:v>6389.49999999999</c:v>
                </c:pt>
                <c:pt idx="32">
                  <c:v>6389.49999999999</c:v>
                </c:pt>
                <c:pt idx="33">
                  <c:v>6389.49999999999</c:v>
                </c:pt>
                <c:pt idx="34">
                  <c:v>6389.49999999999</c:v>
                </c:pt>
                <c:pt idx="35">
                  <c:v>6389.49999999999</c:v>
                </c:pt>
                <c:pt idx="36">
                  <c:v>6389.49999999999</c:v>
                </c:pt>
                <c:pt idx="37">
                  <c:v>6389.49999999999</c:v>
                </c:pt>
                <c:pt idx="38">
                  <c:v>6389.49999999999</c:v>
                </c:pt>
                <c:pt idx="39">
                  <c:v>6389.49999999999</c:v>
                </c:pt>
                <c:pt idx="40">
                  <c:v>6389.49999999999</c:v>
                </c:pt>
                <c:pt idx="41">
                  <c:v>6389.49999999999</c:v>
                </c:pt>
                <c:pt idx="42">
                  <c:v>6389.49999999999</c:v>
                </c:pt>
                <c:pt idx="43">
                  <c:v>6389.49999999999</c:v>
                </c:pt>
                <c:pt idx="44">
                  <c:v>6389.49999999999</c:v>
                </c:pt>
                <c:pt idx="45">
                  <c:v>6389.49999999999</c:v>
                </c:pt>
                <c:pt idx="46">
                  <c:v>6389.49999999999</c:v>
                </c:pt>
                <c:pt idx="47">
                  <c:v>6389.49999999999</c:v>
                </c:pt>
              </c:numCache>
            </c:numRef>
          </c:val>
          <c:smooth val="0"/>
          <c:extLst>
            <c:ext xmlns:c16="http://schemas.microsoft.com/office/drawing/2014/chart" uri="{C3380CC4-5D6E-409C-BE32-E72D297353CC}">
              <c16:uniqueId val="{00000000-742E-4066-AE7F-2F96DD7B7FC9}"/>
            </c:ext>
          </c:extLst>
        </c:ser>
        <c:dLbls>
          <c:showLegendKey val="0"/>
          <c:showVal val="0"/>
          <c:showCatName val="0"/>
          <c:showSerName val="0"/>
          <c:showPercent val="0"/>
          <c:showBubbleSize val="0"/>
        </c:dLbls>
        <c:smooth val="0"/>
        <c:axId val="695137464"/>
        <c:axId val="695141400"/>
      </c:lineChart>
      <c:dateAx>
        <c:axId val="69513746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95141400"/>
        <c:crosses val="autoZero"/>
        <c:auto val="0"/>
        <c:lblOffset val="100"/>
        <c:baseTimeUnit val="months"/>
        <c:majorUnit val="3"/>
        <c:majorTimeUnit val="months"/>
      </c:dateAx>
      <c:valAx>
        <c:axId val="695141400"/>
        <c:scaling>
          <c:orientation val="minMax"/>
          <c:max val="100000"/>
          <c:min val="-10000"/>
        </c:scaling>
        <c:delete val="0"/>
        <c:axPos val="l"/>
        <c:majorGridlines>
          <c:spPr>
            <a:ln w="9525" cap="flat" cmpd="sng" algn="ctr">
              <a:solidFill>
                <a:schemeClr val="tx1">
                  <a:lumMod val="15000"/>
                  <a:lumOff val="85000"/>
                </a:schemeClr>
              </a:solidFill>
              <a:round/>
            </a:ln>
            <a:effectLst/>
          </c:spPr>
        </c:majorGridlines>
        <c:numFmt formatCode="#,##0_ ;[Red]\-#,##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9513746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4.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5.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238126</xdr:colOff>
      <xdr:row>13</xdr:row>
      <xdr:rowOff>57150</xdr:rowOff>
    </xdr:from>
    <xdr:to>
      <xdr:col>34</xdr:col>
      <xdr:colOff>266700</xdr:colOff>
      <xdr:row>34</xdr:row>
      <xdr:rowOff>76200</xdr:rowOff>
    </xdr:to>
    <xdr:graphicFrame macro="">
      <xdr:nvGraphicFramePr>
        <xdr:cNvPr id="3" name="Diagramm 2">
          <a:extLst>
            <a:ext uri="{FF2B5EF4-FFF2-40B4-BE49-F238E27FC236}">
              <a16:creationId xmlns:a16="http://schemas.microsoft.com/office/drawing/2014/main" id="{C611400F-F3B2-4CCA-8538-AEF124A68A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357768</xdr:colOff>
      <xdr:row>5</xdr:row>
      <xdr:rowOff>148683</xdr:rowOff>
    </xdr:from>
    <xdr:to>
      <xdr:col>6</xdr:col>
      <xdr:colOff>250658</xdr:colOff>
      <xdr:row>9</xdr:row>
      <xdr:rowOff>100263</xdr:rowOff>
    </xdr:to>
    <xdr:cxnSp macro="">
      <xdr:nvCxnSpPr>
        <xdr:cNvPr id="4" name="Gerade Verbindung mit Pfeil 3">
          <a:extLst>
            <a:ext uri="{FF2B5EF4-FFF2-40B4-BE49-F238E27FC236}">
              <a16:creationId xmlns:a16="http://schemas.microsoft.com/office/drawing/2014/main" id="{00000000-0008-0000-0D00-000004000000}"/>
            </a:ext>
          </a:extLst>
        </xdr:cNvPr>
        <xdr:cNvCxnSpPr/>
      </xdr:nvCxnSpPr>
      <xdr:spPr>
        <a:xfrm flipH="1" flipV="1">
          <a:off x="357768" y="1116222"/>
          <a:ext cx="1582324" cy="593265"/>
        </a:xfrm>
        <a:prstGeom prst="straightConnector1">
          <a:avLst/>
        </a:prstGeom>
        <a:ln>
          <a:solidFill>
            <a:schemeClr val="tx1">
              <a:alpha val="1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18586</xdr:colOff>
      <xdr:row>6</xdr:row>
      <xdr:rowOff>97573</xdr:rowOff>
    </xdr:from>
    <xdr:to>
      <xdr:col>10</xdr:col>
      <xdr:colOff>97574</xdr:colOff>
      <xdr:row>9</xdr:row>
      <xdr:rowOff>78987</xdr:rowOff>
    </xdr:to>
    <xdr:sp macro="" textlink="">
      <xdr:nvSpPr>
        <xdr:cNvPr id="5" name="Ellipse 4">
          <a:extLst>
            <a:ext uri="{FF2B5EF4-FFF2-40B4-BE49-F238E27FC236}">
              <a16:creationId xmlns:a16="http://schemas.microsoft.com/office/drawing/2014/main" id="{00000000-0008-0000-0D00-000005000000}"/>
            </a:ext>
          </a:extLst>
        </xdr:cNvPr>
        <xdr:cNvSpPr/>
      </xdr:nvSpPr>
      <xdr:spPr>
        <a:xfrm>
          <a:off x="2230245" y="1235927"/>
          <a:ext cx="497158" cy="469280"/>
        </a:xfrm>
        <a:prstGeom prst="ellipse">
          <a:avLst/>
        </a:prstGeom>
        <a:solidFill>
          <a:srgbClr val="FFFF00">
            <a:alpha val="48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12</xdr:col>
      <xdr:colOff>135478</xdr:colOff>
      <xdr:row>2</xdr:row>
      <xdr:rowOff>10642</xdr:rowOff>
    </xdr:from>
    <xdr:to>
      <xdr:col>12</xdr:col>
      <xdr:colOff>940028</xdr:colOff>
      <xdr:row>4</xdr:row>
      <xdr:rowOff>52458</xdr:rowOff>
    </xdr:to>
    <xdr:sp macro="" textlink="">
      <xdr:nvSpPr>
        <xdr:cNvPr id="8" name="Textfeld 7">
          <a:extLst>
            <a:ext uri="{FF2B5EF4-FFF2-40B4-BE49-F238E27FC236}">
              <a16:creationId xmlns:a16="http://schemas.microsoft.com/office/drawing/2014/main" id="{00000000-0008-0000-0D00-000008000000}"/>
            </a:ext>
          </a:extLst>
        </xdr:cNvPr>
        <xdr:cNvSpPr txBox="1"/>
      </xdr:nvSpPr>
      <xdr:spPr>
        <a:xfrm>
          <a:off x="5103517" y="496918"/>
          <a:ext cx="804550" cy="3626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800"/>
            <a:t>USt-Sätze des </a:t>
          </a:r>
          <a:r>
            <a:rPr lang="de-DE" sz="800" u="sng"/>
            <a:t>ersten</a:t>
          </a:r>
          <a:r>
            <a:rPr lang="de-DE" sz="800"/>
            <a:t> Jahres</a:t>
          </a:r>
        </a:p>
      </xdr:txBody>
    </xdr:sp>
    <xdr:clientData/>
  </xdr:twoCellAnchor>
  <xdr:twoCellAnchor>
    <xdr:from>
      <xdr:col>9</xdr:col>
      <xdr:colOff>32525</xdr:colOff>
      <xdr:row>6</xdr:row>
      <xdr:rowOff>97573</xdr:rowOff>
    </xdr:from>
    <xdr:to>
      <xdr:col>10</xdr:col>
      <xdr:colOff>111513</xdr:colOff>
      <xdr:row>9</xdr:row>
      <xdr:rowOff>78987</xdr:rowOff>
    </xdr:to>
    <xdr:sp macro="" textlink="">
      <xdr:nvSpPr>
        <xdr:cNvPr id="9" name="Ellipse 8">
          <a:extLst>
            <a:ext uri="{FF2B5EF4-FFF2-40B4-BE49-F238E27FC236}">
              <a16:creationId xmlns:a16="http://schemas.microsoft.com/office/drawing/2014/main" id="{00000000-0008-0000-0D00-000009000000}"/>
            </a:ext>
          </a:extLst>
        </xdr:cNvPr>
        <xdr:cNvSpPr/>
      </xdr:nvSpPr>
      <xdr:spPr>
        <a:xfrm>
          <a:off x="3187391" y="1235927"/>
          <a:ext cx="497159" cy="469280"/>
        </a:xfrm>
        <a:prstGeom prst="ellipse">
          <a:avLst/>
        </a:prstGeom>
        <a:solidFill>
          <a:srgbClr val="FFFF00">
            <a:alpha val="48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10</xdr:col>
      <xdr:colOff>380998</xdr:colOff>
      <xdr:row>2</xdr:row>
      <xdr:rowOff>5013</xdr:rowOff>
    </xdr:from>
    <xdr:to>
      <xdr:col>11</xdr:col>
      <xdr:colOff>646698</xdr:colOff>
      <xdr:row>4</xdr:row>
      <xdr:rowOff>50132</xdr:rowOff>
    </xdr:to>
    <xdr:sp macro="" textlink="">
      <xdr:nvSpPr>
        <xdr:cNvPr id="11" name="Textfeld 10">
          <a:extLst>
            <a:ext uri="{FF2B5EF4-FFF2-40B4-BE49-F238E27FC236}">
              <a16:creationId xmlns:a16="http://schemas.microsoft.com/office/drawing/2014/main" id="{00000000-0008-0000-0D00-00000B000000}"/>
            </a:ext>
          </a:extLst>
        </xdr:cNvPr>
        <xdr:cNvSpPr txBox="1"/>
      </xdr:nvSpPr>
      <xdr:spPr>
        <a:xfrm>
          <a:off x="4035590" y="491289"/>
          <a:ext cx="807121" cy="3659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800"/>
            <a:t>USt-Sätze der </a:t>
          </a:r>
          <a:r>
            <a:rPr lang="de-DE" sz="800" u="sng"/>
            <a:t>Folgejahre</a:t>
          </a:r>
          <a:endParaRPr lang="de-DE" sz="800"/>
        </a:p>
      </xdr:txBody>
    </xdr:sp>
    <xdr:clientData/>
  </xdr:twoCellAnchor>
  <xdr:twoCellAnchor>
    <xdr:from>
      <xdr:col>6</xdr:col>
      <xdr:colOff>497159</xdr:colOff>
      <xdr:row>6</xdr:row>
      <xdr:rowOff>92927</xdr:rowOff>
    </xdr:from>
    <xdr:to>
      <xdr:col>8</xdr:col>
      <xdr:colOff>51111</xdr:colOff>
      <xdr:row>9</xdr:row>
      <xdr:rowOff>74341</xdr:rowOff>
    </xdr:to>
    <xdr:sp macro="" textlink="">
      <xdr:nvSpPr>
        <xdr:cNvPr id="12" name="Ellipse 11">
          <a:extLst>
            <a:ext uri="{FF2B5EF4-FFF2-40B4-BE49-F238E27FC236}">
              <a16:creationId xmlns:a16="http://schemas.microsoft.com/office/drawing/2014/main" id="{00000000-0008-0000-0D00-00000C000000}"/>
            </a:ext>
          </a:extLst>
        </xdr:cNvPr>
        <xdr:cNvSpPr/>
      </xdr:nvSpPr>
      <xdr:spPr>
        <a:xfrm>
          <a:off x="2183781" y="1231281"/>
          <a:ext cx="497159" cy="469280"/>
        </a:xfrm>
        <a:prstGeom prst="ellipse">
          <a:avLst/>
        </a:prstGeom>
        <a:solidFill>
          <a:srgbClr val="2DFB11">
            <a:alpha val="47843"/>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7</xdr:col>
      <xdr:colOff>415059</xdr:colOff>
      <xdr:row>3</xdr:row>
      <xdr:rowOff>65049</xdr:rowOff>
    </xdr:from>
    <xdr:to>
      <xdr:col>10</xdr:col>
      <xdr:colOff>390291</xdr:colOff>
      <xdr:row>6</xdr:row>
      <xdr:rowOff>157005</xdr:rowOff>
    </xdr:to>
    <xdr:cxnSp macro="">
      <xdr:nvCxnSpPr>
        <xdr:cNvPr id="13" name="Gerade Verbindung mit Pfeil 12">
          <a:extLst>
            <a:ext uri="{FF2B5EF4-FFF2-40B4-BE49-F238E27FC236}">
              <a16:creationId xmlns:a16="http://schemas.microsoft.com/office/drawing/2014/main" id="{00000000-0008-0000-0D00-00000D000000}"/>
            </a:ext>
          </a:extLst>
        </xdr:cNvPr>
        <xdr:cNvCxnSpPr/>
      </xdr:nvCxnSpPr>
      <xdr:spPr>
        <a:xfrm flipV="1">
          <a:off x="2626718" y="715537"/>
          <a:ext cx="1336610" cy="5798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43352</xdr:colOff>
      <xdr:row>3</xdr:row>
      <xdr:rowOff>31550</xdr:rowOff>
    </xdr:from>
    <xdr:to>
      <xdr:col>12</xdr:col>
      <xdr:colOff>135478</xdr:colOff>
      <xdr:row>7</xdr:row>
      <xdr:rowOff>1230</xdr:rowOff>
    </xdr:to>
    <xdr:cxnSp macro="">
      <xdr:nvCxnSpPr>
        <xdr:cNvPr id="7" name="Gerade Verbindung mit Pfeil 6">
          <a:extLst>
            <a:ext uri="{FF2B5EF4-FFF2-40B4-BE49-F238E27FC236}">
              <a16:creationId xmlns:a16="http://schemas.microsoft.com/office/drawing/2014/main" id="{00000000-0008-0000-0D00-000007000000}"/>
            </a:ext>
          </a:extLst>
        </xdr:cNvPr>
        <xdr:cNvCxnSpPr>
          <a:endCxn id="8" idx="1"/>
        </xdr:cNvCxnSpPr>
      </xdr:nvCxnSpPr>
      <xdr:spPr>
        <a:xfrm flipV="1">
          <a:off x="3697944" y="678247"/>
          <a:ext cx="1405573" cy="6113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362782</xdr:colOff>
      <xdr:row>5</xdr:row>
      <xdr:rowOff>133645</xdr:rowOff>
    </xdr:from>
    <xdr:to>
      <xdr:col>8</xdr:col>
      <xdr:colOff>260684</xdr:colOff>
      <xdr:row>9</xdr:row>
      <xdr:rowOff>115302</xdr:rowOff>
    </xdr:to>
    <xdr:cxnSp macro="">
      <xdr:nvCxnSpPr>
        <xdr:cNvPr id="22" name="Gerade Verbindung mit Pfeil 21">
          <a:extLst>
            <a:ext uri="{FF2B5EF4-FFF2-40B4-BE49-F238E27FC236}">
              <a16:creationId xmlns:a16="http://schemas.microsoft.com/office/drawing/2014/main" id="{00000000-0008-0000-0D00-000016000000}"/>
            </a:ext>
          </a:extLst>
        </xdr:cNvPr>
        <xdr:cNvCxnSpPr/>
      </xdr:nvCxnSpPr>
      <xdr:spPr>
        <a:xfrm flipH="1" flipV="1">
          <a:off x="1069637" y="1101184"/>
          <a:ext cx="1827968" cy="623342"/>
        </a:xfrm>
        <a:prstGeom prst="straightConnector1">
          <a:avLst/>
        </a:prstGeom>
        <a:ln>
          <a:solidFill>
            <a:schemeClr val="tx1">
              <a:alpha val="1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mailto:gruendungstool@koeln.ihk.de" TargetMode="External"/><Relationship Id="rId5" Type="http://schemas.openxmlformats.org/officeDocument/2006/relationships/comments" Target="../comments1.xml"/><Relationship Id="rId4" Type="http://schemas.openxmlformats.org/officeDocument/2006/relationships/vmlDrawing" Target="../drawings/vmlDrawing2.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vmlDrawing" Target="../drawings/vmlDrawing5.v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vmlDrawing" Target="../drawings/vmlDrawing7.v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printerSettings" Target="../printerSettings/printerSettings5.bin"/><Relationship Id="rId1" Type="http://schemas.openxmlformats.org/officeDocument/2006/relationships/hyperlink" Target="https://www.bundesfinanzministerium.de/Content/DE/Standardartikel/Themen/Steuern/Weitere_Steuerthemen/Betriebspruefung/AfA-Tabellen/Ergaenzende-AfA-Tabellen/AfA-Tabelle_AV.pdf?__blob=publicationFile&amp;v=3" TargetMode="External"/><Relationship Id="rId5" Type="http://schemas.openxmlformats.org/officeDocument/2006/relationships/comments" Target="../comments5.xml"/><Relationship Id="rId4" Type="http://schemas.openxmlformats.org/officeDocument/2006/relationships/vmlDrawing" Target="../drawings/vmlDrawing10.v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vmlDrawing" Target="../drawings/vmlDrawing11.vml"/><Relationship Id="rId1" Type="http://schemas.openxmlformats.org/officeDocument/2006/relationships/printerSettings" Target="../printerSettings/printerSettings6.bin"/><Relationship Id="rId4"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vmlDrawing" Target="../drawings/vmlDrawing13.vml"/><Relationship Id="rId1" Type="http://schemas.openxmlformats.org/officeDocument/2006/relationships/printerSettings" Target="../printerSettings/printerSettings7.bin"/><Relationship Id="rId4" Type="http://schemas.openxmlformats.org/officeDocument/2006/relationships/comments" Target="../comments7.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15.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vmlDrawing" Target="../drawings/vmlDrawing18.vml"/><Relationship Id="rId1" Type="http://schemas.openxmlformats.org/officeDocument/2006/relationships/printerSettings" Target="../printerSettings/printerSettings11.bin"/><Relationship Id="rId4" Type="http://schemas.openxmlformats.org/officeDocument/2006/relationships/comments" Target="../comments8.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vmlDrawing" Target="../drawings/vmlDrawing20.vml"/><Relationship Id="rId1" Type="http://schemas.openxmlformats.org/officeDocument/2006/relationships/printerSettings" Target="../printerSettings/printerSettings12.bin"/><Relationship Id="rId4" Type="http://schemas.openxmlformats.org/officeDocument/2006/relationships/comments" Target="../comments9.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2.xml"/><Relationship Id="rId1" Type="http://schemas.openxmlformats.org/officeDocument/2006/relationships/printerSettings" Target="../printerSettings/printerSettings13.bin"/><Relationship Id="rId4" Type="http://schemas.openxmlformats.org/officeDocument/2006/relationships/comments" Target="../comments10.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24.vml"/><Relationship Id="rId2" Type="http://schemas.openxmlformats.org/officeDocument/2006/relationships/vmlDrawing" Target="../drawings/vmlDrawing23.vml"/><Relationship Id="rId1" Type="http://schemas.openxmlformats.org/officeDocument/2006/relationships/printerSettings" Target="../printerSettings/printerSettings17.bin"/><Relationship Id="rId4" Type="http://schemas.openxmlformats.org/officeDocument/2006/relationships/comments" Target="../comments11.xml"/></Relationships>
</file>

<file path=xl/worksheets/_rels/sheet22.xml.rels><?xml version="1.0" encoding="UTF-8" standalone="yes"?>
<Relationships xmlns="http://schemas.openxmlformats.org/package/2006/relationships"><Relationship Id="rId2" Type="http://schemas.openxmlformats.org/officeDocument/2006/relationships/vmlDrawing" Target="../drawings/vmlDrawing25.v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29"/>
  <sheetViews>
    <sheetView showGridLines="0" topLeftCell="A3" zoomScale="115" zoomScaleNormal="115" workbookViewId="0">
      <selection activeCell="A11" sqref="A11"/>
    </sheetView>
  </sheetViews>
  <sheetFormatPr baseColWidth="10" defaultRowHeight="12.75" x14ac:dyDescent="0.35"/>
  <cols>
    <col min="2" max="2" width="56.86328125" style="17" customWidth="1"/>
    <col min="3" max="3" width="50.265625" customWidth="1"/>
  </cols>
  <sheetData>
    <row r="1" spans="1:3" x14ac:dyDescent="0.35">
      <c r="A1" t="s">
        <v>69</v>
      </c>
    </row>
    <row r="3" spans="1:3" x14ac:dyDescent="0.35">
      <c r="A3" t="s">
        <v>231</v>
      </c>
    </row>
    <row r="4" spans="1:3" ht="51.75" customHeight="1" x14ac:dyDescent="0.35">
      <c r="A4" s="139" t="s">
        <v>116</v>
      </c>
      <c r="B4" s="139"/>
      <c r="C4" s="139"/>
    </row>
    <row r="5" spans="1:3" x14ac:dyDescent="0.35">
      <c r="A5" s="21"/>
      <c r="B5" s="21"/>
    </row>
    <row r="6" spans="1:3" ht="12.75" customHeight="1" x14ac:dyDescent="0.35">
      <c r="A6" s="36"/>
      <c r="B6" s="17" t="s">
        <v>75</v>
      </c>
    </row>
    <row r="7" spans="1:3" ht="12.75" customHeight="1" x14ac:dyDescent="0.35"/>
    <row r="8" spans="1:3" ht="51" x14ac:dyDescent="0.35">
      <c r="A8" s="19"/>
      <c r="B8" s="90" t="s">
        <v>123</v>
      </c>
      <c r="C8" s="91"/>
    </row>
    <row r="10" spans="1:3" x14ac:dyDescent="0.35">
      <c r="A10" t="s">
        <v>70</v>
      </c>
    </row>
    <row r="11" spans="1:3" ht="25.5" customHeight="1" x14ac:dyDescent="0.4">
      <c r="A11" s="37">
        <v>9</v>
      </c>
      <c r="B11" s="139" t="s">
        <v>135</v>
      </c>
      <c r="C11" s="139"/>
    </row>
    <row r="12" spans="1:3" ht="5.0999999999999996" customHeight="1" x14ac:dyDescent="0.35">
      <c r="A12" s="134"/>
      <c r="B12" s="21"/>
      <c r="C12" s="21"/>
    </row>
    <row r="13" spans="1:3" ht="13.15" x14ac:dyDescent="0.4">
      <c r="A13" s="38">
        <v>2026</v>
      </c>
      <c r="B13" s="21" t="s">
        <v>234</v>
      </c>
      <c r="C13" s="21"/>
    </row>
    <row r="14" spans="1:3" x14ac:dyDescent="0.35">
      <c r="A14" s="18"/>
    </row>
    <row r="15" spans="1:3" ht="24.75" customHeight="1" x14ac:dyDescent="0.35">
      <c r="A15" s="38" t="s">
        <v>236</v>
      </c>
      <c r="B15" s="141" t="s">
        <v>124</v>
      </c>
      <c r="C15" s="141"/>
    </row>
    <row r="16" spans="1:3" ht="12.75" customHeight="1" x14ac:dyDescent="0.35"/>
    <row r="17" spans="1:3" ht="25.5" customHeight="1" x14ac:dyDescent="0.35">
      <c r="A17" s="38" t="s">
        <v>236</v>
      </c>
      <c r="B17" s="139" t="s">
        <v>148</v>
      </c>
      <c r="C17" s="139"/>
    </row>
    <row r="19" spans="1:3" ht="25.5" customHeight="1" x14ac:dyDescent="0.35">
      <c r="A19" s="38"/>
      <c r="B19" s="141" t="s">
        <v>128</v>
      </c>
      <c r="C19" s="141"/>
    </row>
    <row r="21" spans="1:3" x14ac:dyDescent="0.35">
      <c r="A21" s="140" t="s">
        <v>145</v>
      </c>
      <c r="B21" s="140"/>
      <c r="C21" s="140"/>
    </row>
    <row r="22" spans="1:3" x14ac:dyDescent="0.35">
      <c r="A22" s="140" t="s">
        <v>143</v>
      </c>
      <c r="B22" s="140"/>
      <c r="C22" s="140"/>
    </row>
    <row r="23" spans="1:3" x14ac:dyDescent="0.35">
      <c r="A23" s="140" t="s">
        <v>144</v>
      </c>
      <c r="B23" s="140"/>
      <c r="C23" s="140"/>
    </row>
    <row r="24" spans="1:3" ht="25.5" customHeight="1" x14ac:dyDescent="0.35">
      <c r="A24" s="139" t="s">
        <v>187</v>
      </c>
      <c r="B24" s="139"/>
      <c r="C24" s="139"/>
    </row>
    <row r="25" spans="1:3" x14ac:dyDescent="0.35">
      <c r="A25" s="109" t="s">
        <v>230</v>
      </c>
      <c r="B25" s="21"/>
      <c r="C25" s="21"/>
    </row>
    <row r="26" spans="1:3" ht="25.5" customHeight="1" x14ac:dyDescent="0.35">
      <c r="A26" t="s">
        <v>232</v>
      </c>
    </row>
    <row r="28" spans="1:3" x14ac:dyDescent="0.35">
      <c r="A28" t="s">
        <v>74</v>
      </c>
    </row>
    <row r="29" spans="1:3" x14ac:dyDescent="0.35">
      <c r="A29" t="s">
        <v>233</v>
      </c>
    </row>
  </sheetData>
  <sheetProtection algorithmName="SHA-512" hashValue="UwqjKJIjHU4XzO2wga2jT67X9BPHkGIODMBp1xyEzAF0WkEx0aOYNDfKFxw8HHOQKqwx+NdhHyJ8t4GO6sl2WQ==" saltValue="FRgotsD8/bEooCAaZO0EBQ==" spinCount="100000" sheet="1" formatColumns="0"/>
  <mergeCells count="9">
    <mergeCell ref="A24:C24"/>
    <mergeCell ref="A21:C21"/>
    <mergeCell ref="A22:C22"/>
    <mergeCell ref="A23:C23"/>
    <mergeCell ref="A4:C4"/>
    <mergeCell ref="B11:C11"/>
    <mergeCell ref="B15:C15"/>
    <mergeCell ref="B17:C17"/>
    <mergeCell ref="B19:C19"/>
  </mergeCells>
  <hyperlinks>
    <hyperlink ref="A25" r:id="rId1" xr:uid="{00000000-0004-0000-0000-000001000000}"/>
  </hyperlinks>
  <pageMargins left="0.70866141732283472" right="0.70866141732283472" top="1.5748031496062993" bottom="0.78740157480314965" header="0.31496062992125984" footer="0.31496062992125984"/>
  <pageSetup paperSize="9" scale="83" orientation="landscape" r:id="rId2"/>
  <headerFooter>
    <oddHeader>&amp;L&amp;G&amp;R&amp;"Arial,Fett"&amp;12IHK Köln - das Finanztool&amp;"Arial,Standard"&amp;10
&amp;A</oddHeader>
    <oddFooter>&amp;L&amp;8&amp;Z&amp;F\&amp;A\&amp;D\&amp;T&amp;RRelease 3.10</oddFooter>
  </headerFooter>
  <legacyDrawing r:id="rId3"/>
  <legacyDrawingHF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N753"/>
  <sheetViews>
    <sheetView zoomScale="85" zoomScaleNormal="85" zoomScaleSheetLayoutView="70" workbookViewId="0">
      <pane xSplit="6" ySplit="2" topLeftCell="K17" activePane="bottomRight" state="frozen"/>
      <selection pane="topRight" activeCell="G1" sqref="G1"/>
      <selection pane="bottomLeft" activeCell="A3" sqref="A3"/>
      <selection pane="bottomRight" activeCell="S50" sqref="S50"/>
    </sheetView>
  </sheetViews>
  <sheetFormatPr baseColWidth="10" defaultRowHeight="12.75" x14ac:dyDescent="0.35"/>
  <cols>
    <col min="1" max="1" width="45.73046875" customWidth="1"/>
    <col min="2" max="2" width="40" hidden="1" customWidth="1"/>
    <col min="3" max="6" width="8.86328125" customWidth="1"/>
    <col min="7" max="58" width="10.59765625" customWidth="1"/>
    <col min="59" max="259" width="11.3984375"/>
    <col min="260" max="260" width="45.73046875" customWidth="1"/>
    <col min="261" max="261" width="0" hidden="1" customWidth="1"/>
    <col min="262" max="262" width="8.1328125" customWidth="1"/>
    <col min="263" max="314" width="9" customWidth="1"/>
    <col min="315" max="515" width="11.3984375"/>
    <col min="516" max="516" width="45.73046875" customWidth="1"/>
    <col min="517" max="517" width="0" hidden="1" customWidth="1"/>
    <col min="518" max="518" width="8.1328125" customWidth="1"/>
    <col min="519" max="570" width="9" customWidth="1"/>
    <col min="571" max="771" width="11.3984375"/>
    <col min="772" max="772" width="45.73046875" customWidth="1"/>
    <col min="773" max="773" width="0" hidden="1" customWidth="1"/>
    <col min="774" max="774" width="8.1328125" customWidth="1"/>
    <col min="775" max="826" width="9" customWidth="1"/>
    <col min="827" max="1027" width="11.3984375"/>
    <col min="1028" max="1028" width="45.73046875" customWidth="1"/>
    <col min="1029" max="1029" width="0" hidden="1" customWidth="1"/>
    <col min="1030" max="1030" width="8.1328125" customWidth="1"/>
    <col min="1031" max="1082" width="9" customWidth="1"/>
    <col min="1083" max="1283" width="11.3984375"/>
    <col min="1284" max="1284" width="45.73046875" customWidth="1"/>
    <col min="1285" max="1285" width="0" hidden="1" customWidth="1"/>
    <col min="1286" max="1286" width="8.1328125" customWidth="1"/>
    <col min="1287" max="1338" width="9" customWidth="1"/>
    <col min="1339" max="1539" width="11.3984375"/>
    <col min="1540" max="1540" width="45.73046875" customWidth="1"/>
    <col min="1541" max="1541" width="0" hidden="1" customWidth="1"/>
    <col min="1542" max="1542" width="8.1328125" customWidth="1"/>
    <col min="1543" max="1594" width="9" customWidth="1"/>
    <col min="1595" max="1795" width="11.3984375"/>
    <col min="1796" max="1796" width="45.73046875" customWidth="1"/>
    <col min="1797" max="1797" width="0" hidden="1" customWidth="1"/>
    <col min="1798" max="1798" width="8.1328125" customWidth="1"/>
    <col min="1799" max="1850" width="9" customWidth="1"/>
    <col min="1851" max="2051" width="11.3984375"/>
    <col min="2052" max="2052" width="45.73046875" customWidth="1"/>
    <col min="2053" max="2053" width="0" hidden="1" customWidth="1"/>
    <col min="2054" max="2054" width="8.1328125" customWidth="1"/>
    <col min="2055" max="2106" width="9" customWidth="1"/>
    <col min="2107" max="2307" width="11.3984375"/>
    <col min="2308" max="2308" width="45.73046875" customWidth="1"/>
    <col min="2309" max="2309" width="0" hidden="1" customWidth="1"/>
    <col min="2310" max="2310" width="8.1328125" customWidth="1"/>
    <col min="2311" max="2362" width="9" customWidth="1"/>
    <col min="2363" max="2563" width="11.3984375"/>
    <col min="2564" max="2564" width="45.73046875" customWidth="1"/>
    <col min="2565" max="2565" width="0" hidden="1" customWidth="1"/>
    <col min="2566" max="2566" width="8.1328125" customWidth="1"/>
    <col min="2567" max="2618" width="9" customWidth="1"/>
    <col min="2619" max="2819" width="11.3984375"/>
    <col min="2820" max="2820" width="45.73046875" customWidth="1"/>
    <col min="2821" max="2821" width="0" hidden="1" customWidth="1"/>
    <col min="2822" max="2822" width="8.1328125" customWidth="1"/>
    <col min="2823" max="2874" width="9" customWidth="1"/>
    <col min="2875" max="3075" width="11.3984375"/>
    <col min="3076" max="3076" width="45.73046875" customWidth="1"/>
    <col min="3077" max="3077" width="0" hidden="1" customWidth="1"/>
    <col min="3078" max="3078" width="8.1328125" customWidth="1"/>
    <col min="3079" max="3130" width="9" customWidth="1"/>
    <col min="3131" max="3331" width="11.3984375"/>
    <col min="3332" max="3332" width="45.73046875" customWidth="1"/>
    <col min="3333" max="3333" width="0" hidden="1" customWidth="1"/>
    <col min="3334" max="3334" width="8.1328125" customWidth="1"/>
    <col min="3335" max="3386" width="9" customWidth="1"/>
    <col min="3387" max="3587" width="11.3984375"/>
    <col min="3588" max="3588" width="45.73046875" customWidth="1"/>
    <col min="3589" max="3589" width="0" hidden="1" customWidth="1"/>
    <col min="3590" max="3590" width="8.1328125" customWidth="1"/>
    <col min="3591" max="3642" width="9" customWidth="1"/>
    <col min="3643" max="3843" width="11.3984375"/>
    <col min="3844" max="3844" width="45.73046875" customWidth="1"/>
    <col min="3845" max="3845" width="0" hidden="1" customWidth="1"/>
    <col min="3846" max="3846" width="8.1328125" customWidth="1"/>
    <col min="3847" max="3898" width="9" customWidth="1"/>
    <col min="3899" max="4099" width="11.3984375"/>
    <col min="4100" max="4100" width="45.73046875" customWidth="1"/>
    <col min="4101" max="4101" width="0" hidden="1" customWidth="1"/>
    <col min="4102" max="4102" width="8.1328125" customWidth="1"/>
    <col min="4103" max="4154" width="9" customWidth="1"/>
    <col min="4155" max="4355" width="11.3984375"/>
    <col min="4356" max="4356" width="45.73046875" customWidth="1"/>
    <col min="4357" max="4357" width="0" hidden="1" customWidth="1"/>
    <col min="4358" max="4358" width="8.1328125" customWidth="1"/>
    <col min="4359" max="4410" width="9" customWidth="1"/>
    <col min="4411" max="4611" width="11.3984375"/>
    <col min="4612" max="4612" width="45.73046875" customWidth="1"/>
    <col min="4613" max="4613" width="0" hidden="1" customWidth="1"/>
    <col min="4614" max="4614" width="8.1328125" customWidth="1"/>
    <col min="4615" max="4666" width="9" customWidth="1"/>
    <col min="4667" max="4867" width="11.3984375"/>
    <col min="4868" max="4868" width="45.73046875" customWidth="1"/>
    <col min="4869" max="4869" width="0" hidden="1" customWidth="1"/>
    <col min="4870" max="4870" width="8.1328125" customWidth="1"/>
    <col min="4871" max="4922" width="9" customWidth="1"/>
    <col min="4923" max="5123" width="11.3984375"/>
    <col min="5124" max="5124" width="45.73046875" customWidth="1"/>
    <col min="5125" max="5125" width="0" hidden="1" customWidth="1"/>
    <col min="5126" max="5126" width="8.1328125" customWidth="1"/>
    <col min="5127" max="5178" width="9" customWidth="1"/>
    <col min="5179" max="5379" width="11.3984375"/>
    <col min="5380" max="5380" width="45.73046875" customWidth="1"/>
    <col min="5381" max="5381" width="0" hidden="1" customWidth="1"/>
    <col min="5382" max="5382" width="8.1328125" customWidth="1"/>
    <col min="5383" max="5434" width="9" customWidth="1"/>
    <col min="5435" max="5635" width="11.3984375"/>
    <col min="5636" max="5636" width="45.73046875" customWidth="1"/>
    <col min="5637" max="5637" width="0" hidden="1" customWidth="1"/>
    <col min="5638" max="5638" width="8.1328125" customWidth="1"/>
    <col min="5639" max="5690" width="9" customWidth="1"/>
    <col min="5691" max="5891" width="11.3984375"/>
    <col min="5892" max="5892" width="45.73046875" customWidth="1"/>
    <col min="5893" max="5893" width="0" hidden="1" customWidth="1"/>
    <col min="5894" max="5894" width="8.1328125" customWidth="1"/>
    <col min="5895" max="5946" width="9" customWidth="1"/>
    <col min="5947" max="6147" width="11.3984375"/>
    <col min="6148" max="6148" width="45.73046875" customWidth="1"/>
    <col min="6149" max="6149" width="0" hidden="1" customWidth="1"/>
    <col min="6150" max="6150" width="8.1328125" customWidth="1"/>
    <col min="6151" max="6202" width="9" customWidth="1"/>
    <col min="6203" max="6403" width="11.3984375"/>
    <col min="6404" max="6404" width="45.73046875" customWidth="1"/>
    <col min="6405" max="6405" width="0" hidden="1" customWidth="1"/>
    <col min="6406" max="6406" width="8.1328125" customWidth="1"/>
    <col min="6407" max="6458" width="9" customWidth="1"/>
    <col min="6459" max="6659" width="11.3984375"/>
    <col min="6660" max="6660" width="45.73046875" customWidth="1"/>
    <col min="6661" max="6661" width="0" hidden="1" customWidth="1"/>
    <col min="6662" max="6662" width="8.1328125" customWidth="1"/>
    <col min="6663" max="6714" width="9" customWidth="1"/>
    <col min="6715" max="6915" width="11.3984375"/>
    <col min="6916" max="6916" width="45.73046875" customWidth="1"/>
    <col min="6917" max="6917" width="0" hidden="1" customWidth="1"/>
    <col min="6918" max="6918" width="8.1328125" customWidth="1"/>
    <col min="6919" max="6970" width="9" customWidth="1"/>
    <col min="6971" max="7171" width="11.3984375"/>
    <col min="7172" max="7172" width="45.73046875" customWidth="1"/>
    <col min="7173" max="7173" width="0" hidden="1" customWidth="1"/>
    <col min="7174" max="7174" width="8.1328125" customWidth="1"/>
    <col min="7175" max="7226" width="9" customWidth="1"/>
    <col min="7227" max="7427" width="11.3984375"/>
    <col min="7428" max="7428" width="45.73046875" customWidth="1"/>
    <col min="7429" max="7429" width="0" hidden="1" customWidth="1"/>
    <col min="7430" max="7430" width="8.1328125" customWidth="1"/>
    <col min="7431" max="7482" width="9" customWidth="1"/>
    <col min="7483" max="7683" width="11.3984375"/>
    <col min="7684" max="7684" width="45.73046875" customWidth="1"/>
    <col min="7685" max="7685" width="0" hidden="1" customWidth="1"/>
    <col min="7686" max="7686" width="8.1328125" customWidth="1"/>
    <col min="7687" max="7738" width="9" customWidth="1"/>
    <col min="7739" max="7939" width="11.3984375"/>
    <col min="7940" max="7940" width="45.73046875" customWidth="1"/>
    <col min="7941" max="7941" width="0" hidden="1" customWidth="1"/>
    <col min="7942" max="7942" width="8.1328125" customWidth="1"/>
    <col min="7943" max="7994" width="9" customWidth="1"/>
    <col min="7995" max="8195" width="11.3984375"/>
    <col min="8196" max="8196" width="45.73046875" customWidth="1"/>
    <col min="8197" max="8197" width="0" hidden="1" customWidth="1"/>
    <col min="8198" max="8198" width="8.1328125" customWidth="1"/>
    <col min="8199" max="8250" width="9" customWidth="1"/>
    <col min="8251" max="8451" width="11.3984375"/>
    <col min="8452" max="8452" width="45.73046875" customWidth="1"/>
    <col min="8453" max="8453" width="0" hidden="1" customWidth="1"/>
    <col min="8454" max="8454" width="8.1328125" customWidth="1"/>
    <col min="8455" max="8506" width="9" customWidth="1"/>
    <col min="8507" max="8707" width="11.3984375"/>
    <col min="8708" max="8708" width="45.73046875" customWidth="1"/>
    <col min="8709" max="8709" width="0" hidden="1" customWidth="1"/>
    <col min="8710" max="8710" width="8.1328125" customWidth="1"/>
    <col min="8711" max="8762" width="9" customWidth="1"/>
    <col min="8763" max="8963" width="11.3984375"/>
    <col min="8964" max="8964" width="45.73046875" customWidth="1"/>
    <col min="8965" max="8965" width="0" hidden="1" customWidth="1"/>
    <col min="8966" max="8966" width="8.1328125" customWidth="1"/>
    <col min="8967" max="9018" width="9" customWidth="1"/>
    <col min="9019" max="9219" width="11.3984375"/>
    <col min="9220" max="9220" width="45.73046875" customWidth="1"/>
    <col min="9221" max="9221" width="0" hidden="1" customWidth="1"/>
    <col min="9222" max="9222" width="8.1328125" customWidth="1"/>
    <col min="9223" max="9274" width="9" customWidth="1"/>
    <col min="9275" max="9475" width="11.3984375"/>
    <col min="9476" max="9476" width="45.73046875" customWidth="1"/>
    <col min="9477" max="9477" width="0" hidden="1" customWidth="1"/>
    <col min="9478" max="9478" width="8.1328125" customWidth="1"/>
    <col min="9479" max="9530" width="9" customWidth="1"/>
    <col min="9531" max="9731" width="11.3984375"/>
    <col min="9732" max="9732" width="45.73046875" customWidth="1"/>
    <col min="9733" max="9733" width="0" hidden="1" customWidth="1"/>
    <col min="9734" max="9734" width="8.1328125" customWidth="1"/>
    <col min="9735" max="9786" width="9" customWidth="1"/>
    <col min="9787" max="9987" width="11.3984375"/>
    <col min="9988" max="9988" width="45.73046875" customWidth="1"/>
    <col min="9989" max="9989" width="0" hidden="1" customWidth="1"/>
    <col min="9990" max="9990" width="8.1328125" customWidth="1"/>
    <col min="9991" max="10042" width="9" customWidth="1"/>
    <col min="10043" max="10243" width="11.3984375"/>
    <col min="10244" max="10244" width="45.73046875" customWidth="1"/>
    <col min="10245" max="10245" width="0" hidden="1" customWidth="1"/>
    <col min="10246" max="10246" width="8.1328125" customWidth="1"/>
    <col min="10247" max="10298" width="9" customWidth="1"/>
    <col min="10299" max="10499" width="11.3984375"/>
    <col min="10500" max="10500" width="45.73046875" customWidth="1"/>
    <col min="10501" max="10501" width="0" hidden="1" customWidth="1"/>
    <col min="10502" max="10502" width="8.1328125" customWidth="1"/>
    <col min="10503" max="10554" width="9" customWidth="1"/>
    <col min="10555" max="10755" width="11.3984375"/>
    <col min="10756" max="10756" width="45.73046875" customWidth="1"/>
    <col min="10757" max="10757" width="0" hidden="1" customWidth="1"/>
    <col min="10758" max="10758" width="8.1328125" customWidth="1"/>
    <col min="10759" max="10810" width="9" customWidth="1"/>
    <col min="10811" max="11011" width="11.3984375"/>
    <col min="11012" max="11012" width="45.73046875" customWidth="1"/>
    <col min="11013" max="11013" width="0" hidden="1" customWidth="1"/>
    <col min="11014" max="11014" width="8.1328125" customWidth="1"/>
    <col min="11015" max="11066" width="9" customWidth="1"/>
    <col min="11067" max="11267" width="11.3984375"/>
    <col min="11268" max="11268" width="45.73046875" customWidth="1"/>
    <col min="11269" max="11269" width="0" hidden="1" customWidth="1"/>
    <col min="11270" max="11270" width="8.1328125" customWidth="1"/>
    <col min="11271" max="11322" width="9" customWidth="1"/>
    <col min="11323" max="11523" width="11.3984375"/>
    <col min="11524" max="11524" width="45.73046875" customWidth="1"/>
    <col min="11525" max="11525" width="0" hidden="1" customWidth="1"/>
    <col min="11526" max="11526" width="8.1328125" customWidth="1"/>
    <col min="11527" max="11578" width="9" customWidth="1"/>
    <col min="11579" max="11779" width="11.3984375"/>
    <col min="11780" max="11780" width="45.73046875" customWidth="1"/>
    <col min="11781" max="11781" width="0" hidden="1" customWidth="1"/>
    <col min="11782" max="11782" width="8.1328125" customWidth="1"/>
    <col min="11783" max="11834" width="9" customWidth="1"/>
    <col min="11835" max="12035" width="11.3984375"/>
    <col min="12036" max="12036" width="45.73046875" customWidth="1"/>
    <col min="12037" max="12037" width="0" hidden="1" customWidth="1"/>
    <col min="12038" max="12038" width="8.1328125" customWidth="1"/>
    <col min="12039" max="12090" width="9" customWidth="1"/>
    <col min="12091" max="12291" width="11.3984375"/>
    <col min="12292" max="12292" width="45.73046875" customWidth="1"/>
    <col min="12293" max="12293" width="0" hidden="1" customWidth="1"/>
    <col min="12294" max="12294" width="8.1328125" customWidth="1"/>
    <col min="12295" max="12346" width="9" customWidth="1"/>
    <col min="12347" max="12547" width="11.3984375"/>
    <col min="12548" max="12548" width="45.73046875" customWidth="1"/>
    <col min="12549" max="12549" width="0" hidden="1" customWidth="1"/>
    <col min="12550" max="12550" width="8.1328125" customWidth="1"/>
    <col min="12551" max="12602" width="9" customWidth="1"/>
    <col min="12603" max="12803" width="11.3984375"/>
    <col min="12804" max="12804" width="45.73046875" customWidth="1"/>
    <col min="12805" max="12805" width="0" hidden="1" customWidth="1"/>
    <col min="12806" max="12806" width="8.1328125" customWidth="1"/>
    <col min="12807" max="12858" width="9" customWidth="1"/>
    <col min="12859" max="13059" width="11.3984375"/>
    <col min="13060" max="13060" width="45.73046875" customWidth="1"/>
    <col min="13061" max="13061" width="0" hidden="1" customWidth="1"/>
    <col min="13062" max="13062" width="8.1328125" customWidth="1"/>
    <col min="13063" max="13114" width="9" customWidth="1"/>
    <col min="13115" max="13315" width="11.3984375"/>
    <col min="13316" max="13316" width="45.73046875" customWidth="1"/>
    <col min="13317" max="13317" width="0" hidden="1" customWidth="1"/>
    <col min="13318" max="13318" width="8.1328125" customWidth="1"/>
    <col min="13319" max="13370" width="9" customWidth="1"/>
    <col min="13371" max="13571" width="11.3984375"/>
    <col min="13572" max="13572" width="45.73046875" customWidth="1"/>
    <col min="13573" max="13573" width="0" hidden="1" customWidth="1"/>
    <col min="13574" max="13574" width="8.1328125" customWidth="1"/>
    <col min="13575" max="13626" width="9" customWidth="1"/>
    <col min="13627" max="13827" width="11.3984375"/>
    <col min="13828" max="13828" width="45.73046875" customWidth="1"/>
    <col min="13829" max="13829" width="0" hidden="1" customWidth="1"/>
    <col min="13830" max="13830" width="8.1328125" customWidth="1"/>
    <col min="13831" max="13882" width="9" customWidth="1"/>
    <col min="13883" max="14083" width="11.3984375"/>
    <col min="14084" max="14084" width="45.73046875" customWidth="1"/>
    <col min="14085" max="14085" width="0" hidden="1" customWidth="1"/>
    <col min="14086" max="14086" width="8.1328125" customWidth="1"/>
    <col min="14087" max="14138" width="9" customWidth="1"/>
    <col min="14139" max="14339" width="11.3984375"/>
    <col min="14340" max="14340" width="45.73046875" customWidth="1"/>
    <col min="14341" max="14341" width="0" hidden="1" customWidth="1"/>
    <col min="14342" max="14342" width="8.1328125" customWidth="1"/>
    <col min="14343" max="14394" width="9" customWidth="1"/>
    <col min="14395" max="14595" width="11.3984375"/>
    <col min="14596" max="14596" width="45.73046875" customWidth="1"/>
    <col min="14597" max="14597" width="0" hidden="1" customWidth="1"/>
    <col min="14598" max="14598" width="8.1328125" customWidth="1"/>
    <col min="14599" max="14650" width="9" customWidth="1"/>
    <col min="14651" max="14851" width="11.3984375"/>
    <col min="14852" max="14852" width="45.73046875" customWidth="1"/>
    <col min="14853" max="14853" width="0" hidden="1" customWidth="1"/>
    <col min="14854" max="14854" width="8.1328125" customWidth="1"/>
    <col min="14855" max="14906" width="9" customWidth="1"/>
    <col min="14907" max="15107" width="11.3984375"/>
    <col min="15108" max="15108" width="45.73046875" customWidth="1"/>
    <col min="15109" max="15109" width="0" hidden="1" customWidth="1"/>
    <col min="15110" max="15110" width="8.1328125" customWidth="1"/>
    <col min="15111" max="15162" width="9" customWidth="1"/>
    <col min="15163" max="15363" width="11.3984375"/>
    <col min="15364" max="15364" width="45.73046875" customWidth="1"/>
    <col min="15365" max="15365" width="0" hidden="1" customWidth="1"/>
    <col min="15366" max="15366" width="8.1328125" customWidth="1"/>
    <col min="15367" max="15418" width="9" customWidth="1"/>
    <col min="15419" max="15619" width="11.3984375"/>
    <col min="15620" max="15620" width="45.73046875" customWidth="1"/>
    <col min="15621" max="15621" width="0" hidden="1" customWidth="1"/>
    <col min="15622" max="15622" width="8.1328125" customWidth="1"/>
    <col min="15623" max="15674" width="9" customWidth="1"/>
    <col min="15675" max="15875" width="11.3984375"/>
    <col min="15876" max="15876" width="45.73046875" customWidth="1"/>
    <col min="15877" max="15877" width="0" hidden="1" customWidth="1"/>
    <col min="15878" max="15878" width="8.1328125" customWidth="1"/>
    <col min="15879" max="15930" width="9" customWidth="1"/>
    <col min="15931" max="16131" width="11.3984375"/>
    <col min="16132" max="16132" width="45.73046875" customWidth="1"/>
    <col min="16133" max="16133" width="0" hidden="1" customWidth="1"/>
    <col min="16134" max="16134" width="8.1328125" customWidth="1"/>
    <col min="16135" max="16186" width="9" customWidth="1"/>
    <col min="16187" max="16384" width="11.3984375"/>
  </cols>
  <sheetData>
    <row r="1" spans="1:92" s="22" customFormat="1" ht="51" customHeight="1" x14ac:dyDescent="0.35">
      <c r="A1" s="22" t="s">
        <v>142</v>
      </c>
      <c r="C1" s="142" t="str">
        <f>IF('Infos vor dem Start'!A17="x","EUR pro Leistungseinheit (netto)","EUR pro Leistungseinheit (brutto)")</f>
        <v>EUR pro Leistungseinheit (netto)</v>
      </c>
      <c r="D1" s="143"/>
      <c r="E1" s="143"/>
      <c r="F1" s="144"/>
      <c r="G1" s="22" t="s">
        <v>45</v>
      </c>
      <c r="H1" s="22" t="s">
        <v>46</v>
      </c>
      <c r="I1" s="22" t="s">
        <v>47</v>
      </c>
      <c r="J1" s="22" t="s">
        <v>48</v>
      </c>
      <c r="K1" s="22" t="s">
        <v>49</v>
      </c>
      <c r="L1" s="22" t="s">
        <v>50</v>
      </c>
      <c r="M1" s="22" t="s">
        <v>51</v>
      </c>
      <c r="N1" s="22" t="s">
        <v>52</v>
      </c>
      <c r="O1" s="22" t="s">
        <v>53</v>
      </c>
      <c r="P1" s="22" t="s">
        <v>54</v>
      </c>
      <c r="Q1" s="22" t="s">
        <v>55</v>
      </c>
      <c r="R1" s="22" t="s">
        <v>56</v>
      </c>
      <c r="S1" s="130">
        <f>+gj</f>
        <v>2026</v>
      </c>
      <c r="T1" s="22" t="str">
        <f>+G1</f>
        <v>Januar</v>
      </c>
      <c r="U1" s="22" t="str">
        <f t="shared" ref="U1:AE1" si="0">+H1</f>
        <v>Februar</v>
      </c>
      <c r="V1" s="22" t="str">
        <f t="shared" si="0"/>
        <v>März</v>
      </c>
      <c r="W1" s="22" t="str">
        <f t="shared" si="0"/>
        <v>April</v>
      </c>
      <c r="X1" s="22" t="str">
        <f t="shared" si="0"/>
        <v>Mai</v>
      </c>
      <c r="Y1" s="22" t="str">
        <f t="shared" si="0"/>
        <v>Juni</v>
      </c>
      <c r="Z1" s="22" t="str">
        <f t="shared" si="0"/>
        <v>Juli</v>
      </c>
      <c r="AA1" s="22" t="str">
        <f t="shared" si="0"/>
        <v>August</v>
      </c>
      <c r="AB1" s="22" t="str">
        <f t="shared" si="0"/>
        <v>September</v>
      </c>
      <c r="AC1" s="22" t="str">
        <f t="shared" si="0"/>
        <v>Oktober</v>
      </c>
      <c r="AD1" s="22" t="str">
        <f t="shared" si="0"/>
        <v>November</v>
      </c>
      <c r="AE1" s="22" t="str">
        <f t="shared" si="0"/>
        <v>Dezember</v>
      </c>
      <c r="AF1" s="130">
        <f>+gj+1</f>
        <v>2027</v>
      </c>
      <c r="AG1" s="22" t="str">
        <f t="shared" ref="AG1:AR1" si="1">+T1</f>
        <v>Januar</v>
      </c>
      <c r="AH1" s="22" t="str">
        <f t="shared" si="1"/>
        <v>Februar</v>
      </c>
      <c r="AI1" s="22" t="str">
        <f t="shared" si="1"/>
        <v>März</v>
      </c>
      <c r="AJ1" s="22" t="str">
        <f t="shared" si="1"/>
        <v>April</v>
      </c>
      <c r="AK1" s="22" t="str">
        <f t="shared" si="1"/>
        <v>Mai</v>
      </c>
      <c r="AL1" s="22" t="str">
        <f t="shared" si="1"/>
        <v>Juni</v>
      </c>
      <c r="AM1" s="22" t="str">
        <f t="shared" si="1"/>
        <v>Juli</v>
      </c>
      <c r="AN1" s="22" t="str">
        <f t="shared" si="1"/>
        <v>August</v>
      </c>
      <c r="AO1" s="22" t="str">
        <f t="shared" si="1"/>
        <v>September</v>
      </c>
      <c r="AP1" s="22" t="str">
        <f t="shared" si="1"/>
        <v>Oktober</v>
      </c>
      <c r="AQ1" s="22" t="str">
        <f t="shared" si="1"/>
        <v>November</v>
      </c>
      <c r="AR1" s="22" t="str">
        <f t="shared" si="1"/>
        <v>Dezember</v>
      </c>
      <c r="AS1" s="130">
        <f>+gj+2</f>
        <v>2028</v>
      </c>
      <c r="AT1" s="22" t="str">
        <f t="shared" ref="AT1:BE1" si="2">+AG1</f>
        <v>Januar</v>
      </c>
      <c r="AU1" s="22" t="str">
        <f t="shared" si="2"/>
        <v>Februar</v>
      </c>
      <c r="AV1" s="22" t="str">
        <f t="shared" si="2"/>
        <v>März</v>
      </c>
      <c r="AW1" s="22" t="str">
        <f t="shared" si="2"/>
        <v>April</v>
      </c>
      <c r="AX1" s="22" t="str">
        <f t="shared" si="2"/>
        <v>Mai</v>
      </c>
      <c r="AY1" s="22" t="str">
        <f t="shared" si="2"/>
        <v>Juni</v>
      </c>
      <c r="AZ1" s="22" t="str">
        <f t="shared" si="2"/>
        <v>Juli</v>
      </c>
      <c r="BA1" s="22" t="str">
        <f t="shared" si="2"/>
        <v>August</v>
      </c>
      <c r="BB1" s="22" t="str">
        <f t="shared" si="2"/>
        <v>September</v>
      </c>
      <c r="BC1" s="22" t="str">
        <f t="shared" si="2"/>
        <v>Oktober</v>
      </c>
      <c r="BD1" s="22" t="str">
        <f t="shared" si="2"/>
        <v>November</v>
      </c>
      <c r="BE1" s="22" t="str">
        <f t="shared" si="2"/>
        <v>Dezember</v>
      </c>
      <c r="BF1" s="130">
        <f>+gj+3</f>
        <v>2029</v>
      </c>
    </row>
    <row r="2" spans="1:92" s="127" customFormat="1" x14ac:dyDescent="0.35">
      <c r="C2" s="129">
        <f>+gj</f>
        <v>2026</v>
      </c>
      <c r="D2" s="129">
        <f>+C2+1</f>
        <v>2027</v>
      </c>
      <c r="E2" s="129">
        <f t="shared" ref="E2:F2" si="3">+D2+1</f>
        <v>2028</v>
      </c>
      <c r="F2" s="129">
        <f t="shared" si="3"/>
        <v>2029</v>
      </c>
      <c r="S2" s="128"/>
      <c r="AF2" s="128"/>
      <c r="AS2" s="128"/>
      <c r="BF2" s="128"/>
    </row>
    <row r="3" spans="1:92" s="1" customFormat="1" ht="27.75" customHeight="1" x14ac:dyDescent="0.4">
      <c r="A3" s="39" t="s">
        <v>238</v>
      </c>
      <c r="B3" s="39"/>
      <c r="C3" s="40">
        <v>18000</v>
      </c>
      <c r="D3" s="40"/>
      <c r="E3" s="40"/>
      <c r="F3" s="40"/>
      <c r="G3" s="43">
        <v>0</v>
      </c>
      <c r="H3" s="43">
        <v>0</v>
      </c>
      <c r="I3" s="43">
        <v>0</v>
      </c>
      <c r="J3" s="43">
        <v>0</v>
      </c>
      <c r="K3" s="43">
        <v>0</v>
      </c>
      <c r="L3" s="43">
        <v>0</v>
      </c>
      <c r="M3" s="43">
        <v>0</v>
      </c>
      <c r="N3" s="43">
        <v>0</v>
      </c>
      <c r="O3" s="43">
        <v>0</v>
      </c>
      <c r="P3" s="43">
        <v>0</v>
      </c>
      <c r="Q3" s="43">
        <v>0</v>
      </c>
      <c r="R3" s="43">
        <v>1</v>
      </c>
      <c r="S3" s="4">
        <f t="shared" ref="S3:S10" si="4">SUM(G3:R3)</f>
        <v>1</v>
      </c>
      <c r="T3" s="43">
        <f>P3</f>
        <v>0</v>
      </c>
      <c r="U3" s="43">
        <f>T3*1.05</f>
        <v>0</v>
      </c>
      <c r="V3" s="43">
        <f>U3*1.05</f>
        <v>0</v>
      </c>
      <c r="W3" s="43">
        <f t="shared" ref="W3:X3" si="5">V3*1.05</f>
        <v>0</v>
      </c>
      <c r="X3" s="43">
        <f t="shared" si="5"/>
        <v>0</v>
      </c>
      <c r="Y3" s="43">
        <f t="shared" ref="Y3:Y5" si="6">X3*1.05</f>
        <v>0</v>
      </c>
      <c r="Z3" s="43">
        <f t="shared" ref="Z3:Z5" si="7">Y3*1.05</f>
        <v>0</v>
      </c>
      <c r="AA3" s="43">
        <f t="shared" ref="AA3:AA5" si="8">Z3*1.05</f>
        <v>0</v>
      </c>
      <c r="AB3" s="43">
        <f t="shared" ref="AB3:AB5" si="9">AA3*1.05</f>
        <v>0</v>
      </c>
      <c r="AC3" s="43">
        <f t="shared" ref="AC3:AC5" si="10">AB3*1.05</f>
        <v>0</v>
      </c>
      <c r="AD3" s="43">
        <f t="shared" ref="AD3:AD5" si="11">AC3*1.05</f>
        <v>0</v>
      </c>
      <c r="AE3" s="43">
        <f t="shared" ref="AE3:AE5" si="12">AD3*1.05</f>
        <v>0</v>
      </c>
      <c r="AF3" s="4">
        <f t="shared" ref="AF3:AF10" si="13">SUM(T3:AE3)</f>
        <v>0</v>
      </c>
      <c r="AG3" s="43">
        <f>AC3</f>
        <v>0</v>
      </c>
      <c r="AH3" s="43">
        <f>AG3*1.05</f>
        <v>0</v>
      </c>
      <c r="AI3" s="43">
        <f t="shared" ref="AI3:AN3" si="14">AH3*1.05</f>
        <v>0</v>
      </c>
      <c r="AJ3" s="43">
        <f t="shared" si="14"/>
        <v>0</v>
      </c>
      <c r="AK3" s="43">
        <f t="shared" si="14"/>
        <v>0</v>
      </c>
      <c r="AL3" s="43">
        <f t="shared" si="14"/>
        <v>0</v>
      </c>
      <c r="AM3" s="43">
        <f t="shared" si="14"/>
        <v>0</v>
      </c>
      <c r="AN3" s="43">
        <f t="shared" si="14"/>
        <v>0</v>
      </c>
      <c r="AO3" s="43">
        <v>0</v>
      </c>
      <c r="AP3" s="43">
        <v>0</v>
      </c>
      <c r="AQ3" s="43">
        <v>0</v>
      </c>
      <c r="AR3" s="43">
        <v>0</v>
      </c>
      <c r="AS3" s="4">
        <f t="shared" ref="AS3:AS10" si="15">SUM(AG3:AR3)</f>
        <v>0</v>
      </c>
      <c r="AT3" s="43"/>
      <c r="AU3" s="43"/>
      <c r="AV3" s="43"/>
      <c r="AW3" s="43"/>
      <c r="AX3" s="43"/>
      <c r="AY3" s="43"/>
      <c r="AZ3" s="43"/>
      <c r="BA3" s="43"/>
      <c r="BB3" s="43"/>
      <c r="BC3" s="43"/>
      <c r="BD3" s="43"/>
      <c r="BE3" s="43"/>
      <c r="BF3" s="4">
        <f t="shared" ref="BF3:BF10" si="16">SUM(AT3:BE3)</f>
        <v>0</v>
      </c>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row>
    <row r="4" spans="1:92" s="1" customFormat="1" ht="13.15" x14ac:dyDescent="0.4">
      <c r="A4" s="39" t="s">
        <v>239</v>
      </c>
      <c r="B4" s="39"/>
      <c r="C4" s="40">
        <v>29500</v>
      </c>
      <c r="D4" s="40"/>
      <c r="E4" s="40"/>
      <c r="F4" s="40"/>
      <c r="G4" s="43">
        <v>0</v>
      </c>
      <c r="H4" s="43">
        <v>0</v>
      </c>
      <c r="I4" s="43">
        <v>0</v>
      </c>
      <c r="J4" s="43">
        <v>0</v>
      </c>
      <c r="K4" s="43">
        <v>0</v>
      </c>
      <c r="L4" s="43">
        <v>0</v>
      </c>
      <c r="M4" s="43">
        <v>0</v>
      </c>
      <c r="N4" s="43">
        <v>0</v>
      </c>
      <c r="O4" s="43">
        <v>0</v>
      </c>
      <c r="P4" s="43">
        <v>0</v>
      </c>
      <c r="Q4" s="43">
        <v>0</v>
      </c>
      <c r="R4" s="43">
        <v>0</v>
      </c>
      <c r="S4" s="4">
        <f t="shared" si="4"/>
        <v>0</v>
      </c>
      <c r="T4" s="43">
        <f t="shared" ref="T4:T6" si="17">P4</f>
        <v>0</v>
      </c>
      <c r="U4" s="43">
        <f t="shared" ref="U4:V5" si="18">T4*1.05</f>
        <v>0</v>
      </c>
      <c r="V4" s="43">
        <f t="shared" si="18"/>
        <v>0</v>
      </c>
      <c r="W4" s="43">
        <f t="shared" ref="W4:X4" si="19">V4*1.05</f>
        <v>0</v>
      </c>
      <c r="X4" s="43">
        <f t="shared" si="19"/>
        <v>0</v>
      </c>
      <c r="Y4" s="43">
        <f t="shared" si="6"/>
        <v>0</v>
      </c>
      <c r="Z4" s="43">
        <f t="shared" si="7"/>
        <v>0</v>
      </c>
      <c r="AA4" s="43">
        <f t="shared" si="8"/>
        <v>0</v>
      </c>
      <c r="AB4" s="43">
        <f t="shared" si="9"/>
        <v>0</v>
      </c>
      <c r="AC4" s="43">
        <f t="shared" si="10"/>
        <v>0</v>
      </c>
      <c r="AD4" s="43">
        <f t="shared" si="11"/>
        <v>0</v>
      </c>
      <c r="AE4" s="43">
        <f t="shared" si="12"/>
        <v>0</v>
      </c>
      <c r="AF4" s="4">
        <f t="shared" si="13"/>
        <v>0</v>
      </c>
      <c r="AG4" s="43">
        <f t="shared" ref="AG4:AG7" si="20">AC4</f>
        <v>0</v>
      </c>
      <c r="AH4" s="43">
        <f t="shared" ref="AH4:AN7" si="21">AG4*1.05</f>
        <v>0</v>
      </c>
      <c r="AI4" s="43">
        <f t="shared" si="21"/>
        <v>0</v>
      </c>
      <c r="AJ4" s="43">
        <f t="shared" si="21"/>
        <v>0</v>
      </c>
      <c r="AK4" s="43">
        <f t="shared" si="21"/>
        <v>0</v>
      </c>
      <c r="AL4" s="43">
        <f t="shared" si="21"/>
        <v>0</v>
      </c>
      <c r="AM4" s="43">
        <f t="shared" si="21"/>
        <v>0</v>
      </c>
      <c r="AN4" s="43">
        <f t="shared" si="21"/>
        <v>0</v>
      </c>
      <c r="AO4" s="43">
        <v>0</v>
      </c>
      <c r="AP4" s="43">
        <v>0</v>
      </c>
      <c r="AQ4" s="43">
        <v>0</v>
      </c>
      <c r="AR4" s="43">
        <v>0</v>
      </c>
      <c r="AS4" s="4">
        <f t="shared" si="15"/>
        <v>0</v>
      </c>
      <c r="AT4" s="43"/>
      <c r="AU4" s="43"/>
      <c r="AV4" s="43"/>
      <c r="AW4" s="43"/>
      <c r="AX4" s="43"/>
      <c r="AY4" s="43"/>
      <c r="AZ4" s="43"/>
      <c r="BA4" s="43"/>
      <c r="BB4" s="43"/>
      <c r="BC4" s="43"/>
      <c r="BD4" s="43"/>
      <c r="BE4" s="43"/>
      <c r="BF4" s="4">
        <f t="shared" si="16"/>
        <v>0</v>
      </c>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row>
    <row r="5" spans="1:92" s="1" customFormat="1" ht="13.15" x14ac:dyDescent="0.4">
      <c r="A5" s="39" t="s">
        <v>240</v>
      </c>
      <c r="B5" s="39"/>
      <c r="C5" s="40">
        <v>14000</v>
      </c>
      <c r="D5" s="40"/>
      <c r="E5" s="40"/>
      <c r="F5" s="40"/>
      <c r="G5" s="43">
        <v>0</v>
      </c>
      <c r="H5" s="43">
        <v>0</v>
      </c>
      <c r="I5" s="43">
        <v>0</v>
      </c>
      <c r="J5" s="43">
        <v>0</v>
      </c>
      <c r="K5" s="43">
        <v>0</v>
      </c>
      <c r="L5" s="43">
        <v>0</v>
      </c>
      <c r="M5" s="43">
        <v>0</v>
      </c>
      <c r="N5" s="43">
        <v>0</v>
      </c>
      <c r="O5" s="43">
        <v>0</v>
      </c>
      <c r="P5" s="43">
        <v>1</v>
      </c>
      <c r="Q5" s="43">
        <v>0</v>
      </c>
      <c r="R5" s="43">
        <v>0</v>
      </c>
      <c r="S5" s="4">
        <f t="shared" si="4"/>
        <v>1</v>
      </c>
      <c r="T5" s="43">
        <f t="shared" si="17"/>
        <v>1</v>
      </c>
      <c r="U5" s="43">
        <f t="shared" si="18"/>
        <v>1.05</v>
      </c>
      <c r="V5" s="43">
        <f t="shared" si="18"/>
        <v>1.1025</v>
      </c>
      <c r="W5" s="43">
        <f t="shared" ref="W5:X5" si="22">V5*1.05</f>
        <v>1.1576250000000001</v>
      </c>
      <c r="X5" s="43">
        <f t="shared" si="22"/>
        <v>1.2155062500000002</v>
      </c>
      <c r="Y5" s="43">
        <f t="shared" si="6"/>
        <v>1.2762815625000004</v>
      </c>
      <c r="Z5" s="43">
        <f t="shared" si="7"/>
        <v>1.3400956406250004</v>
      </c>
      <c r="AA5" s="43">
        <f t="shared" si="8"/>
        <v>1.4071004226562505</v>
      </c>
      <c r="AB5" s="43">
        <f t="shared" si="9"/>
        <v>1.477455443789063</v>
      </c>
      <c r="AC5" s="43">
        <f t="shared" si="10"/>
        <v>1.5513282159785162</v>
      </c>
      <c r="AD5" s="43">
        <f t="shared" si="11"/>
        <v>1.628894626777442</v>
      </c>
      <c r="AE5" s="43">
        <f t="shared" si="12"/>
        <v>1.7103393581163142</v>
      </c>
      <c r="AF5" s="4">
        <f t="shared" si="13"/>
        <v>15.917126520442588</v>
      </c>
      <c r="AG5" s="43">
        <f t="shared" si="20"/>
        <v>1.5513282159785162</v>
      </c>
      <c r="AH5" s="43">
        <f t="shared" si="21"/>
        <v>1.628894626777442</v>
      </c>
      <c r="AI5" s="43">
        <f t="shared" si="21"/>
        <v>1.7103393581163142</v>
      </c>
      <c r="AJ5" s="43">
        <f t="shared" si="21"/>
        <v>1.7958563260221301</v>
      </c>
      <c r="AK5" s="43">
        <f t="shared" si="21"/>
        <v>1.8856491423232367</v>
      </c>
      <c r="AL5" s="43">
        <f t="shared" si="21"/>
        <v>1.9799315994393987</v>
      </c>
      <c r="AM5" s="43">
        <f t="shared" si="21"/>
        <v>2.0789281794113688</v>
      </c>
      <c r="AN5" s="43">
        <f t="shared" si="21"/>
        <v>2.1828745883819374</v>
      </c>
      <c r="AO5" s="43">
        <v>0</v>
      </c>
      <c r="AP5" s="43">
        <v>0</v>
      </c>
      <c r="AQ5" s="43">
        <v>0</v>
      </c>
      <c r="AR5" s="43">
        <v>0</v>
      </c>
      <c r="AS5" s="4">
        <f t="shared" si="15"/>
        <v>14.813802036450342</v>
      </c>
      <c r="AT5" s="43"/>
      <c r="AU5" s="43"/>
      <c r="AV5" s="43"/>
      <c r="AW5" s="43"/>
      <c r="AX5" s="43"/>
      <c r="AY5" s="43"/>
      <c r="AZ5" s="43"/>
      <c r="BA5" s="43"/>
      <c r="BB5" s="43"/>
      <c r="BC5" s="43"/>
      <c r="BD5" s="43"/>
      <c r="BE5" s="43"/>
      <c r="BF5" s="4">
        <f t="shared" si="16"/>
        <v>0</v>
      </c>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row>
    <row r="6" spans="1:92" s="1" customFormat="1" ht="13.15" x14ac:dyDescent="0.4">
      <c r="A6" s="39"/>
      <c r="B6" s="39"/>
      <c r="C6" s="40"/>
      <c r="D6" s="40"/>
      <c r="E6" s="40"/>
      <c r="F6" s="40"/>
      <c r="G6" s="43">
        <v>0</v>
      </c>
      <c r="H6" s="43">
        <v>0</v>
      </c>
      <c r="I6" s="43">
        <v>0</v>
      </c>
      <c r="J6" s="43">
        <v>0</v>
      </c>
      <c r="K6" s="43">
        <v>0</v>
      </c>
      <c r="L6" s="43">
        <v>0</v>
      </c>
      <c r="M6" s="43">
        <v>0</v>
      </c>
      <c r="N6" s="43">
        <v>0</v>
      </c>
      <c r="O6" s="43">
        <v>0</v>
      </c>
      <c r="P6" s="43">
        <v>0</v>
      </c>
      <c r="Q6" s="43">
        <v>0</v>
      </c>
      <c r="R6" s="43">
        <v>0</v>
      </c>
      <c r="S6" s="4">
        <f t="shared" si="4"/>
        <v>0</v>
      </c>
      <c r="T6" s="43">
        <f t="shared" si="17"/>
        <v>0</v>
      </c>
      <c r="U6" s="43">
        <f>T6*1.1</f>
        <v>0</v>
      </c>
      <c r="V6" s="43">
        <f t="shared" ref="V6:AE6" si="23">U6*1.1</f>
        <v>0</v>
      </c>
      <c r="W6" s="43">
        <f t="shared" si="23"/>
        <v>0</v>
      </c>
      <c r="X6" s="43">
        <f t="shared" si="23"/>
        <v>0</v>
      </c>
      <c r="Y6" s="43">
        <f t="shared" si="23"/>
        <v>0</v>
      </c>
      <c r="Z6" s="43">
        <f t="shared" si="23"/>
        <v>0</v>
      </c>
      <c r="AA6" s="43">
        <f t="shared" ref="AA6:AA7" si="24">Z6*1.1</f>
        <v>0</v>
      </c>
      <c r="AB6" s="43">
        <f t="shared" ref="AB6:AB7" si="25">AA6*1.1</f>
        <v>0</v>
      </c>
      <c r="AC6" s="43">
        <f t="shared" ref="AC6:AC7" si="26">AB6*1.1</f>
        <v>0</v>
      </c>
      <c r="AD6" s="43">
        <f t="shared" si="23"/>
        <v>0</v>
      </c>
      <c r="AE6" s="43">
        <f t="shared" si="23"/>
        <v>0</v>
      </c>
      <c r="AF6" s="4">
        <f t="shared" si="13"/>
        <v>0</v>
      </c>
      <c r="AG6" s="43">
        <f t="shared" si="20"/>
        <v>0</v>
      </c>
      <c r="AH6" s="43">
        <f t="shared" si="21"/>
        <v>0</v>
      </c>
      <c r="AI6" s="43">
        <f t="shared" si="21"/>
        <v>0</v>
      </c>
      <c r="AJ6" s="43">
        <f t="shared" si="21"/>
        <v>0</v>
      </c>
      <c r="AK6" s="43">
        <f t="shared" si="21"/>
        <v>0</v>
      </c>
      <c r="AL6" s="43">
        <f t="shared" si="21"/>
        <v>0</v>
      </c>
      <c r="AM6" s="43">
        <f t="shared" si="21"/>
        <v>0</v>
      </c>
      <c r="AN6" s="43">
        <f t="shared" si="21"/>
        <v>0</v>
      </c>
      <c r="AO6" s="43">
        <v>0</v>
      </c>
      <c r="AP6" s="43">
        <v>0</v>
      </c>
      <c r="AQ6" s="43">
        <v>0</v>
      </c>
      <c r="AR6" s="43">
        <v>0</v>
      </c>
      <c r="AS6" s="4">
        <f t="shared" si="15"/>
        <v>0</v>
      </c>
      <c r="AT6" s="43"/>
      <c r="AU6" s="43"/>
      <c r="AV6" s="43"/>
      <c r="AW6" s="43"/>
      <c r="AX6" s="43"/>
      <c r="AY6" s="43"/>
      <c r="AZ6" s="43"/>
      <c r="BA6" s="43"/>
      <c r="BB6" s="43"/>
      <c r="BC6" s="43"/>
      <c r="BD6" s="43"/>
      <c r="BE6" s="43"/>
      <c r="BF6" s="4">
        <f t="shared" si="16"/>
        <v>0</v>
      </c>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s="1" customFormat="1" ht="13.15" x14ac:dyDescent="0.4">
      <c r="A7" s="39"/>
      <c r="B7" s="39"/>
      <c r="C7" s="40"/>
      <c r="D7" s="40"/>
      <c r="E7" s="40"/>
      <c r="F7" s="40"/>
      <c r="G7" s="43">
        <v>0</v>
      </c>
      <c r="H7" s="43">
        <v>0</v>
      </c>
      <c r="I7" s="43">
        <v>0</v>
      </c>
      <c r="J7" s="43">
        <v>0</v>
      </c>
      <c r="K7" s="43">
        <v>0</v>
      </c>
      <c r="L7" s="43">
        <v>0</v>
      </c>
      <c r="M7" s="43">
        <v>0</v>
      </c>
      <c r="N7" s="43">
        <v>0</v>
      </c>
      <c r="O7" s="43">
        <v>0</v>
      </c>
      <c r="P7" s="43">
        <v>0</v>
      </c>
      <c r="Q7" s="43">
        <v>0</v>
      </c>
      <c r="R7" s="43">
        <v>0</v>
      </c>
      <c r="S7" s="4">
        <f t="shared" si="4"/>
        <v>0</v>
      </c>
      <c r="T7" s="43">
        <f>P7</f>
        <v>0</v>
      </c>
      <c r="U7" s="43">
        <f>T7*1.1</f>
        <v>0</v>
      </c>
      <c r="V7" s="43">
        <f t="shared" ref="V7:AE7" si="27">U7*1.1</f>
        <v>0</v>
      </c>
      <c r="W7" s="43">
        <f t="shared" si="27"/>
        <v>0</v>
      </c>
      <c r="X7" s="43">
        <f t="shared" si="27"/>
        <v>0</v>
      </c>
      <c r="Y7" s="43">
        <f t="shared" si="27"/>
        <v>0</v>
      </c>
      <c r="Z7" s="43">
        <f t="shared" si="27"/>
        <v>0</v>
      </c>
      <c r="AA7" s="43">
        <f t="shared" si="24"/>
        <v>0</v>
      </c>
      <c r="AB7" s="43">
        <f t="shared" si="25"/>
        <v>0</v>
      </c>
      <c r="AC7" s="43">
        <f t="shared" si="26"/>
        <v>0</v>
      </c>
      <c r="AD7" s="43">
        <f t="shared" si="27"/>
        <v>0</v>
      </c>
      <c r="AE7" s="43">
        <f t="shared" si="27"/>
        <v>0</v>
      </c>
      <c r="AF7" s="4">
        <f t="shared" si="13"/>
        <v>0</v>
      </c>
      <c r="AG7" s="43">
        <f t="shared" si="20"/>
        <v>0</v>
      </c>
      <c r="AH7" s="43">
        <f t="shared" si="21"/>
        <v>0</v>
      </c>
      <c r="AI7" s="43">
        <f t="shared" si="21"/>
        <v>0</v>
      </c>
      <c r="AJ7" s="43">
        <f t="shared" si="21"/>
        <v>0</v>
      </c>
      <c r="AK7" s="43">
        <f t="shared" si="21"/>
        <v>0</v>
      </c>
      <c r="AL7" s="43">
        <f t="shared" si="21"/>
        <v>0</v>
      </c>
      <c r="AM7" s="43">
        <f t="shared" si="21"/>
        <v>0</v>
      </c>
      <c r="AN7" s="43">
        <f t="shared" si="21"/>
        <v>0</v>
      </c>
      <c r="AO7" s="43">
        <v>0</v>
      </c>
      <c r="AP7" s="43">
        <v>0</v>
      </c>
      <c r="AQ7" s="43">
        <v>0</v>
      </c>
      <c r="AR7" s="43">
        <v>0</v>
      </c>
      <c r="AS7" s="4">
        <f t="shared" si="15"/>
        <v>0</v>
      </c>
      <c r="AT7" s="43"/>
      <c r="AU7" s="43"/>
      <c r="AV7" s="43"/>
      <c r="AW7" s="43"/>
      <c r="AX7" s="43"/>
      <c r="AY7" s="43"/>
      <c r="AZ7" s="43"/>
      <c r="BA7" s="43"/>
      <c r="BB7" s="43"/>
      <c r="BC7" s="43"/>
      <c r="BD7" s="43"/>
      <c r="BE7" s="43"/>
      <c r="BF7" s="4">
        <f t="shared" si="16"/>
        <v>0</v>
      </c>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s="1" customFormat="1" ht="13.15" x14ac:dyDescent="0.4">
      <c r="A8" s="39"/>
      <c r="B8" s="39"/>
      <c r="C8" s="40"/>
      <c r="D8" s="40"/>
      <c r="E8" s="40"/>
      <c r="F8" s="40"/>
      <c r="G8" s="43">
        <v>0</v>
      </c>
      <c r="H8" s="43">
        <v>0</v>
      </c>
      <c r="I8" s="43">
        <v>0</v>
      </c>
      <c r="J8" s="43">
        <v>0</v>
      </c>
      <c r="K8" s="43">
        <v>0</v>
      </c>
      <c r="L8" s="43">
        <v>0</v>
      </c>
      <c r="M8" s="43">
        <v>0</v>
      </c>
      <c r="N8" s="43">
        <v>0</v>
      </c>
      <c r="O8" s="43">
        <v>0</v>
      </c>
      <c r="P8" s="43">
        <v>0</v>
      </c>
      <c r="Q8" s="43">
        <v>0</v>
      </c>
      <c r="R8" s="43">
        <v>0</v>
      </c>
      <c r="S8" s="4">
        <f t="shared" si="4"/>
        <v>0</v>
      </c>
      <c r="T8" s="43">
        <f t="shared" ref="T8" si="28">R8</f>
        <v>0</v>
      </c>
      <c r="U8" s="43">
        <f t="shared" ref="U8" si="29">S8</f>
        <v>0</v>
      </c>
      <c r="V8" s="43">
        <f t="shared" ref="V8" si="30">T8</f>
        <v>0</v>
      </c>
      <c r="W8" s="43">
        <f t="shared" ref="W8" si="31">U8</f>
        <v>0</v>
      </c>
      <c r="X8" s="43">
        <f t="shared" ref="X8" si="32">V8</f>
        <v>0</v>
      </c>
      <c r="Y8" s="43">
        <f t="shared" ref="Y8" si="33">W8</f>
        <v>0</v>
      </c>
      <c r="Z8" s="43">
        <f t="shared" ref="Z8" si="34">X8</f>
        <v>0</v>
      </c>
      <c r="AA8" s="43">
        <f t="shared" ref="AA8" si="35">Y8</f>
        <v>0</v>
      </c>
      <c r="AB8" s="43">
        <f t="shared" ref="AB8" si="36">Z8</f>
        <v>0</v>
      </c>
      <c r="AC8" s="43">
        <f t="shared" ref="AC8" si="37">AA8</f>
        <v>0</v>
      </c>
      <c r="AD8" s="43">
        <f t="shared" ref="AD8" si="38">AB8</f>
        <v>0</v>
      </c>
      <c r="AE8" s="43">
        <f t="shared" ref="AE8" si="39">AC8</f>
        <v>0</v>
      </c>
      <c r="AF8" s="4">
        <f t="shared" si="13"/>
        <v>0</v>
      </c>
      <c r="AG8" s="43">
        <v>0</v>
      </c>
      <c r="AH8" s="43">
        <v>0</v>
      </c>
      <c r="AI8" s="43">
        <v>0</v>
      </c>
      <c r="AJ8" s="43">
        <v>0</v>
      </c>
      <c r="AK8" s="43">
        <v>0</v>
      </c>
      <c r="AL8" s="43">
        <v>0</v>
      </c>
      <c r="AM8" s="43">
        <v>0</v>
      </c>
      <c r="AN8" s="43">
        <v>0</v>
      </c>
      <c r="AO8" s="43">
        <v>0</v>
      </c>
      <c r="AP8" s="43">
        <v>0</v>
      </c>
      <c r="AQ8" s="43">
        <v>0</v>
      </c>
      <c r="AR8" s="43">
        <v>0</v>
      </c>
      <c r="AS8" s="4">
        <f t="shared" si="15"/>
        <v>0</v>
      </c>
      <c r="AT8" s="43"/>
      <c r="AU8" s="43"/>
      <c r="AV8" s="43"/>
      <c r="AW8" s="43"/>
      <c r="AX8" s="43"/>
      <c r="AY8" s="43"/>
      <c r="AZ8" s="43"/>
      <c r="BA8" s="43"/>
      <c r="BB8" s="43"/>
      <c r="BC8" s="43"/>
      <c r="BD8" s="43"/>
      <c r="BE8" s="43"/>
      <c r="BF8" s="4">
        <f t="shared" si="16"/>
        <v>0</v>
      </c>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s="1" customFormat="1" ht="13.15" x14ac:dyDescent="0.4">
      <c r="A9" s="39"/>
      <c r="B9" s="39"/>
      <c r="C9" s="40"/>
      <c r="D9" s="40"/>
      <c r="E9" s="40"/>
      <c r="F9" s="40"/>
      <c r="G9" s="43"/>
      <c r="H9" s="43"/>
      <c r="I9" s="43"/>
      <c r="J9" s="43"/>
      <c r="K9" s="43"/>
      <c r="L9" s="43"/>
      <c r="M9" s="43"/>
      <c r="N9" s="43"/>
      <c r="O9" s="43"/>
      <c r="P9" s="43"/>
      <c r="Q9" s="43"/>
      <c r="R9" s="43"/>
      <c r="S9" s="4">
        <f t="shared" si="4"/>
        <v>0</v>
      </c>
      <c r="T9" s="43"/>
      <c r="U9" s="43"/>
      <c r="V9" s="43"/>
      <c r="W9" s="43"/>
      <c r="X9" s="43"/>
      <c r="Y9" s="43"/>
      <c r="Z9" s="43"/>
      <c r="AA9" s="43"/>
      <c r="AB9" s="43"/>
      <c r="AC9" s="43"/>
      <c r="AD9" s="43"/>
      <c r="AE9" s="43"/>
      <c r="AF9" s="4">
        <f t="shared" si="13"/>
        <v>0</v>
      </c>
      <c r="AG9" s="43"/>
      <c r="AH9" s="43"/>
      <c r="AI9" s="43"/>
      <c r="AJ9" s="43"/>
      <c r="AK9" s="43"/>
      <c r="AL9" s="43"/>
      <c r="AM9" s="43"/>
      <c r="AN9" s="43"/>
      <c r="AO9" s="43"/>
      <c r="AP9" s="43"/>
      <c r="AQ9" s="43"/>
      <c r="AR9" s="43"/>
      <c r="AS9" s="4">
        <f t="shared" si="15"/>
        <v>0</v>
      </c>
      <c r="AT9" s="43"/>
      <c r="AU9" s="43"/>
      <c r="AV9" s="43"/>
      <c r="AW9" s="43"/>
      <c r="AX9" s="43"/>
      <c r="AY9" s="43"/>
      <c r="AZ9" s="43"/>
      <c r="BA9" s="43"/>
      <c r="BB9" s="43"/>
      <c r="BC9" s="43"/>
      <c r="BD9" s="43"/>
      <c r="BE9" s="43"/>
      <c r="BF9" s="4">
        <f t="shared" si="16"/>
        <v>0</v>
      </c>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s="1" customFormat="1" ht="13.15" x14ac:dyDescent="0.4">
      <c r="A10" s="39"/>
      <c r="B10" s="39"/>
      <c r="C10" s="40"/>
      <c r="D10" s="40"/>
      <c r="E10" s="40"/>
      <c r="F10" s="40"/>
      <c r="G10" s="43"/>
      <c r="H10" s="43"/>
      <c r="I10" s="43"/>
      <c r="J10" s="43"/>
      <c r="K10" s="43"/>
      <c r="L10" s="43"/>
      <c r="M10" s="43"/>
      <c r="N10" s="43"/>
      <c r="O10" s="43"/>
      <c r="P10" s="43"/>
      <c r="Q10" s="43"/>
      <c r="R10" s="43"/>
      <c r="S10" s="4">
        <f t="shared" si="4"/>
        <v>0</v>
      </c>
      <c r="T10" s="43"/>
      <c r="U10" s="43"/>
      <c r="V10" s="43"/>
      <c r="W10" s="43"/>
      <c r="X10" s="43"/>
      <c r="Y10" s="43"/>
      <c r="Z10" s="43"/>
      <c r="AA10" s="43"/>
      <c r="AB10" s="43"/>
      <c r="AC10" s="43"/>
      <c r="AD10" s="43"/>
      <c r="AE10" s="43"/>
      <c r="AF10" s="4">
        <f t="shared" si="13"/>
        <v>0</v>
      </c>
      <c r="AG10" s="43"/>
      <c r="AH10" s="43"/>
      <c r="AI10" s="43"/>
      <c r="AJ10" s="43"/>
      <c r="AK10" s="43"/>
      <c r="AL10" s="43"/>
      <c r="AM10" s="43"/>
      <c r="AN10" s="43"/>
      <c r="AO10" s="43"/>
      <c r="AP10" s="43"/>
      <c r="AQ10" s="43"/>
      <c r="AR10" s="43"/>
      <c r="AS10" s="4">
        <f t="shared" si="15"/>
        <v>0</v>
      </c>
      <c r="AT10" s="43"/>
      <c r="AU10" s="43"/>
      <c r="AV10" s="43"/>
      <c r="AW10" s="43"/>
      <c r="AX10" s="43"/>
      <c r="AY10" s="43"/>
      <c r="AZ10" s="43"/>
      <c r="BA10" s="43"/>
      <c r="BB10" s="43"/>
      <c r="BC10" s="43"/>
      <c r="BD10" s="43"/>
      <c r="BE10" s="43"/>
      <c r="BF10" s="4">
        <f t="shared" si="16"/>
        <v>0</v>
      </c>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s="1" customFormat="1" ht="13.15" x14ac:dyDescent="0.4">
      <c r="A11" s="39"/>
      <c r="B11" s="39"/>
      <c r="C11" s="40"/>
      <c r="D11" s="40"/>
      <c r="E11" s="40"/>
      <c r="F11" s="40"/>
      <c r="G11" s="43"/>
      <c r="H11" s="43"/>
      <c r="I11" s="43"/>
      <c r="J11" s="43"/>
      <c r="K11" s="43"/>
      <c r="L11" s="43"/>
      <c r="M11" s="43"/>
      <c r="N11" s="43"/>
      <c r="O11" s="43"/>
      <c r="P11" s="43"/>
      <c r="Q11" s="43"/>
      <c r="R11" s="43"/>
      <c r="S11" s="4">
        <f t="shared" ref="S11:S22" si="40">SUM(G11:R11)</f>
        <v>0</v>
      </c>
      <c r="T11" s="43"/>
      <c r="U11" s="43"/>
      <c r="V11" s="43"/>
      <c r="W11" s="43"/>
      <c r="X11" s="43"/>
      <c r="Y11" s="43"/>
      <c r="Z11" s="43"/>
      <c r="AA11" s="43"/>
      <c r="AB11" s="43"/>
      <c r="AC11" s="43"/>
      <c r="AD11" s="43"/>
      <c r="AE11" s="43"/>
      <c r="AF11" s="4">
        <f t="shared" ref="AF11:AF22" si="41">SUM(T11:AE11)</f>
        <v>0</v>
      </c>
      <c r="AG11" s="43"/>
      <c r="AH11" s="43"/>
      <c r="AI11" s="43"/>
      <c r="AJ11" s="43"/>
      <c r="AK11" s="43"/>
      <c r="AL11" s="43"/>
      <c r="AM11" s="43"/>
      <c r="AN11" s="43"/>
      <c r="AO11" s="43"/>
      <c r="AP11" s="43"/>
      <c r="AQ11" s="43"/>
      <c r="AR11" s="43"/>
      <c r="AS11" s="4">
        <f t="shared" ref="AS11:AS22" si="42">SUM(AG11:AR11)</f>
        <v>0</v>
      </c>
      <c r="AT11" s="43"/>
      <c r="AU11" s="43"/>
      <c r="AV11" s="43"/>
      <c r="AW11" s="43"/>
      <c r="AX11" s="43"/>
      <c r="AY11" s="43"/>
      <c r="AZ11" s="43"/>
      <c r="BA11" s="43"/>
      <c r="BB11" s="43"/>
      <c r="BC11" s="43"/>
      <c r="BD11" s="43"/>
      <c r="BE11" s="43"/>
      <c r="BF11" s="4">
        <f t="shared" ref="BF11:BF22" si="43">SUM(AT11:BE11)</f>
        <v>0</v>
      </c>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s="1" customFormat="1" ht="13.15" x14ac:dyDescent="0.4">
      <c r="A12" s="39"/>
      <c r="B12" s="39"/>
      <c r="C12" s="40"/>
      <c r="D12" s="40"/>
      <c r="E12" s="40"/>
      <c r="F12" s="40"/>
      <c r="G12" s="43"/>
      <c r="H12" s="43"/>
      <c r="I12" s="43"/>
      <c r="J12" s="43"/>
      <c r="K12" s="43"/>
      <c r="L12" s="43"/>
      <c r="M12" s="43"/>
      <c r="N12" s="43"/>
      <c r="O12" s="43"/>
      <c r="P12" s="43"/>
      <c r="Q12" s="43"/>
      <c r="R12" s="43"/>
      <c r="S12" s="4">
        <f t="shared" si="40"/>
        <v>0</v>
      </c>
      <c r="T12" s="43"/>
      <c r="U12" s="43"/>
      <c r="V12" s="43"/>
      <c r="W12" s="43"/>
      <c r="X12" s="43"/>
      <c r="Y12" s="43"/>
      <c r="Z12" s="43"/>
      <c r="AA12" s="43"/>
      <c r="AB12" s="43"/>
      <c r="AC12" s="43"/>
      <c r="AD12" s="43"/>
      <c r="AE12" s="43"/>
      <c r="AF12" s="4">
        <f t="shared" si="41"/>
        <v>0</v>
      </c>
      <c r="AG12" s="43"/>
      <c r="AH12" s="43"/>
      <c r="AI12" s="43"/>
      <c r="AJ12" s="43"/>
      <c r="AK12" s="43"/>
      <c r="AL12" s="43"/>
      <c r="AM12" s="43"/>
      <c r="AN12" s="43"/>
      <c r="AO12" s="43"/>
      <c r="AP12" s="43"/>
      <c r="AQ12" s="43"/>
      <c r="AR12" s="43"/>
      <c r="AS12" s="4">
        <f t="shared" si="42"/>
        <v>0</v>
      </c>
      <c r="AT12" s="43"/>
      <c r="AU12" s="43"/>
      <c r="AV12" s="43"/>
      <c r="AW12" s="43"/>
      <c r="AX12" s="43"/>
      <c r="AY12" s="43"/>
      <c r="AZ12" s="43"/>
      <c r="BA12" s="43"/>
      <c r="BB12" s="43"/>
      <c r="BC12" s="43"/>
      <c r="BD12" s="43"/>
      <c r="BE12" s="43"/>
      <c r="BF12" s="4">
        <f t="shared" si="43"/>
        <v>0</v>
      </c>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s="1" customFormat="1" ht="13.15" x14ac:dyDescent="0.4">
      <c r="A13" s="39"/>
      <c r="B13" s="39"/>
      <c r="C13" s="40"/>
      <c r="D13" s="40"/>
      <c r="E13" s="40"/>
      <c r="F13" s="40"/>
      <c r="G13" s="43"/>
      <c r="H13" s="43"/>
      <c r="I13" s="43"/>
      <c r="J13" s="43"/>
      <c r="K13" s="43"/>
      <c r="L13" s="43"/>
      <c r="M13" s="43"/>
      <c r="N13" s="43"/>
      <c r="O13" s="43"/>
      <c r="P13" s="43"/>
      <c r="Q13" s="43"/>
      <c r="R13" s="43"/>
      <c r="S13" s="4">
        <f t="shared" si="40"/>
        <v>0</v>
      </c>
      <c r="T13" s="43"/>
      <c r="U13" s="43"/>
      <c r="V13" s="43"/>
      <c r="W13" s="43"/>
      <c r="X13" s="43"/>
      <c r="Y13" s="43"/>
      <c r="Z13" s="43"/>
      <c r="AA13" s="43"/>
      <c r="AB13" s="43"/>
      <c r="AC13" s="43"/>
      <c r="AD13" s="43"/>
      <c r="AE13" s="43"/>
      <c r="AF13" s="4">
        <f t="shared" si="41"/>
        <v>0</v>
      </c>
      <c r="AG13" s="43"/>
      <c r="AH13" s="43"/>
      <c r="AI13" s="43"/>
      <c r="AJ13" s="43"/>
      <c r="AK13" s="43"/>
      <c r="AL13" s="43"/>
      <c r="AM13" s="43"/>
      <c r="AN13" s="43"/>
      <c r="AO13" s="43"/>
      <c r="AP13" s="43"/>
      <c r="AQ13" s="43"/>
      <c r="AR13" s="43"/>
      <c r="AS13" s="4">
        <f t="shared" si="42"/>
        <v>0</v>
      </c>
      <c r="AT13" s="43"/>
      <c r="AU13" s="43"/>
      <c r="AV13" s="43"/>
      <c r="AW13" s="43"/>
      <c r="AX13" s="43"/>
      <c r="AY13" s="43"/>
      <c r="AZ13" s="43"/>
      <c r="BA13" s="43"/>
      <c r="BB13" s="43"/>
      <c r="BC13" s="43"/>
      <c r="BD13" s="43"/>
      <c r="BE13" s="43"/>
      <c r="BF13" s="4">
        <f t="shared" si="43"/>
        <v>0</v>
      </c>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s="1" customFormat="1" ht="13.15" x14ac:dyDescent="0.4">
      <c r="A14" s="39"/>
      <c r="B14" s="39"/>
      <c r="C14" s="40"/>
      <c r="D14" s="40"/>
      <c r="E14" s="40"/>
      <c r="F14" s="40"/>
      <c r="G14" s="43"/>
      <c r="H14" s="43"/>
      <c r="I14" s="43"/>
      <c r="J14" s="43"/>
      <c r="K14" s="43"/>
      <c r="L14" s="43"/>
      <c r="M14" s="43"/>
      <c r="N14" s="43"/>
      <c r="O14" s="43"/>
      <c r="P14" s="43"/>
      <c r="Q14" s="43"/>
      <c r="R14" s="43"/>
      <c r="S14" s="4">
        <f t="shared" si="40"/>
        <v>0</v>
      </c>
      <c r="T14" s="43"/>
      <c r="U14" s="43"/>
      <c r="V14" s="43"/>
      <c r="W14" s="43"/>
      <c r="X14" s="43"/>
      <c r="Y14" s="43"/>
      <c r="Z14" s="43"/>
      <c r="AA14" s="43"/>
      <c r="AB14" s="43"/>
      <c r="AC14" s="43"/>
      <c r="AD14" s="43"/>
      <c r="AE14" s="43"/>
      <c r="AF14" s="4">
        <f t="shared" si="41"/>
        <v>0</v>
      </c>
      <c r="AG14" s="43"/>
      <c r="AH14" s="43"/>
      <c r="AI14" s="43"/>
      <c r="AJ14" s="43"/>
      <c r="AK14" s="43"/>
      <c r="AL14" s="43"/>
      <c r="AM14" s="43"/>
      <c r="AN14" s="43"/>
      <c r="AO14" s="43"/>
      <c r="AP14" s="43"/>
      <c r="AQ14" s="43"/>
      <c r="AR14" s="43"/>
      <c r="AS14" s="4">
        <f t="shared" si="42"/>
        <v>0</v>
      </c>
      <c r="AT14" s="43"/>
      <c r="AU14" s="43"/>
      <c r="AV14" s="43"/>
      <c r="AW14" s="43"/>
      <c r="AX14" s="43"/>
      <c r="AY14" s="43"/>
      <c r="AZ14" s="43"/>
      <c r="BA14" s="43"/>
      <c r="BB14" s="43"/>
      <c r="BC14" s="43"/>
      <c r="BD14" s="43"/>
      <c r="BE14" s="43"/>
      <c r="BF14" s="4">
        <f t="shared" si="43"/>
        <v>0</v>
      </c>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s="1" customFormat="1" ht="13.15" x14ac:dyDescent="0.4">
      <c r="A15" s="39"/>
      <c r="B15" s="39"/>
      <c r="C15" s="40"/>
      <c r="D15" s="40"/>
      <c r="E15" s="40"/>
      <c r="F15" s="40"/>
      <c r="G15" s="43"/>
      <c r="H15" s="43"/>
      <c r="I15" s="43"/>
      <c r="J15" s="43"/>
      <c r="K15" s="43"/>
      <c r="L15" s="43"/>
      <c r="M15" s="43"/>
      <c r="N15" s="43"/>
      <c r="O15" s="43"/>
      <c r="P15" s="43"/>
      <c r="Q15" s="43"/>
      <c r="R15" s="43"/>
      <c r="S15" s="4">
        <f t="shared" si="40"/>
        <v>0</v>
      </c>
      <c r="T15" s="43"/>
      <c r="U15" s="43"/>
      <c r="V15" s="43"/>
      <c r="W15" s="43"/>
      <c r="X15" s="43"/>
      <c r="Y15" s="43"/>
      <c r="Z15" s="43"/>
      <c r="AA15" s="43"/>
      <c r="AB15" s="43"/>
      <c r="AC15" s="43"/>
      <c r="AD15" s="43"/>
      <c r="AE15" s="43"/>
      <c r="AF15" s="4">
        <f t="shared" si="41"/>
        <v>0</v>
      </c>
      <c r="AG15" s="43"/>
      <c r="AH15" s="43"/>
      <c r="AI15" s="43"/>
      <c r="AJ15" s="43"/>
      <c r="AK15" s="43"/>
      <c r="AL15" s="43"/>
      <c r="AM15" s="43"/>
      <c r="AN15" s="43"/>
      <c r="AO15" s="43"/>
      <c r="AP15" s="43"/>
      <c r="AQ15" s="43"/>
      <c r="AR15" s="43"/>
      <c r="AS15" s="4">
        <f t="shared" si="42"/>
        <v>0</v>
      </c>
      <c r="AT15" s="43"/>
      <c r="AU15" s="43"/>
      <c r="AV15" s="43"/>
      <c r="AW15" s="43"/>
      <c r="AX15" s="43"/>
      <c r="AY15" s="43"/>
      <c r="AZ15" s="43"/>
      <c r="BA15" s="43"/>
      <c r="BB15" s="43"/>
      <c r="BC15" s="43"/>
      <c r="BD15" s="43"/>
      <c r="BE15" s="43"/>
      <c r="BF15" s="4">
        <f t="shared" si="43"/>
        <v>0</v>
      </c>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s="1" customFormat="1" ht="13.15" x14ac:dyDescent="0.4">
      <c r="A16" s="39"/>
      <c r="B16" s="39"/>
      <c r="C16" s="40"/>
      <c r="D16" s="40"/>
      <c r="E16" s="40"/>
      <c r="F16" s="40"/>
      <c r="G16" s="43"/>
      <c r="H16" s="43"/>
      <c r="I16" s="43"/>
      <c r="J16" s="43"/>
      <c r="K16" s="43"/>
      <c r="L16" s="43"/>
      <c r="M16" s="43"/>
      <c r="N16" s="43"/>
      <c r="O16" s="43"/>
      <c r="P16" s="43"/>
      <c r="Q16" s="43"/>
      <c r="R16" s="43"/>
      <c r="S16" s="4">
        <f t="shared" si="40"/>
        <v>0</v>
      </c>
      <c r="T16" s="43"/>
      <c r="U16" s="43"/>
      <c r="V16" s="43"/>
      <c r="W16" s="43"/>
      <c r="X16" s="43"/>
      <c r="Y16" s="43"/>
      <c r="Z16" s="43"/>
      <c r="AA16" s="43"/>
      <c r="AB16" s="43"/>
      <c r="AC16" s="43"/>
      <c r="AD16" s="43"/>
      <c r="AE16" s="43"/>
      <c r="AF16" s="4">
        <f t="shared" si="41"/>
        <v>0</v>
      </c>
      <c r="AG16" s="43"/>
      <c r="AH16" s="43"/>
      <c r="AI16" s="43"/>
      <c r="AJ16" s="43"/>
      <c r="AK16" s="43"/>
      <c r="AL16" s="43"/>
      <c r="AM16" s="43"/>
      <c r="AN16" s="43"/>
      <c r="AO16" s="43"/>
      <c r="AP16" s="43"/>
      <c r="AQ16" s="43"/>
      <c r="AR16" s="43"/>
      <c r="AS16" s="4">
        <f t="shared" si="42"/>
        <v>0</v>
      </c>
      <c r="AT16" s="43"/>
      <c r="AU16" s="43"/>
      <c r="AV16" s="43"/>
      <c r="AW16" s="43"/>
      <c r="AX16" s="43"/>
      <c r="AY16" s="43"/>
      <c r="AZ16" s="43"/>
      <c r="BA16" s="43"/>
      <c r="BB16" s="43"/>
      <c r="BC16" s="43"/>
      <c r="BD16" s="43"/>
      <c r="BE16" s="43"/>
      <c r="BF16" s="4">
        <f t="shared" si="43"/>
        <v>0</v>
      </c>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s="1" customFormat="1" ht="13.15" x14ac:dyDescent="0.4">
      <c r="A17" s="39"/>
      <c r="B17" s="39"/>
      <c r="C17" s="40"/>
      <c r="D17" s="40"/>
      <c r="E17" s="40"/>
      <c r="F17" s="40"/>
      <c r="G17" s="43"/>
      <c r="H17" s="43"/>
      <c r="I17" s="43"/>
      <c r="J17" s="43"/>
      <c r="K17" s="43"/>
      <c r="L17" s="43"/>
      <c r="M17" s="43"/>
      <c r="N17" s="43"/>
      <c r="O17" s="43"/>
      <c r="P17" s="43"/>
      <c r="Q17" s="43"/>
      <c r="R17" s="43"/>
      <c r="S17" s="4">
        <f t="shared" si="40"/>
        <v>0</v>
      </c>
      <c r="T17" s="43"/>
      <c r="U17" s="43"/>
      <c r="V17" s="43"/>
      <c r="W17" s="43"/>
      <c r="X17" s="43"/>
      <c r="Y17" s="43"/>
      <c r="Z17" s="43"/>
      <c r="AA17" s="43"/>
      <c r="AB17" s="43"/>
      <c r="AC17" s="43"/>
      <c r="AD17" s="43"/>
      <c r="AE17" s="43"/>
      <c r="AF17" s="4">
        <f t="shared" si="41"/>
        <v>0</v>
      </c>
      <c r="AG17" s="43"/>
      <c r="AH17" s="43"/>
      <c r="AI17" s="43"/>
      <c r="AJ17" s="43"/>
      <c r="AK17" s="43"/>
      <c r="AL17" s="43"/>
      <c r="AM17" s="43"/>
      <c r="AN17" s="43"/>
      <c r="AO17" s="43"/>
      <c r="AP17" s="43"/>
      <c r="AQ17" s="43"/>
      <c r="AR17" s="43"/>
      <c r="AS17" s="4">
        <f t="shared" si="42"/>
        <v>0</v>
      </c>
      <c r="AT17" s="43"/>
      <c r="AU17" s="43"/>
      <c r="AV17" s="43"/>
      <c r="AW17" s="43"/>
      <c r="AX17" s="43"/>
      <c r="AY17" s="43"/>
      <c r="AZ17" s="43"/>
      <c r="BA17" s="43"/>
      <c r="BB17" s="43"/>
      <c r="BC17" s="43"/>
      <c r="BD17" s="43"/>
      <c r="BE17" s="43"/>
      <c r="BF17" s="4">
        <f t="shared" si="43"/>
        <v>0</v>
      </c>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s="1" customFormat="1" ht="13.15" x14ac:dyDescent="0.4">
      <c r="A18" s="39"/>
      <c r="B18" s="39"/>
      <c r="C18" s="40"/>
      <c r="D18" s="40"/>
      <c r="E18" s="40"/>
      <c r="F18" s="40"/>
      <c r="G18" s="43"/>
      <c r="H18" s="43"/>
      <c r="I18" s="43"/>
      <c r="J18" s="43"/>
      <c r="K18" s="43"/>
      <c r="L18" s="43"/>
      <c r="M18" s="43"/>
      <c r="N18" s="43"/>
      <c r="O18" s="43"/>
      <c r="P18" s="43"/>
      <c r="Q18" s="43"/>
      <c r="R18" s="43"/>
      <c r="S18" s="4">
        <f t="shared" si="40"/>
        <v>0</v>
      </c>
      <c r="T18" s="43"/>
      <c r="U18" s="43"/>
      <c r="V18" s="43"/>
      <c r="W18" s="43"/>
      <c r="X18" s="43"/>
      <c r="Y18" s="43"/>
      <c r="Z18" s="43"/>
      <c r="AA18" s="43"/>
      <c r="AB18" s="43"/>
      <c r="AC18" s="43"/>
      <c r="AD18" s="43"/>
      <c r="AE18" s="43"/>
      <c r="AF18" s="4">
        <f t="shared" si="41"/>
        <v>0</v>
      </c>
      <c r="AG18" s="43"/>
      <c r="AH18" s="43"/>
      <c r="AI18" s="43"/>
      <c r="AJ18" s="43"/>
      <c r="AK18" s="43"/>
      <c r="AL18" s="43"/>
      <c r="AM18" s="43"/>
      <c r="AN18" s="43"/>
      <c r="AO18" s="43"/>
      <c r="AP18" s="43"/>
      <c r="AQ18" s="43"/>
      <c r="AR18" s="43"/>
      <c r="AS18" s="4">
        <f t="shared" si="42"/>
        <v>0</v>
      </c>
      <c r="AT18" s="43"/>
      <c r="AU18" s="43"/>
      <c r="AV18" s="43"/>
      <c r="AW18" s="43"/>
      <c r="AX18" s="43"/>
      <c r="AY18" s="43"/>
      <c r="AZ18" s="43"/>
      <c r="BA18" s="43"/>
      <c r="BB18" s="43"/>
      <c r="BC18" s="43"/>
      <c r="BD18" s="43"/>
      <c r="BE18" s="43"/>
      <c r="BF18" s="4">
        <f t="shared" si="43"/>
        <v>0</v>
      </c>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s="1" customFormat="1" ht="13.15" x14ac:dyDescent="0.4">
      <c r="A19" s="39"/>
      <c r="B19" s="39"/>
      <c r="C19" s="40"/>
      <c r="D19" s="40"/>
      <c r="E19" s="40"/>
      <c r="F19" s="40"/>
      <c r="G19" s="43"/>
      <c r="H19" s="43"/>
      <c r="I19" s="43"/>
      <c r="J19" s="43"/>
      <c r="K19" s="43"/>
      <c r="L19" s="43"/>
      <c r="M19" s="43"/>
      <c r="N19" s="43"/>
      <c r="O19" s="43"/>
      <c r="P19" s="43"/>
      <c r="Q19" s="43"/>
      <c r="R19" s="43"/>
      <c r="S19" s="4">
        <f t="shared" si="40"/>
        <v>0</v>
      </c>
      <c r="T19" s="43"/>
      <c r="U19" s="43"/>
      <c r="V19" s="43"/>
      <c r="W19" s="43"/>
      <c r="X19" s="43"/>
      <c r="Y19" s="43"/>
      <c r="Z19" s="43"/>
      <c r="AA19" s="43"/>
      <c r="AB19" s="43"/>
      <c r="AC19" s="43"/>
      <c r="AD19" s="43"/>
      <c r="AE19" s="43"/>
      <c r="AF19" s="4">
        <f t="shared" si="41"/>
        <v>0</v>
      </c>
      <c r="AG19" s="43"/>
      <c r="AH19" s="43"/>
      <c r="AI19" s="43"/>
      <c r="AJ19" s="43"/>
      <c r="AK19" s="43"/>
      <c r="AL19" s="43"/>
      <c r="AM19" s="43"/>
      <c r="AN19" s="43"/>
      <c r="AO19" s="43"/>
      <c r="AP19" s="43"/>
      <c r="AQ19" s="43"/>
      <c r="AR19" s="43"/>
      <c r="AS19" s="4">
        <f t="shared" si="42"/>
        <v>0</v>
      </c>
      <c r="AT19" s="43"/>
      <c r="AU19" s="43"/>
      <c r="AV19" s="43"/>
      <c r="AW19" s="43"/>
      <c r="AX19" s="43"/>
      <c r="AY19" s="43"/>
      <c r="AZ19" s="43"/>
      <c r="BA19" s="43"/>
      <c r="BB19" s="43"/>
      <c r="BC19" s="43"/>
      <c r="BD19" s="43"/>
      <c r="BE19" s="43"/>
      <c r="BF19" s="4">
        <f t="shared" si="43"/>
        <v>0</v>
      </c>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s="1" customFormat="1" ht="13.15" x14ac:dyDescent="0.4">
      <c r="A20" s="39"/>
      <c r="B20" s="39"/>
      <c r="C20" s="40"/>
      <c r="D20" s="40"/>
      <c r="E20" s="40"/>
      <c r="F20" s="40"/>
      <c r="G20" s="43"/>
      <c r="H20" s="43"/>
      <c r="I20" s="43"/>
      <c r="J20" s="43"/>
      <c r="K20" s="43"/>
      <c r="L20" s="43"/>
      <c r="M20" s="43"/>
      <c r="N20" s="43"/>
      <c r="O20" s="43"/>
      <c r="P20" s="43"/>
      <c r="Q20" s="43"/>
      <c r="R20" s="43"/>
      <c r="S20" s="4">
        <f t="shared" si="40"/>
        <v>0</v>
      </c>
      <c r="T20" s="43"/>
      <c r="U20" s="43"/>
      <c r="V20" s="43"/>
      <c r="W20" s="43"/>
      <c r="X20" s="43"/>
      <c r="Y20" s="43"/>
      <c r="Z20" s="43"/>
      <c r="AA20" s="43"/>
      <c r="AB20" s="43"/>
      <c r="AC20" s="43"/>
      <c r="AD20" s="43"/>
      <c r="AE20" s="43"/>
      <c r="AF20" s="4">
        <f t="shared" si="41"/>
        <v>0</v>
      </c>
      <c r="AG20" s="43"/>
      <c r="AH20" s="43"/>
      <c r="AI20" s="43"/>
      <c r="AJ20" s="43"/>
      <c r="AK20" s="43"/>
      <c r="AL20" s="43"/>
      <c r="AM20" s="43"/>
      <c r="AN20" s="43"/>
      <c r="AO20" s="43"/>
      <c r="AP20" s="43"/>
      <c r="AQ20" s="43"/>
      <c r="AR20" s="43"/>
      <c r="AS20" s="4">
        <f t="shared" si="42"/>
        <v>0</v>
      </c>
      <c r="AT20" s="43"/>
      <c r="AU20" s="43"/>
      <c r="AV20" s="43"/>
      <c r="AW20" s="43"/>
      <c r="AX20" s="43"/>
      <c r="AY20" s="43"/>
      <c r="AZ20" s="43"/>
      <c r="BA20" s="43"/>
      <c r="BB20" s="43"/>
      <c r="BC20" s="43"/>
      <c r="BD20" s="43"/>
      <c r="BE20" s="43"/>
      <c r="BF20" s="4">
        <f t="shared" si="43"/>
        <v>0</v>
      </c>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s="1" customFormat="1" ht="13.15" x14ac:dyDescent="0.4">
      <c r="A21" s="39"/>
      <c r="B21" s="39"/>
      <c r="C21" s="40"/>
      <c r="D21" s="40"/>
      <c r="E21" s="40"/>
      <c r="F21" s="40"/>
      <c r="G21" s="43"/>
      <c r="H21" s="43"/>
      <c r="I21" s="43"/>
      <c r="J21" s="43"/>
      <c r="K21" s="43"/>
      <c r="L21" s="43"/>
      <c r="M21" s="43"/>
      <c r="N21" s="43"/>
      <c r="O21" s="43"/>
      <c r="P21" s="43"/>
      <c r="Q21" s="43"/>
      <c r="R21" s="43"/>
      <c r="S21" s="4">
        <f t="shared" si="40"/>
        <v>0</v>
      </c>
      <c r="T21" s="43"/>
      <c r="U21" s="43"/>
      <c r="V21" s="43"/>
      <c r="W21" s="43"/>
      <c r="X21" s="43"/>
      <c r="Y21" s="43"/>
      <c r="Z21" s="43"/>
      <c r="AA21" s="43"/>
      <c r="AB21" s="43"/>
      <c r="AC21" s="43"/>
      <c r="AD21" s="43"/>
      <c r="AE21" s="43"/>
      <c r="AF21" s="4">
        <f t="shared" si="41"/>
        <v>0</v>
      </c>
      <c r="AG21" s="43"/>
      <c r="AH21" s="43"/>
      <c r="AI21" s="43"/>
      <c r="AJ21" s="43"/>
      <c r="AK21" s="43"/>
      <c r="AL21" s="43"/>
      <c r="AM21" s="43"/>
      <c r="AN21" s="43"/>
      <c r="AO21" s="43"/>
      <c r="AP21" s="43"/>
      <c r="AQ21" s="43"/>
      <c r="AR21" s="43"/>
      <c r="AS21" s="4">
        <f t="shared" si="42"/>
        <v>0</v>
      </c>
      <c r="AT21" s="43"/>
      <c r="AU21" s="43"/>
      <c r="AV21" s="43"/>
      <c r="AW21" s="43"/>
      <c r="AX21" s="43"/>
      <c r="AY21" s="43"/>
      <c r="AZ21" s="43"/>
      <c r="BA21" s="43"/>
      <c r="BB21" s="43"/>
      <c r="BC21" s="43"/>
      <c r="BD21" s="43"/>
      <c r="BE21" s="43"/>
      <c r="BF21" s="4">
        <f t="shared" si="43"/>
        <v>0</v>
      </c>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s="1" customFormat="1" ht="13.15" x14ac:dyDescent="0.4">
      <c r="A22" s="39"/>
      <c r="B22" s="39"/>
      <c r="C22" s="40"/>
      <c r="D22" s="40"/>
      <c r="E22" s="40"/>
      <c r="F22" s="40"/>
      <c r="G22" s="43"/>
      <c r="H22" s="43"/>
      <c r="I22" s="43"/>
      <c r="J22" s="43"/>
      <c r="K22" s="43"/>
      <c r="L22" s="43"/>
      <c r="M22" s="43"/>
      <c r="N22" s="43"/>
      <c r="O22" s="43"/>
      <c r="P22" s="43"/>
      <c r="Q22" s="43"/>
      <c r="R22" s="43"/>
      <c r="S22" s="4">
        <f t="shared" si="40"/>
        <v>0</v>
      </c>
      <c r="T22" s="43"/>
      <c r="U22" s="43"/>
      <c r="V22" s="43"/>
      <c r="W22" s="43"/>
      <c r="X22" s="43"/>
      <c r="Y22" s="43"/>
      <c r="Z22" s="43"/>
      <c r="AA22" s="43"/>
      <c r="AB22" s="43"/>
      <c r="AC22" s="43"/>
      <c r="AD22" s="43"/>
      <c r="AE22" s="43"/>
      <c r="AF22" s="4">
        <f t="shared" si="41"/>
        <v>0</v>
      </c>
      <c r="AG22" s="43"/>
      <c r="AH22" s="43"/>
      <c r="AI22" s="43"/>
      <c r="AJ22" s="43"/>
      <c r="AK22" s="43"/>
      <c r="AL22" s="43"/>
      <c r="AM22" s="43"/>
      <c r="AN22" s="43"/>
      <c r="AO22" s="43"/>
      <c r="AP22" s="43"/>
      <c r="AQ22" s="43"/>
      <c r="AR22" s="43"/>
      <c r="AS22" s="4">
        <f t="shared" si="42"/>
        <v>0</v>
      </c>
      <c r="AT22" s="43"/>
      <c r="AU22" s="43"/>
      <c r="AV22" s="43"/>
      <c r="AW22" s="43"/>
      <c r="AX22" s="43"/>
      <c r="AY22" s="43"/>
      <c r="AZ22" s="43"/>
      <c r="BA22" s="43"/>
      <c r="BB22" s="43"/>
      <c r="BC22" s="43"/>
      <c r="BD22" s="43"/>
      <c r="BE22" s="43"/>
      <c r="BF22" s="4">
        <f t="shared" si="43"/>
        <v>0</v>
      </c>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s="1" customFormat="1" ht="13.15" collapsed="1" thickBot="1" x14ac:dyDescent="0.4">
      <c r="G23" s="6">
        <f>SUM(G3:G22)</f>
        <v>0</v>
      </c>
      <c r="H23" s="6">
        <f t="shared" ref="H23:BF23" si="44">SUM(H3:H22)</f>
        <v>0</v>
      </c>
      <c r="I23" s="6">
        <f t="shared" si="44"/>
        <v>0</v>
      </c>
      <c r="J23" s="6">
        <f t="shared" si="44"/>
        <v>0</v>
      </c>
      <c r="K23" s="6">
        <f t="shared" si="44"/>
        <v>0</v>
      </c>
      <c r="L23" s="6">
        <f t="shared" si="44"/>
        <v>0</v>
      </c>
      <c r="M23" s="6">
        <f t="shared" si="44"/>
        <v>0</v>
      </c>
      <c r="N23" s="6">
        <f t="shared" si="44"/>
        <v>0</v>
      </c>
      <c r="O23" s="6">
        <f t="shared" si="44"/>
        <v>0</v>
      </c>
      <c r="P23" s="6">
        <f t="shared" si="44"/>
        <v>1</v>
      </c>
      <c r="Q23" s="6">
        <f t="shared" si="44"/>
        <v>0</v>
      </c>
      <c r="R23" s="6">
        <f t="shared" si="44"/>
        <v>1</v>
      </c>
      <c r="S23" s="7">
        <f>SUM(S3:S22)</f>
        <v>2</v>
      </c>
      <c r="T23" s="6">
        <f t="shared" si="44"/>
        <v>1</v>
      </c>
      <c r="U23" s="6">
        <f t="shared" si="44"/>
        <v>1.05</v>
      </c>
      <c r="V23" s="6">
        <f t="shared" si="44"/>
        <v>1.1025</v>
      </c>
      <c r="W23" s="6">
        <f t="shared" si="44"/>
        <v>1.1576250000000001</v>
      </c>
      <c r="X23" s="6">
        <f t="shared" si="44"/>
        <v>1.2155062500000002</v>
      </c>
      <c r="Y23" s="6">
        <f t="shared" si="44"/>
        <v>1.2762815625000004</v>
      </c>
      <c r="Z23" s="6">
        <f t="shared" si="44"/>
        <v>1.3400956406250004</v>
      </c>
      <c r="AA23" s="6">
        <f t="shared" si="44"/>
        <v>1.4071004226562505</v>
      </c>
      <c r="AB23" s="6">
        <f t="shared" si="44"/>
        <v>1.477455443789063</v>
      </c>
      <c r="AC23" s="6">
        <f t="shared" si="44"/>
        <v>1.5513282159785162</v>
      </c>
      <c r="AD23" s="6">
        <f t="shared" si="44"/>
        <v>1.628894626777442</v>
      </c>
      <c r="AE23" s="6">
        <f t="shared" si="44"/>
        <v>1.7103393581163142</v>
      </c>
      <c r="AF23" s="7">
        <f t="shared" si="44"/>
        <v>15.917126520442588</v>
      </c>
      <c r="AG23" s="6">
        <f t="shared" si="44"/>
        <v>1.5513282159785162</v>
      </c>
      <c r="AH23" s="6">
        <f t="shared" si="44"/>
        <v>1.628894626777442</v>
      </c>
      <c r="AI23" s="6">
        <f t="shared" si="44"/>
        <v>1.7103393581163142</v>
      </c>
      <c r="AJ23" s="6">
        <f t="shared" si="44"/>
        <v>1.7958563260221301</v>
      </c>
      <c r="AK23" s="6">
        <f t="shared" si="44"/>
        <v>1.8856491423232367</v>
      </c>
      <c r="AL23" s="6">
        <f t="shared" si="44"/>
        <v>1.9799315994393987</v>
      </c>
      <c r="AM23" s="6">
        <f t="shared" si="44"/>
        <v>2.0789281794113688</v>
      </c>
      <c r="AN23" s="6">
        <f t="shared" si="44"/>
        <v>2.1828745883819374</v>
      </c>
      <c r="AO23" s="6">
        <f t="shared" si="44"/>
        <v>0</v>
      </c>
      <c r="AP23" s="6">
        <f t="shared" si="44"/>
        <v>0</v>
      </c>
      <c r="AQ23" s="6">
        <f t="shared" si="44"/>
        <v>0</v>
      </c>
      <c r="AR23" s="6">
        <f t="shared" si="44"/>
        <v>0</v>
      </c>
      <c r="AS23" s="7">
        <f t="shared" si="44"/>
        <v>14.813802036450342</v>
      </c>
      <c r="AT23" s="6">
        <f t="shared" si="44"/>
        <v>0</v>
      </c>
      <c r="AU23" s="6">
        <f t="shared" si="44"/>
        <v>0</v>
      </c>
      <c r="AV23" s="6">
        <f t="shared" si="44"/>
        <v>0</v>
      </c>
      <c r="AW23" s="6">
        <f t="shared" si="44"/>
        <v>0</v>
      </c>
      <c r="AX23" s="6">
        <f t="shared" si="44"/>
        <v>0</v>
      </c>
      <c r="AY23" s="6">
        <f t="shared" si="44"/>
        <v>0</v>
      </c>
      <c r="AZ23" s="6">
        <f t="shared" si="44"/>
        <v>0</v>
      </c>
      <c r="BA23" s="6">
        <f t="shared" si="44"/>
        <v>0</v>
      </c>
      <c r="BB23" s="6">
        <f t="shared" si="44"/>
        <v>0</v>
      </c>
      <c r="BC23" s="6">
        <f t="shared" si="44"/>
        <v>0</v>
      </c>
      <c r="BD23" s="6">
        <f t="shared" si="44"/>
        <v>0</v>
      </c>
      <c r="BE23" s="6">
        <f t="shared" si="44"/>
        <v>0</v>
      </c>
      <c r="BF23" s="7">
        <f t="shared" si="44"/>
        <v>0</v>
      </c>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s="1" customFormat="1" ht="25.5" customHeight="1" thickTop="1" x14ac:dyDescent="0.35">
      <c r="A24" s="1" t="str">
        <f>+A3</f>
        <v>Paket 1</v>
      </c>
      <c r="C24" s="2"/>
      <c r="D24" s="2"/>
      <c r="E24" s="2"/>
      <c r="F24" s="2"/>
      <c r="G24" s="3">
        <f>+G3*$C3</f>
        <v>0</v>
      </c>
      <c r="H24" s="3">
        <f t="shared" ref="H24:R24" si="45">+H3*$C3</f>
        <v>0</v>
      </c>
      <c r="I24" s="3">
        <f t="shared" si="45"/>
        <v>0</v>
      </c>
      <c r="J24" s="3">
        <f t="shared" si="45"/>
        <v>0</v>
      </c>
      <c r="K24" s="3">
        <f t="shared" si="45"/>
        <v>0</v>
      </c>
      <c r="L24" s="3">
        <f t="shared" si="45"/>
        <v>0</v>
      </c>
      <c r="M24" s="3">
        <f t="shared" si="45"/>
        <v>0</v>
      </c>
      <c r="N24" s="3">
        <f t="shared" si="45"/>
        <v>0</v>
      </c>
      <c r="O24" s="3">
        <f t="shared" si="45"/>
        <v>0</v>
      </c>
      <c r="P24" s="3">
        <f t="shared" si="45"/>
        <v>0</v>
      </c>
      <c r="Q24" s="3">
        <f t="shared" si="45"/>
        <v>0</v>
      </c>
      <c r="R24" s="3">
        <f t="shared" si="45"/>
        <v>18000</v>
      </c>
      <c r="S24" s="4">
        <f>SUM(G24:R24)</f>
        <v>18000</v>
      </c>
      <c r="T24" s="3">
        <f>+T3*$D3</f>
        <v>0</v>
      </c>
      <c r="U24" s="3">
        <f t="shared" ref="U24:AE24" si="46">+U3*$D3</f>
        <v>0</v>
      </c>
      <c r="V24" s="3">
        <f t="shared" si="46"/>
        <v>0</v>
      </c>
      <c r="W24" s="3">
        <f t="shared" si="46"/>
        <v>0</v>
      </c>
      <c r="X24" s="3">
        <f t="shared" si="46"/>
        <v>0</v>
      </c>
      <c r="Y24" s="3">
        <f t="shared" si="46"/>
        <v>0</v>
      </c>
      <c r="Z24" s="3">
        <f t="shared" si="46"/>
        <v>0</v>
      </c>
      <c r="AA24" s="3">
        <f t="shared" si="46"/>
        <v>0</v>
      </c>
      <c r="AB24" s="3">
        <f t="shared" si="46"/>
        <v>0</v>
      </c>
      <c r="AC24" s="3">
        <f t="shared" si="46"/>
        <v>0</v>
      </c>
      <c r="AD24" s="3">
        <f t="shared" si="46"/>
        <v>0</v>
      </c>
      <c r="AE24" s="3">
        <f t="shared" si="46"/>
        <v>0</v>
      </c>
      <c r="AF24" s="4">
        <f>SUM(T24:AE24)</f>
        <v>0</v>
      </c>
      <c r="AG24" s="3">
        <f>+AG3*$E3</f>
        <v>0</v>
      </c>
      <c r="AH24" s="3">
        <f t="shared" ref="AH24:AR24" si="47">+AH3*$E3</f>
        <v>0</v>
      </c>
      <c r="AI24" s="3">
        <f t="shared" si="47"/>
        <v>0</v>
      </c>
      <c r="AJ24" s="3">
        <f t="shared" si="47"/>
        <v>0</v>
      </c>
      <c r="AK24" s="3">
        <f t="shared" si="47"/>
        <v>0</v>
      </c>
      <c r="AL24" s="3">
        <f t="shared" si="47"/>
        <v>0</v>
      </c>
      <c r="AM24" s="3">
        <f t="shared" si="47"/>
        <v>0</v>
      </c>
      <c r="AN24" s="3">
        <f t="shared" si="47"/>
        <v>0</v>
      </c>
      <c r="AO24" s="3">
        <f t="shared" si="47"/>
        <v>0</v>
      </c>
      <c r="AP24" s="3">
        <f t="shared" si="47"/>
        <v>0</v>
      </c>
      <c r="AQ24" s="3">
        <f t="shared" si="47"/>
        <v>0</v>
      </c>
      <c r="AR24" s="3">
        <f t="shared" si="47"/>
        <v>0</v>
      </c>
      <c r="AS24" s="4">
        <f>SUM(AG24:AR24)</f>
        <v>0</v>
      </c>
      <c r="AT24" s="3">
        <f>+AT3*$F3</f>
        <v>0</v>
      </c>
      <c r="AU24" s="3">
        <f t="shared" ref="AU24:BE24" si="48">+AU3*$F3</f>
        <v>0</v>
      </c>
      <c r="AV24" s="3">
        <f t="shared" si="48"/>
        <v>0</v>
      </c>
      <c r="AW24" s="3">
        <f t="shared" si="48"/>
        <v>0</v>
      </c>
      <c r="AX24" s="3">
        <f t="shared" si="48"/>
        <v>0</v>
      </c>
      <c r="AY24" s="3">
        <f t="shared" si="48"/>
        <v>0</v>
      </c>
      <c r="AZ24" s="3">
        <f t="shared" si="48"/>
        <v>0</v>
      </c>
      <c r="BA24" s="3">
        <f t="shared" si="48"/>
        <v>0</v>
      </c>
      <c r="BB24" s="3">
        <f t="shared" si="48"/>
        <v>0</v>
      </c>
      <c r="BC24" s="3">
        <f t="shared" si="48"/>
        <v>0</v>
      </c>
      <c r="BD24" s="3">
        <f t="shared" si="48"/>
        <v>0</v>
      </c>
      <c r="BE24" s="3">
        <f t="shared" si="48"/>
        <v>0</v>
      </c>
      <c r="BF24" s="4">
        <f>SUM(AT24:BE24)</f>
        <v>0</v>
      </c>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s="1" customFormat="1" x14ac:dyDescent="0.35">
      <c r="A25" s="1" t="str">
        <f>+A4</f>
        <v>Paket 2</v>
      </c>
      <c r="C25" s="2"/>
      <c r="D25" s="2"/>
      <c r="E25" s="2"/>
      <c r="F25" s="2"/>
      <c r="G25" s="3">
        <f t="shared" ref="G25:R25" si="49">+G4*$C4</f>
        <v>0</v>
      </c>
      <c r="H25" s="3">
        <f t="shared" si="49"/>
        <v>0</v>
      </c>
      <c r="I25" s="3">
        <f t="shared" si="49"/>
        <v>0</v>
      </c>
      <c r="J25" s="3">
        <f t="shared" si="49"/>
        <v>0</v>
      </c>
      <c r="K25" s="3">
        <f t="shared" si="49"/>
        <v>0</v>
      </c>
      <c r="L25" s="3">
        <f t="shared" si="49"/>
        <v>0</v>
      </c>
      <c r="M25" s="3">
        <f t="shared" si="49"/>
        <v>0</v>
      </c>
      <c r="N25" s="3">
        <f t="shared" si="49"/>
        <v>0</v>
      </c>
      <c r="O25" s="3">
        <f t="shared" si="49"/>
        <v>0</v>
      </c>
      <c r="P25" s="3">
        <f t="shared" si="49"/>
        <v>0</v>
      </c>
      <c r="Q25" s="3">
        <f t="shared" si="49"/>
        <v>0</v>
      </c>
      <c r="R25" s="3">
        <f t="shared" si="49"/>
        <v>0</v>
      </c>
      <c r="S25" s="4">
        <f>SUM(G25:R25)</f>
        <v>0</v>
      </c>
      <c r="T25" s="3">
        <f t="shared" ref="T25:AE25" si="50">+T4*$D4</f>
        <v>0</v>
      </c>
      <c r="U25" s="3">
        <f t="shared" si="50"/>
        <v>0</v>
      </c>
      <c r="V25" s="3">
        <f t="shared" si="50"/>
        <v>0</v>
      </c>
      <c r="W25" s="3">
        <f t="shared" si="50"/>
        <v>0</v>
      </c>
      <c r="X25" s="3">
        <f t="shared" si="50"/>
        <v>0</v>
      </c>
      <c r="Y25" s="3">
        <f t="shared" si="50"/>
        <v>0</v>
      </c>
      <c r="Z25" s="3">
        <f t="shared" si="50"/>
        <v>0</v>
      </c>
      <c r="AA25" s="3">
        <f t="shared" si="50"/>
        <v>0</v>
      </c>
      <c r="AB25" s="3">
        <f t="shared" si="50"/>
        <v>0</v>
      </c>
      <c r="AC25" s="3">
        <f t="shared" si="50"/>
        <v>0</v>
      </c>
      <c r="AD25" s="3">
        <f t="shared" si="50"/>
        <v>0</v>
      </c>
      <c r="AE25" s="3">
        <f t="shared" si="50"/>
        <v>0</v>
      </c>
      <c r="AF25" s="4">
        <f>SUM(T25:AE25)</f>
        <v>0</v>
      </c>
      <c r="AG25" s="3">
        <f t="shared" ref="AG25:AR25" si="51">+AG4*$E4</f>
        <v>0</v>
      </c>
      <c r="AH25" s="3">
        <f t="shared" si="51"/>
        <v>0</v>
      </c>
      <c r="AI25" s="3">
        <f t="shared" si="51"/>
        <v>0</v>
      </c>
      <c r="AJ25" s="3">
        <f t="shared" si="51"/>
        <v>0</v>
      </c>
      <c r="AK25" s="3">
        <f t="shared" si="51"/>
        <v>0</v>
      </c>
      <c r="AL25" s="3">
        <f t="shared" si="51"/>
        <v>0</v>
      </c>
      <c r="AM25" s="3">
        <f t="shared" si="51"/>
        <v>0</v>
      </c>
      <c r="AN25" s="3">
        <f t="shared" si="51"/>
        <v>0</v>
      </c>
      <c r="AO25" s="3">
        <f t="shared" si="51"/>
        <v>0</v>
      </c>
      <c r="AP25" s="3">
        <f t="shared" si="51"/>
        <v>0</v>
      </c>
      <c r="AQ25" s="3">
        <f t="shared" si="51"/>
        <v>0</v>
      </c>
      <c r="AR25" s="3">
        <f t="shared" si="51"/>
        <v>0</v>
      </c>
      <c r="AS25" s="4">
        <f>SUM(AG25:AR25)</f>
        <v>0</v>
      </c>
      <c r="AT25" s="3">
        <f t="shared" ref="AT25:BE25" si="52">+AT4*$F4</f>
        <v>0</v>
      </c>
      <c r="AU25" s="3">
        <f t="shared" si="52"/>
        <v>0</v>
      </c>
      <c r="AV25" s="3">
        <f t="shared" si="52"/>
        <v>0</v>
      </c>
      <c r="AW25" s="3">
        <f t="shared" si="52"/>
        <v>0</v>
      </c>
      <c r="AX25" s="3">
        <f t="shared" si="52"/>
        <v>0</v>
      </c>
      <c r="AY25" s="3">
        <f t="shared" si="52"/>
        <v>0</v>
      </c>
      <c r="AZ25" s="3">
        <f t="shared" si="52"/>
        <v>0</v>
      </c>
      <c r="BA25" s="3">
        <f t="shared" si="52"/>
        <v>0</v>
      </c>
      <c r="BB25" s="3">
        <f t="shared" si="52"/>
        <v>0</v>
      </c>
      <c r="BC25" s="3">
        <f t="shared" si="52"/>
        <v>0</v>
      </c>
      <c r="BD25" s="3">
        <f t="shared" si="52"/>
        <v>0</v>
      </c>
      <c r="BE25" s="3">
        <f t="shared" si="52"/>
        <v>0</v>
      </c>
      <c r="BF25" s="4">
        <f>SUM(AT25:BE25)</f>
        <v>0</v>
      </c>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s="1" customFormat="1" x14ac:dyDescent="0.35">
      <c r="A26" s="1" t="str">
        <f t="shared" ref="A26:A43" si="53">+A5</f>
        <v>Paket 3</v>
      </c>
      <c r="C26" s="2"/>
      <c r="D26" s="2"/>
      <c r="E26" s="2"/>
      <c r="F26" s="2"/>
      <c r="G26" s="3">
        <f t="shared" ref="G26:R26" si="54">+G5*$C5</f>
        <v>0</v>
      </c>
      <c r="H26" s="3">
        <f t="shared" si="54"/>
        <v>0</v>
      </c>
      <c r="I26" s="3">
        <f t="shared" si="54"/>
        <v>0</v>
      </c>
      <c r="J26" s="3">
        <f t="shared" si="54"/>
        <v>0</v>
      </c>
      <c r="K26" s="3">
        <f t="shared" si="54"/>
        <v>0</v>
      </c>
      <c r="L26" s="3">
        <f t="shared" si="54"/>
        <v>0</v>
      </c>
      <c r="M26" s="3">
        <f t="shared" si="54"/>
        <v>0</v>
      </c>
      <c r="N26" s="3">
        <f t="shared" si="54"/>
        <v>0</v>
      </c>
      <c r="O26" s="3">
        <f t="shared" si="54"/>
        <v>0</v>
      </c>
      <c r="P26" s="3">
        <f t="shared" si="54"/>
        <v>14000</v>
      </c>
      <c r="Q26" s="3">
        <f t="shared" si="54"/>
        <v>0</v>
      </c>
      <c r="R26" s="3">
        <f t="shared" si="54"/>
        <v>0</v>
      </c>
      <c r="S26" s="4">
        <f t="shared" ref="S26:S43" si="55">SUM(G26:R26)</f>
        <v>14000</v>
      </c>
      <c r="T26" s="3">
        <f t="shared" ref="T26:AE26" si="56">+T5*$D5</f>
        <v>0</v>
      </c>
      <c r="U26" s="3">
        <f t="shared" si="56"/>
        <v>0</v>
      </c>
      <c r="V26" s="3">
        <f t="shared" si="56"/>
        <v>0</v>
      </c>
      <c r="W26" s="3">
        <f t="shared" si="56"/>
        <v>0</v>
      </c>
      <c r="X26" s="3">
        <f t="shared" si="56"/>
        <v>0</v>
      </c>
      <c r="Y26" s="3">
        <f t="shared" si="56"/>
        <v>0</v>
      </c>
      <c r="Z26" s="3">
        <f t="shared" si="56"/>
        <v>0</v>
      </c>
      <c r="AA26" s="3">
        <f t="shared" si="56"/>
        <v>0</v>
      </c>
      <c r="AB26" s="3">
        <f t="shared" si="56"/>
        <v>0</v>
      </c>
      <c r="AC26" s="3">
        <f t="shared" si="56"/>
        <v>0</v>
      </c>
      <c r="AD26" s="3">
        <f t="shared" si="56"/>
        <v>0</v>
      </c>
      <c r="AE26" s="3">
        <f t="shared" si="56"/>
        <v>0</v>
      </c>
      <c r="AF26" s="4">
        <f t="shared" ref="AF26:AF43" si="57">SUM(T26:AE26)</f>
        <v>0</v>
      </c>
      <c r="AG26" s="3">
        <f t="shared" ref="AG26:AR26" si="58">+AG5*$E5</f>
        <v>0</v>
      </c>
      <c r="AH26" s="3">
        <f t="shared" si="58"/>
        <v>0</v>
      </c>
      <c r="AI26" s="3">
        <f t="shared" si="58"/>
        <v>0</v>
      </c>
      <c r="AJ26" s="3">
        <f t="shared" si="58"/>
        <v>0</v>
      </c>
      <c r="AK26" s="3">
        <f t="shared" si="58"/>
        <v>0</v>
      </c>
      <c r="AL26" s="3">
        <f t="shared" si="58"/>
        <v>0</v>
      </c>
      <c r="AM26" s="3">
        <f t="shared" si="58"/>
        <v>0</v>
      </c>
      <c r="AN26" s="3">
        <f t="shared" si="58"/>
        <v>0</v>
      </c>
      <c r="AO26" s="3">
        <f t="shared" si="58"/>
        <v>0</v>
      </c>
      <c r="AP26" s="3">
        <f t="shared" si="58"/>
        <v>0</v>
      </c>
      <c r="AQ26" s="3">
        <f t="shared" si="58"/>
        <v>0</v>
      </c>
      <c r="AR26" s="3">
        <f t="shared" si="58"/>
        <v>0</v>
      </c>
      <c r="AS26" s="4">
        <f t="shared" ref="AS26:AS43" si="59">SUM(AG26:AR26)</f>
        <v>0</v>
      </c>
      <c r="AT26" s="3">
        <f t="shared" ref="AT26:BE26" si="60">+AT5*$F5</f>
        <v>0</v>
      </c>
      <c r="AU26" s="3">
        <f t="shared" si="60"/>
        <v>0</v>
      </c>
      <c r="AV26" s="3">
        <f t="shared" si="60"/>
        <v>0</v>
      </c>
      <c r="AW26" s="3">
        <f t="shared" si="60"/>
        <v>0</v>
      </c>
      <c r="AX26" s="3">
        <f t="shared" si="60"/>
        <v>0</v>
      </c>
      <c r="AY26" s="3">
        <f t="shared" si="60"/>
        <v>0</v>
      </c>
      <c r="AZ26" s="3">
        <f t="shared" si="60"/>
        <v>0</v>
      </c>
      <c r="BA26" s="3">
        <f t="shared" si="60"/>
        <v>0</v>
      </c>
      <c r="BB26" s="3">
        <f t="shared" si="60"/>
        <v>0</v>
      </c>
      <c r="BC26" s="3">
        <f t="shared" si="60"/>
        <v>0</v>
      </c>
      <c r="BD26" s="3">
        <f t="shared" si="60"/>
        <v>0</v>
      </c>
      <c r="BE26" s="3">
        <f t="shared" si="60"/>
        <v>0</v>
      </c>
      <c r="BF26" s="4">
        <f t="shared" ref="BF26:BF43" si="61">SUM(AT26:BE26)</f>
        <v>0</v>
      </c>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s="1" customFormat="1" x14ac:dyDescent="0.35">
      <c r="A27" s="1">
        <f t="shared" si="53"/>
        <v>0</v>
      </c>
      <c r="C27" s="2"/>
      <c r="D27" s="2"/>
      <c r="E27" s="2"/>
      <c r="F27" s="2"/>
      <c r="G27" s="3">
        <f t="shared" ref="G27:R27" si="62">+G6*$C6</f>
        <v>0</v>
      </c>
      <c r="H27" s="3">
        <f t="shared" si="62"/>
        <v>0</v>
      </c>
      <c r="I27" s="3">
        <f t="shared" si="62"/>
        <v>0</v>
      </c>
      <c r="J27" s="3">
        <f t="shared" si="62"/>
        <v>0</v>
      </c>
      <c r="K27" s="3">
        <f t="shared" si="62"/>
        <v>0</v>
      </c>
      <c r="L27" s="3">
        <f t="shared" si="62"/>
        <v>0</v>
      </c>
      <c r="M27" s="3">
        <f t="shared" si="62"/>
        <v>0</v>
      </c>
      <c r="N27" s="3">
        <f t="shared" si="62"/>
        <v>0</v>
      </c>
      <c r="O27" s="3">
        <f t="shared" si="62"/>
        <v>0</v>
      </c>
      <c r="P27" s="3">
        <f t="shared" si="62"/>
        <v>0</v>
      </c>
      <c r="Q27" s="3">
        <f t="shared" si="62"/>
        <v>0</v>
      </c>
      <c r="R27" s="3">
        <f t="shared" si="62"/>
        <v>0</v>
      </c>
      <c r="S27" s="4">
        <f t="shared" si="55"/>
        <v>0</v>
      </c>
      <c r="T27" s="3">
        <f t="shared" ref="T27:AE27" si="63">+T6*$D6</f>
        <v>0</v>
      </c>
      <c r="U27" s="3">
        <f t="shared" si="63"/>
        <v>0</v>
      </c>
      <c r="V27" s="3">
        <f t="shared" si="63"/>
        <v>0</v>
      </c>
      <c r="W27" s="3">
        <f t="shared" si="63"/>
        <v>0</v>
      </c>
      <c r="X27" s="3">
        <f t="shared" si="63"/>
        <v>0</v>
      </c>
      <c r="Y27" s="3">
        <f t="shared" si="63"/>
        <v>0</v>
      </c>
      <c r="Z27" s="3">
        <f t="shared" si="63"/>
        <v>0</v>
      </c>
      <c r="AA27" s="3">
        <f t="shared" si="63"/>
        <v>0</v>
      </c>
      <c r="AB27" s="3">
        <f t="shared" si="63"/>
        <v>0</v>
      </c>
      <c r="AC27" s="3">
        <f t="shared" si="63"/>
        <v>0</v>
      </c>
      <c r="AD27" s="3">
        <f t="shared" si="63"/>
        <v>0</v>
      </c>
      <c r="AE27" s="3">
        <f t="shared" si="63"/>
        <v>0</v>
      </c>
      <c r="AF27" s="4">
        <f t="shared" si="57"/>
        <v>0</v>
      </c>
      <c r="AG27" s="3">
        <f t="shared" ref="AG27:AR27" si="64">+AG6*$E6</f>
        <v>0</v>
      </c>
      <c r="AH27" s="3">
        <f t="shared" si="64"/>
        <v>0</v>
      </c>
      <c r="AI27" s="3">
        <f t="shared" si="64"/>
        <v>0</v>
      </c>
      <c r="AJ27" s="3">
        <f t="shared" si="64"/>
        <v>0</v>
      </c>
      <c r="AK27" s="3">
        <f t="shared" si="64"/>
        <v>0</v>
      </c>
      <c r="AL27" s="3">
        <f t="shared" si="64"/>
        <v>0</v>
      </c>
      <c r="AM27" s="3">
        <f t="shared" si="64"/>
        <v>0</v>
      </c>
      <c r="AN27" s="3">
        <f t="shared" si="64"/>
        <v>0</v>
      </c>
      <c r="AO27" s="3">
        <f t="shared" si="64"/>
        <v>0</v>
      </c>
      <c r="AP27" s="3">
        <f t="shared" si="64"/>
        <v>0</v>
      </c>
      <c r="AQ27" s="3">
        <f t="shared" si="64"/>
        <v>0</v>
      </c>
      <c r="AR27" s="3">
        <f t="shared" si="64"/>
        <v>0</v>
      </c>
      <c r="AS27" s="4">
        <f t="shared" si="59"/>
        <v>0</v>
      </c>
      <c r="AT27" s="3">
        <f t="shared" ref="AT27:BE27" si="65">+AT6*$F6</f>
        <v>0</v>
      </c>
      <c r="AU27" s="3">
        <f t="shared" si="65"/>
        <v>0</v>
      </c>
      <c r="AV27" s="3">
        <f t="shared" si="65"/>
        <v>0</v>
      </c>
      <c r="AW27" s="3">
        <f t="shared" si="65"/>
        <v>0</v>
      </c>
      <c r="AX27" s="3">
        <f t="shared" si="65"/>
        <v>0</v>
      </c>
      <c r="AY27" s="3">
        <f t="shared" si="65"/>
        <v>0</v>
      </c>
      <c r="AZ27" s="3">
        <f t="shared" si="65"/>
        <v>0</v>
      </c>
      <c r="BA27" s="3">
        <f t="shared" si="65"/>
        <v>0</v>
      </c>
      <c r="BB27" s="3">
        <f t="shared" si="65"/>
        <v>0</v>
      </c>
      <c r="BC27" s="3">
        <f t="shared" si="65"/>
        <v>0</v>
      </c>
      <c r="BD27" s="3">
        <f t="shared" si="65"/>
        <v>0</v>
      </c>
      <c r="BE27" s="3">
        <f t="shared" si="65"/>
        <v>0</v>
      </c>
      <c r="BF27" s="4">
        <f t="shared" si="61"/>
        <v>0</v>
      </c>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s="1" customFormat="1" x14ac:dyDescent="0.35">
      <c r="A28" s="1">
        <f t="shared" si="53"/>
        <v>0</v>
      </c>
      <c r="C28" s="2"/>
      <c r="D28" s="2"/>
      <c r="E28" s="2"/>
      <c r="F28" s="2"/>
      <c r="G28" s="3">
        <f t="shared" ref="G28:R28" si="66">+G7*$C7</f>
        <v>0</v>
      </c>
      <c r="H28" s="3">
        <f t="shared" si="66"/>
        <v>0</v>
      </c>
      <c r="I28" s="3">
        <f t="shared" si="66"/>
        <v>0</v>
      </c>
      <c r="J28" s="3">
        <f t="shared" si="66"/>
        <v>0</v>
      </c>
      <c r="K28" s="3">
        <f t="shared" si="66"/>
        <v>0</v>
      </c>
      <c r="L28" s="3">
        <f t="shared" si="66"/>
        <v>0</v>
      </c>
      <c r="M28" s="3">
        <f t="shared" si="66"/>
        <v>0</v>
      </c>
      <c r="N28" s="3">
        <f t="shared" si="66"/>
        <v>0</v>
      </c>
      <c r="O28" s="3">
        <f t="shared" si="66"/>
        <v>0</v>
      </c>
      <c r="P28" s="3">
        <f t="shared" si="66"/>
        <v>0</v>
      </c>
      <c r="Q28" s="3">
        <f t="shared" si="66"/>
        <v>0</v>
      </c>
      <c r="R28" s="3">
        <f t="shared" si="66"/>
        <v>0</v>
      </c>
      <c r="S28" s="4">
        <f t="shared" si="55"/>
        <v>0</v>
      </c>
      <c r="T28" s="3">
        <f t="shared" ref="T28:AE28" si="67">+T7*$D7</f>
        <v>0</v>
      </c>
      <c r="U28" s="3">
        <f t="shared" si="67"/>
        <v>0</v>
      </c>
      <c r="V28" s="3">
        <f t="shared" si="67"/>
        <v>0</v>
      </c>
      <c r="W28" s="3">
        <f t="shared" si="67"/>
        <v>0</v>
      </c>
      <c r="X28" s="3">
        <f t="shared" si="67"/>
        <v>0</v>
      </c>
      <c r="Y28" s="3">
        <f t="shared" si="67"/>
        <v>0</v>
      </c>
      <c r="Z28" s="3">
        <f t="shared" si="67"/>
        <v>0</v>
      </c>
      <c r="AA28" s="3">
        <f t="shared" si="67"/>
        <v>0</v>
      </c>
      <c r="AB28" s="3">
        <f t="shared" si="67"/>
        <v>0</v>
      </c>
      <c r="AC28" s="3">
        <f t="shared" si="67"/>
        <v>0</v>
      </c>
      <c r="AD28" s="3">
        <f t="shared" si="67"/>
        <v>0</v>
      </c>
      <c r="AE28" s="3">
        <f t="shared" si="67"/>
        <v>0</v>
      </c>
      <c r="AF28" s="4">
        <f t="shared" si="57"/>
        <v>0</v>
      </c>
      <c r="AG28" s="3">
        <f t="shared" ref="AG28:AR28" si="68">+AG7*$E7</f>
        <v>0</v>
      </c>
      <c r="AH28" s="3">
        <f t="shared" si="68"/>
        <v>0</v>
      </c>
      <c r="AI28" s="3">
        <f t="shared" si="68"/>
        <v>0</v>
      </c>
      <c r="AJ28" s="3">
        <f t="shared" si="68"/>
        <v>0</v>
      </c>
      <c r="AK28" s="3">
        <f t="shared" si="68"/>
        <v>0</v>
      </c>
      <c r="AL28" s="3">
        <f t="shared" si="68"/>
        <v>0</v>
      </c>
      <c r="AM28" s="3">
        <f t="shared" si="68"/>
        <v>0</v>
      </c>
      <c r="AN28" s="3">
        <f t="shared" si="68"/>
        <v>0</v>
      </c>
      <c r="AO28" s="3">
        <f t="shared" si="68"/>
        <v>0</v>
      </c>
      <c r="AP28" s="3">
        <f t="shared" si="68"/>
        <v>0</v>
      </c>
      <c r="AQ28" s="3">
        <f t="shared" si="68"/>
        <v>0</v>
      </c>
      <c r="AR28" s="3">
        <f t="shared" si="68"/>
        <v>0</v>
      </c>
      <c r="AS28" s="4">
        <f t="shared" si="59"/>
        <v>0</v>
      </c>
      <c r="AT28" s="3">
        <f t="shared" ref="AT28:BE28" si="69">+AT7*$F7</f>
        <v>0</v>
      </c>
      <c r="AU28" s="3">
        <f t="shared" si="69"/>
        <v>0</v>
      </c>
      <c r="AV28" s="3">
        <f t="shared" si="69"/>
        <v>0</v>
      </c>
      <c r="AW28" s="3">
        <f t="shared" si="69"/>
        <v>0</v>
      </c>
      <c r="AX28" s="3">
        <f t="shared" si="69"/>
        <v>0</v>
      </c>
      <c r="AY28" s="3">
        <f t="shared" si="69"/>
        <v>0</v>
      </c>
      <c r="AZ28" s="3">
        <f t="shared" si="69"/>
        <v>0</v>
      </c>
      <c r="BA28" s="3">
        <f t="shared" si="69"/>
        <v>0</v>
      </c>
      <c r="BB28" s="3">
        <f t="shared" si="69"/>
        <v>0</v>
      </c>
      <c r="BC28" s="3">
        <f t="shared" si="69"/>
        <v>0</v>
      </c>
      <c r="BD28" s="3">
        <f t="shared" si="69"/>
        <v>0</v>
      </c>
      <c r="BE28" s="3">
        <f t="shared" si="69"/>
        <v>0</v>
      </c>
      <c r="BF28" s="4">
        <f t="shared" si="61"/>
        <v>0</v>
      </c>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s="1" customFormat="1" x14ac:dyDescent="0.35">
      <c r="A29" s="1">
        <f t="shared" si="53"/>
        <v>0</v>
      </c>
      <c r="C29" s="2"/>
      <c r="D29" s="2"/>
      <c r="E29" s="2"/>
      <c r="F29" s="2"/>
      <c r="G29" s="3">
        <f t="shared" ref="G29:R29" si="70">+G8*$C8</f>
        <v>0</v>
      </c>
      <c r="H29" s="3">
        <f t="shared" si="70"/>
        <v>0</v>
      </c>
      <c r="I29" s="3">
        <f t="shared" si="70"/>
        <v>0</v>
      </c>
      <c r="J29" s="3">
        <f t="shared" si="70"/>
        <v>0</v>
      </c>
      <c r="K29" s="3">
        <f t="shared" si="70"/>
        <v>0</v>
      </c>
      <c r="L29" s="3">
        <f t="shared" si="70"/>
        <v>0</v>
      </c>
      <c r="M29" s="3">
        <f t="shared" si="70"/>
        <v>0</v>
      </c>
      <c r="N29" s="3">
        <f t="shared" si="70"/>
        <v>0</v>
      </c>
      <c r="O29" s="3">
        <f t="shared" si="70"/>
        <v>0</v>
      </c>
      <c r="P29" s="3">
        <f t="shared" si="70"/>
        <v>0</v>
      </c>
      <c r="Q29" s="3">
        <f t="shared" si="70"/>
        <v>0</v>
      </c>
      <c r="R29" s="3">
        <f t="shared" si="70"/>
        <v>0</v>
      </c>
      <c r="S29" s="4">
        <f t="shared" si="55"/>
        <v>0</v>
      </c>
      <c r="T29" s="3">
        <f t="shared" ref="T29:AE29" si="71">+T8*$D8</f>
        <v>0</v>
      </c>
      <c r="U29" s="3">
        <f t="shared" si="71"/>
        <v>0</v>
      </c>
      <c r="V29" s="3">
        <f t="shared" si="71"/>
        <v>0</v>
      </c>
      <c r="W29" s="3">
        <f t="shared" si="71"/>
        <v>0</v>
      </c>
      <c r="X29" s="3">
        <f t="shared" si="71"/>
        <v>0</v>
      </c>
      <c r="Y29" s="3">
        <f t="shared" si="71"/>
        <v>0</v>
      </c>
      <c r="Z29" s="3">
        <f t="shared" si="71"/>
        <v>0</v>
      </c>
      <c r="AA29" s="3">
        <f t="shared" si="71"/>
        <v>0</v>
      </c>
      <c r="AB29" s="3">
        <f t="shared" si="71"/>
        <v>0</v>
      </c>
      <c r="AC29" s="3">
        <f t="shared" si="71"/>
        <v>0</v>
      </c>
      <c r="AD29" s="3">
        <f t="shared" si="71"/>
        <v>0</v>
      </c>
      <c r="AE29" s="3">
        <f t="shared" si="71"/>
        <v>0</v>
      </c>
      <c r="AF29" s="4">
        <f t="shared" si="57"/>
        <v>0</v>
      </c>
      <c r="AG29" s="3">
        <f t="shared" ref="AG29:AR29" si="72">+AG8*$E8</f>
        <v>0</v>
      </c>
      <c r="AH29" s="3">
        <f t="shared" si="72"/>
        <v>0</v>
      </c>
      <c r="AI29" s="3">
        <f t="shared" si="72"/>
        <v>0</v>
      </c>
      <c r="AJ29" s="3">
        <f t="shared" si="72"/>
        <v>0</v>
      </c>
      <c r="AK29" s="3">
        <f t="shared" si="72"/>
        <v>0</v>
      </c>
      <c r="AL29" s="3">
        <f t="shared" si="72"/>
        <v>0</v>
      </c>
      <c r="AM29" s="3">
        <f t="shared" si="72"/>
        <v>0</v>
      </c>
      <c r="AN29" s="3">
        <f t="shared" si="72"/>
        <v>0</v>
      </c>
      <c r="AO29" s="3">
        <f t="shared" si="72"/>
        <v>0</v>
      </c>
      <c r="AP29" s="3">
        <f t="shared" si="72"/>
        <v>0</v>
      </c>
      <c r="AQ29" s="3">
        <f t="shared" si="72"/>
        <v>0</v>
      </c>
      <c r="AR29" s="3">
        <f t="shared" si="72"/>
        <v>0</v>
      </c>
      <c r="AS29" s="4">
        <f t="shared" si="59"/>
        <v>0</v>
      </c>
      <c r="AT29" s="3">
        <f t="shared" ref="AT29:BE29" si="73">+AT8*$F8</f>
        <v>0</v>
      </c>
      <c r="AU29" s="3">
        <f t="shared" si="73"/>
        <v>0</v>
      </c>
      <c r="AV29" s="3">
        <f t="shared" si="73"/>
        <v>0</v>
      </c>
      <c r="AW29" s="3">
        <f t="shared" si="73"/>
        <v>0</v>
      </c>
      <c r="AX29" s="3">
        <f t="shared" si="73"/>
        <v>0</v>
      </c>
      <c r="AY29" s="3">
        <f t="shared" si="73"/>
        <v>0</v>
      </c>
      <c r="AZ29" s="3">
        <f t="shared" si="73"/>
        <v>0</v>
      </c>
      <c r="BA29" s="3">
        <f t="shared" si="73"/>
        <v>0</v>
      </c>
      <c r="BB29" s="3">
        <f t="shared" si="73"/>
        <v>0</v>
      </c>
      <c r="BC29" s="3">
        <f t="shared" si="73"/>
        <v>0</v>
      </c>
      <c r="BD29" s="3">
        <f t="shared" si="73"/>
        <v>0</v>
      </c>
      <c r="BE29" s="3">
        <f t="shared" si="73"/>
        <v>0</v>
      </c>
      <c r="BF29" s="4">
        <f t="shared" si="61"/>
        <v>0</v>
      </c>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s="1" customFormat="1" x14ac:dyDescent="0.35">
      <c r="A30" s="1">
        <f t="shared" si="53"/>
        <v>0</v>
      </c>
      <c r="C30" s="2"/>
      <c r="D30" s="2"/>
      <c r="E30" s="2"/>
      <c r="F30" s="2"/>
      <c r="G30" s="3">
        <f t="shared" ref="G30:R30" si="74">+G9*$C9</f>
        <v>0</v>
      </c>
      <c r="H30" s="3">
        <f t="shared" si="74"/>
        <v>0</v>
      </c>
      <c r="I30" s="3">
        <f t="shared" si="74"/>
        <v>0</v>
      </c>
      <c r="J30" s="3">
        <f t="shared" si="74"/>
        <v>0</v>
      </c>
      <c r="K30" s="3">
        <f t="shared" si="74"/>
        <v>0</v>
      </c>
      <c r="L30" s="3">
        <f t="shared" si="74"/>
        <v>0</v>
      </c>
      <c r="M30" s="3">
        <f t="shared" si="74"/>
        <v>0</v>
      </c>
      <c r="N30" s="3">
        <f t="shared" si="74"/>
        <v>0</v>
      </c>
      <c r="O30" s="3">
        <f t="shared" si="74"/>
        <v>0</v>
      </c>
      <c r="P30" s="3">
        <f t="shared" si="74"/>
        <v>0</v>
      </c>
      <c r="Q30" s="3">
        <f t="shared" si="74"/>
        <v>0</v>
      </c>
      <c r="R30" s="3">
        <f t="shared" si="74"/>
        <v>0</v>
      </c>
      <c r="S30" s="4">
        <f t="shared" si="55"/>
        <v>0</v>
      </c>
      <c r="T30" s="3">
        <f t="shared" ref="T30:AE30" si="75">+T9*$D9</f>
        <v>0</v>
      </c>
      <c r="U30" s="3">
        <f t="shared" si="75"/>
        <v>0</v>
      </c>
      <c r="V30" s="3">
        <f t="shared" si="75"/>
        <v>0</v>
      </c>
      <c r="W30" s="3">
        <f t="shared" si="75"/>
        <v>0</v>
      </c>
      <c r="X30" s="3">
        <f t="shared" si="75"/>
        <v>0</v>
      </c>
      <c r="Y30" s="3">
        <f t="shared" si="75"/>
        <v>0</v>
      </c>
      <c r="Z30" s="3">
        <f t="shared" si="75"/>
        <v>0</v>
      </c>
      <c r="AA30" s="3">
        <f t="shared" si="75"/>
        <v>0</v>
      </c>
      <c r="AB30" s="3">
        <f t="shared" si="75"/>
        <v>0</v>
      </c>
      <c r="AC30" s="3">
        <f t="shared" si="75"/>
        <v>0</v>
      </c>
      <c r="AD30" s="3">
        <f t="shared" si="75"/>
        <v>0</v>
      </c>
      <c r="AE30" s="3">
        <f t="shared" si="75"/>
        <v>0</v>
      </c>
      <c r="AF30" s="4">
        <f t="shared" si="57"/>
        <v>0</v>
      </c>
      <c r="AG30" s="3">
        <f t="shared" ref="AG30:AR30" si="76">+AG9*$E9</f>
        <v>0</v>
      </c>
      <c r="AH30" s="3">
        <f t="shared" si="76"/>
        <v>0</v>
      </c>
      <c r="AI30" s="3">
        <f t="shared" si="76"/>
        <v>0</v>
      </c>
      <c r="AJ30" s="3">
        <f t="shared" si="76"/>
        <v>0</v>
      </c>
      <c r="AK30" s="3">
        <f t="shared" si="76"/>
        <v>0</v>
      </c>
      <c r="AL30" s="3">
        <f t="shared" si="76"/>
        <v>0</v>
      </c>
      <c r="AM30" s="3">
        <f t="shared" si="76"/>
        <v>0</v>
      </c>
      <c r="AN30" s="3">
        <f t="shared" si="76"/>
        <v>0</v>
      </c>
      <c r="AO30" s="3">
        <f t="shared" si="76"/>
        <v>0</v>
      </c>
      <c r="AP30" s="3">
        <f t="shared" si="76"/>
        <v>0</v>
      </c>
      <c r="AQ30" s="3">
        <f t="shared" si="76"/>
        <v>0</v>
      </c>
      <c r="AR30" s="3">
        <f t="shared" si="76"/>
        <v>0</v>
      </c>
      <c r="AS30" s="4">
        <f t="shared" si="59"/>
        <v>0</v>
      </c>
      <c r="AT30" s="3">
        <f t="shared" ref="AT30:BE30" si="77">+AT9*$F9</f>
        <v>0</v>
      </c>
      <c r="AU30" s="3">
        <f t="shared" si="77"/>
        <v>0</v>
      </c>
      <c r="AV30" s="3">
        <f t="shared" si="77"/>
        <v>0</v>
      </c>
      <c r="AW30" s="3">
        <f t="shared" si="77"/>
        <v>0</v>
      </c>
      <c r="AX30" s="3">
        <f t="shared" si="77"/>
        <v>0</v>
      </c>
      <c r="AY30" s="3">
        <f t="shared" si="77"/>
        <v>0</v>
      </c>
      <c r="AZ30" s="3">
        <f t="shared" si="77"/>
        <v>0</v>
      </c>
      <c r="BA30" s="3">
        <f t="shared" si="77"/>
        <v>0</v>
      </c>
      <c r="BB30" s="3">
        <f t="shared" si="77"/>
        <v>0</v>
      </c>
      <c r="BC30" s="3">
        <f t="shared" si="77"/>
        <v>0</v>
      </c>
      <c r="BD30" s="3">
        <f t="shared" si="77"/>
        <v>0</v>
      </c>
      <c r="BE30" s="3">
        <f t="shared" si="77"/>
        <v>0</v>
      </c>
      <c r="BF30" s="4">
        <f t="shared" si="61"/>
        <v>0</v>
      </c>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s="1" customFormat="1" x14ac:dyDescent="0.35">
      <c r="A31" s="1">
        <f t="shared" si="53"/>
        <v>0</v>
      </c>
      <c r="C31" s="2"/>
      <c r="D31" s="2"/>
      <c r="E31" s="2"/>
      <c r="F31" s="2"/>
      <c r="G31" s="3">
        <f t="shared" ref="G31:R31" si="78">+G10*$C10</f>
        <v>0</v>
      </c>
      <c r="H31" s="3">
        <f t="shared" si="78"/>
        <v>0</v>
      </c>
      <c r="I31" s="3">
        <f t="shared" si="78"/>
        <v>0</v>
      </c>
      <c r="J31" s="3">
        <f t="shared" si="78"/>
        <v>0</v>
      </c>
      <c r="K31" s="3">
        <f t="shared" si="78"/>
        <v>0</v>
      </c>
      <c r="L31" s="3">
        <f t="shared" si="78"/>
        <v>0</v>
      </c>
      <c r="M31" s="3">
        <f t="shared" si="78"/>
        <v>0</v>
      </c>
      <c r="N31" s="3">
        <f t="shared" si="78"/>
        <v>0</v>
      </c>
      <c r="O31" s="3">
        <f t="shared" si="78"/>
        <v>0</v>
      </c>
      <c r="P31" s="3">
        <f t="shared" si="78"/>
        <v>0</v>
      </c>
      <c r="Q31" s="3">
        <f t="shared" si="78"/>
        <v>0</v>
      </c>
      <c r="R31" s="3">
        <f t="shared" si="78"/>
        <v>0</v>
      </c>
      <c r="S31" s="4">
        <f t="shared" si="55"/>
        <v>0</v>
      </c>
      <c r="T31" s="3">
        <f t="shared" ref="T31:AE31" si="79">+T10*$D10</f>
        <v>0</v>
      </c>
      <c r="U31" s="3">
        <f t="shared" si="79"/>
        <v>0</v>
      </c>
      <c r="V31" s="3">
        <f t="shared" si="79"/>
        <v>0</v>
      </c>
      <c r="W31" s="3">
        <f t="shared" si="79"/>
        <v>0</v>
      </c>
      <c r="X31" s="3">
        <f t="shared" si="79"/>
        <v>0</v>
      </c>
      <c r="Y31" s="3">
        <f t="shared" si="79"/>
        <v>0</v>
      </c>
      <c r="Z31" s="3">
        <f t="shared" si="79"/>
        <v>0</v>
      </c>
      <c r="AA31" s="3">
        <f t="shared" si="79"/>
        <v>0</v>
      </c>
      <c r="AB31" s="3">
        <f t="shared" si="79"/>
        <v>0</v>
      </c>
      <c r="AC31" s="3">
        <f t="shared" si="79"/>
        <v>0</v>
      </c>
      <c r="AD31" s="3">
        <f t="shared" si="79"/>
        <v>0</v>
      </c>
      <c r="AE31" s="3">
        <f t="shared" si="79"/>
        <v>0</v>
      </c>
      <c r="AF31" s="4">
        <f t="shared" si="57"/>
        <v>0</v>
      </c>
      <c r="AG31" s="3">
        <f t="shared" ref="AG31:AR31" si="80">+AG10*$E10</f>
        <v>0</v>
      </c>
      <c r="AH31" s="3">
        <f t="shared" si="80"/>
        <v>0</v>
      </c>
      <c r="AI31" s="3">
        <f t="shared" si="80"/>
        <v>0</v>
      </c>
      <c r="AJ31" s="3">
        <f t="shared" si="80"/>
        <v>0</v>
      </c>
      <c r="AK31" s="3">
        <f t="shared" si="80"/>
        <v>0</v>
      </c>
      <c r="AL31" s="3">
        <f t="shared" si="80"/>
        <v>0</v>
      </c>
      <c r="AM31" s="3">
        <f t="shared" si="80"/>
        <v>0</v>
      </c>
      <c r="AN31" s="3">
        <f t="shared" si="80"/>
        <v>0</v>
      </c>
      <c r="AO31" s="3">
        <f t="shared" si="80"/>
        <v>0</v>
      </c>
      <c r="AP31" s="3">
        <f t="shared" si="80"/>
        <v>0</v>
      </c>
      <c r="AQ31" s="3">
        <f t="shared" si="80"/>
        <v>0</v>
      </c>
      <c r="AR31" s="3">
        <f t="shared" si="80"/>
        <v>0</v>
      </c>
      <c r="AS31" s="4">
        <f t="shared" si="59"/>
        <v>0</v>
      </c>
      <c r="AT31" s="3">
        <f t="shared" ref="AT31:BE31" si="81">+AT10*$F10</f>
        <v>0</v>
      </c>
      <c r="AU31" s="3">
        <f t="shared" si="81"/>
        <v>0</v>
      </c>
      <c r="AV31" s="3">
        <f t="shared" si="81"/>
        <v>0</v>
      </c>
      <c r="AW31" s="3">
        <f t="shared" si="81"/>
        <v>0</v>
      </c>
      <c r="AX31" s="3">
        <f t="shared" si="81"/>
        <v>0</v>
      </c>
      <c r="AY31" s="3">
        <f t="shared" si="81"/>
        <v>0</v>
      </c>
      <c r="AZ31" s="3">
        <f t="shared" si="81"/>
        <v>0</v>
      </c>
      <c r="BA31" s="3">
        <f t="shared" si="81"/>
        <v>0</v>
      </c>
      <c r="BB31" s="3">
        <f t="shared" si="81"/>
        <v>0</v>
      </c>
      <c r="BC31" s="3">
        <f t="shared" si="81"/>
        <v>0</v>
      </c>
      <c r="BD31" s="3">
        <f t="shared" si="81"/>
        <v>0</v>
      </c>
      <c r="BE31" s="3">
        <f t="shared" si="81"/>
        <v>0</v>
      </c>
      <c r="BF31" s="4">
        <f t="shared" si="61"/>
        <v>0</v>
      </c>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s="1" customFormat="1" x14ac:dyDescent="0.35">
      <c r="A32" s="1">
        <f t="shared" si="53"/>
        <v>0</v>
      </c>
      <c r="C32" s="2"/>
      <c r="D32" s="2"/>
      <c r="E32" s="2"/>
      <c r="F32" s="2"/>
      <c r="G32" s="3">
        <f t="shared" ref="G32:R32" si="82">+G11*$C11</f>
        <v>0</v>
      </c>
      <c r="H32" s="3">
        <f t="shared" si="82"/>
        <v>0</v>
      </c>
      <c r="I32" s="3">
        <f t="shared" si="82"/>
        <v>0</v>
      </c>
      <c r="J32" s="3">
        <f t="shared" si="82"/>
        <v>0</v>
      </c>
      <c r="K32" s="3">
        <f t="shared" si="82"/>
        <v>0</v>
      </c>
      <c r="L32" s="3">
        <f t="shared" si="82"/>
        <v>0</v>
      </c>
      <c r="M32" s="3">
        <f t="shared" si="82"/>
        <v>0</v>
      </c>
      <c r="N32" s="3">
        <f t="shared" si="82"/>
        <v>0</v>
      </c>
      <c r="O32" s="3">
        <f t="shared" si="82"/>
        <v>0</v>
      </c>
      <c r="P32" s="3">
        <f t="shared" si="82"/>
        <v>0</v>
      </c>
      <c r="Q32" s="3">
        <f t="shared" si="82"/>
        <v>0</v>
      </c>
      <c r="R32" s="3">
        <f t="shared" si="82"/>
        <v>0</v>
      </c>
      <c r="S32" s="4">
        <f t="shared" si="55"/>
        <v>0</v>
      </c>
      <c r="T32" s="3">
        <f t="shared" ref="T32:AE32" si="83">+T11*$D11</f>
        <v>0</v>
      </c>
      <c r="U32" s="3">
        <f t="shared" si="83"/>
        <v>0</v>
      </c>
      <c r="V32" s="3">
        <f t="shared" si="83"/>
        <v>0</v>
      </c>
      <c r="W32" s="3">
        <f t="shared" si="83"/>
        <v>0</v>
      </c>
      <c r="X32" s="3">
        <f t="shared" si="83"/>
        <v>0</v>
      </c>
      <c r="Y32" s="3">
        <f t="shared" si="83"/>
        <v>0</v>
      </c>
      <c r="Z32" s="3">
        <f t="shared" si="83"/>
        <v>0</v>
      </c>
      <c r="AA32" s="3">
        <f t="shared" si="83"/>
        <v>0</v>
      </c>
      <c r="AB32" s="3">
        <f t="shared" si="83"/>
        <v>0</v>
      </c>
      <c r="AC32" s="3">
        <f t="shared" si="83"/>
        <v>0</v>
      </c>
      <c r="AD32" s="3">
        <f t="shared" si="83"/>
        <v>0</v>
      </c>
      <c r="AE32" s="3">
        <f t="shared" si="83"/>
        <v>0</v>
      </c>
      <c r="AF32" s="4">
        <f t="shared" si="57"/>
        <v>0</v>
      </c>
      <c r="AG32" s="3">
        <f t="shared" ref="AG32:AR32" si="84">+AG11*$E11</f>
        <v>0</v>
      </c>
      <c r="AH32" s="3">
        <f t="shared" si="84"/>
        <v>0</v>
      </c>
      <c r="AI32" s="3">
        <f t="shared" si="84"/>
        <v>0</v>
      </c>
      <c r="AJ32" s="3">
        <f t="shared" si="84"/>
        <v>0</v>
      </c>
      <c r="AK32" s="3">
        <f t="shared" si="84"/>
        <v>0</v>
      </c>
      <c r="AL32" s="3">
        <f t="shared" si="84"/>
        <v>0</v>
      </c>
      <c r="AM32" s="3">
        <f t="shared" si="84"/>
        <v>0</v>
      </c>
      <c r="AN32" s="3">
        <f t="shared" si="84"/>
        <v>0</v>
      </c>
      <c r="AO32" s="3">
        <f t="shared" si="84"/>
        <v>0</v>
      </c>
      <c r="AP32" s="3">
        <f t="shared" si="84"/>
        <v>0</v>
      </c>
      <c r="AQ32" s="3">
        <f t="shared" si="84"/>
        <v>0</v>
      </c>
      <c r="AR32" s="3">
        <f t="shared" si="84"/>
        <v>0</v>
      </c>
      <c r="AS32" s="4">
        <f t="shared" si="59"/>
        <v>0</v>
      </c>
      <c r="AT32" s="3">
        <f t="shared" ref="AT32:BE32" si="85">+AT11*$F11</f>
        <v>0</v>
      </c>
      <c r="AU32" s="3">
        <f t="shared" si="85"/>
        <v>0</v>
      </c>
      <c r="AV32" s="3">
        <f t="shared" si="85"/>
        <v>0</v>
      </c>
      <c r="AW32" s="3">
        <f t="shared" si="85"/>
        <v>0</v>
      </c>
      <c r="AX32" s="3">
        <f t="shared" si="85"/>
        <v>0</v>
      </c>
      <c r="AY32" s="3">
        <f t="shared" si="85"/>
        <v>0</v>
      </c>
      <c r="AZ32" s="3">
        <f t="shared" si="85"/>
        <v>0</v>
      </c>
      <c r="BA32" s="3">
        <f t="shared" si="85"/>
        <v>0</v>
      </c>
      <c r="BB32" s="3">
        <f t="shared" si="85"/>
        <v>0</v>
      </c>
      <c r="BC32" s="3">
        <f t="shared" si="85"/>
        <v>0</v>
      </c>
      <c r="BD32" s="3">
        <f t="shared" si="85"/>
        <v>0</v>
      </c>
      <c r="BE32" s="3">
        <f t="shared" si="85"/>
        <v>0</v>
      </c>
      <c r="BF32" s="4">
        <f t="shared" si="61"/>
        <v>0</v>
      </c>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s="1" customFormat="1" x14ac:dyDescent="0.35">
      <c r="A33" s="1">
        <f t="shared" si="53"/>
        <v>0</v>
      </c>
      <c r="C33" s="2"/>
      <c r="D33" s="2"/>
      <c r="E33" s="2"/>
      <c r="F33" s="2"/>
      <c r="G33" s="3">
        <f t="shared" ref="G33:R33" si="86">+G12*$C12</f>
        <v>0</v>
      </c>
      <c r="H33" s="3">
        <f t="shared" si="86"/>
        <v>0</v>
      </c>
      <c r="I33" s="3">
        <f t="shared" si="86"/>
        <v>0</v>
      </c>
      <c r="J33" s="3">
        <f t="shared" si="86"/>
        <v>0</v>
      </c>
      <c r="K33" s="3">
        <f t="shared" si="86"/>
        <v>0</v>
      </c>
      <c r="L33" s="3">
        <f t="shared" si="86"/>
        <v>0</v>
      </c>
      <c r="M33" s="3">
        <f t="shared" si="86"/>
        <v>0</v>
      </c>
      <c r="N33" s="3">
        <f t="shared" si="86"/>
        <v>0</v>
      </c>
      <c r="O33" s="3">
        <f t="shared" si="86"/>
        <v>0</v>
      </c>
      <c r="P33" s="3">
        <f t="shared" si="86"/>
        <v>0</v>
      </c>
      <c r="Q33" s="3">
        <f t="shared" si="86"/>
        <v>0</v>
      </c>
      <c r="R33" s="3">
        <f t="shared" si="86"/>
        <v>0</v>
      </c>
      <c r="S33" s="4">
        <f t="shared" si="55"/>
        <v>0</v>
      </c>
      <c r="T33" s="3">
        <f t="shared" ref="T33:AE33" si="87">+T12*$D12</f>
        <v>0</v>
      </c>
      <c r="U33" s="3">
        <f t="shared" si="87"/>
        <v>0</v>
      </c>
      <c r="V33" s="3">
        <f t="shared" si="87"/>
        <v>0</v>
      </c>
      <c r="W33" s="3">
        <f t="shared" si="87"/>
        <v>0</v>
      </c>
      <c r="X33" s="3">
        <f t="shared" si="87"/>
        <v>0</v>
      </c>
      <c r="Y33" s="3">
        <f t="shared" si="87"/>
        <v>0</v>
      </c>
      <c r="Z33" s="3">
        <f t="shared" si="87"/>
        <v>0</v>
      </c>
      <c r="AA33" s="3">
        <f t="shared" si="87"/>
        <v>0</v>
      </c>
      <c r="AB33" s="3">
        <f t="shared" si="87"/>
        <v>0</v>
      </c>
      <c r="AC33" s="3">
        <f t="shared" si="87"/>
        <v>0</v>
      </c>
      <c r="AD33" s="3">
        <f t="shared" si="87"/>
        <v>0</v>
      </c>
      <c r="AE33" s="3">
        <f t="shared" si="87"/>
        <v>0</v>
      </c>
      <c r="AF33" s="4">
        <f t="shared" si="57"/>
        <v>0</v>
      </c>
      <c r="AG33" s="3">
        <f t="shared" ref="AG33:AR33" si="88">+AG12*$E12</f>
        <v>0</v>
      </c>
      <c r="AH33" s="3">
        <f t="shared" si="88"/>
        <v>0</v>
      </c>
      <c r="AI33" s="3">
        <f t="shared" si="88"/>
        <v>0</v>
      </c>
      <c r="AJ33" s="3">
        <f t="shared" si="88"/>
        <v>0</v>
      </c>
      <c r="AK33" s="3">
        <f t="shared" si="88"/>
        <v>0</v>
      </c>
      <c r="AL33" s="3">
        <f t="shared" si="88"/>
        <v>0</v>
      </c>
      <c r="AM33" s="3">
        <f t="shared" si="88"/>
        <v>0</v>
      </c>
      <c r="AN33" s="3">
        <f t="shared" si="88"/>
        <v>0</v>
      </c>
      <c r="AO33" s="3">
        <f t="shared" si="88"/>
        <v>0</v>
      </c>
      <c r="AP33" s="3">
        <f t="shared" si="88"/>
        <v>0</v>
      </c>
      <c r="AQ33" s="3">
        <f t="shared" si="88"/>
        <v>0</v>
      </c>
      <c r="AR33" s="3">
        <f t="shared" si="88"/>
        <v>0</v>
      </c>
      <c r="AS33" s="4">
        <f t="shared" si="59"/>
        <v>0</v>
      </c>
      <c r="AT33" s="3">
        <f t="shared" ref="AT33:BE33" si="89">+AT12*$F12</f>
        <v>0</v>
      </c>
      <c r="AU33" s="3">
        <f t="shared" si="89"/>
        <v>0</v>
      </c>
      <c r="AV33" s="3">
        <f t="shared" si="89"/>
        <v>0</v>
      </c>
      <c r="AW33" s="3">
        <f t="shared" si="89"/>
        <v>0</v>
      </c>
      <c r="AX33" s="3">
        <f t="shared" si="89"/>
        <v>0</v>
      </c>
      <c r="AY33" s="3">
        <f t="shared" si="89"/>
        <v>0</v>
      </c>
      <c r="AZ33" s="3">
        <f t="shared" si="89"/>
        <v>0</v>
      </c>
      <c r="BA33" s="3">
        <f t="shared" si="89"/>
        <v>0</v>
      </c>
      <c r="BB33" s="3">
        <f t="shared" si="89"/>
        <v>0</v>
      </c>
      <c r="BC33" s="3">
        <f t="shared" si="89"/>
        <v>0</v>
      </c>
      <c r="BD33" s="3">
        <f t="shared" si="89"/>
        <v>0</v>
      </c>
      <c r="BE33" s="3">
        <f t="shared" si="89"/>
        <v>0</v>
      </c>
      <c r="BF33" s="4">
        <f t="shared" si="61"/>
        <v>0</v>
      </c>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s="1" customFormat="1" x14ac:dyDescent="0.35">
      <c r="A34" s="1">
        <f t="shared" si="53"/>
        <v>0</v>
      </c>
      <c r="C34" s="2"/>
      <c r="D34" s="2"/>
      <c r="E34" s="2"/>
      <c r="F34" s="2"/>
      <c r="G34" s="3">
        <f t="shared" ref="G34:R34" si="90">+G13*$C13</f>
        <v>0</v>
      </c>
      <c r="H34" s="3">
        <f t="shared" si="90"/>
        <v>0</v>
      </c>
      <c r="I34" s="3">
        <f t="shared" si="90"/>
        <v>0</v>
      </c>
      <c r="J34" s="3">
        <f t="shared" si="90"/>
        <v>0</v>
      </c>
      <c r="K34" s="3">
        <f t="shared" si="90"/>
        <v>0</v>
      </c>
      <c r="L34" s="3">
        <f t="shared" si="90"/>
        <v>0</v>
      </c>
      <c r="M34" s="3">
        <f t="shared" si="90"/>
        <v>0</v>
      </c>
      <c r="N34" s="3">
        <f t="shared" si="90"/>
        <v>0</v>
      </c>
      <c r="O34" s="3">
        <f t="shared" si="90"/>
        <v>0</v>
      </c>
      <c r="P34" s="3">
        <f t="shared" si="90"/>
        <v>0</v>
      </c>
      <c r="Q34" s="3">
        <f t="shared" si="90"/>
        <v>0</v>
      </c>
      <c r="R34" s="3">
        <f t="shared" si="90"/>
        <v>0</v>
      </c>
      <c r="S34" s="4">
        <f t="shared" si="55"/>
        <v>0</v>
      </c>
      <c r="T34" s="3">
        <f t="shared" ref="T34:AE34" si="91">+T13*$D13</f>
        <v>0</v>
      </c>
      <c r="U34" s="3">
        <f t="shared" si="91"/>
        <v>0</v>
      </c>
      <c r="V34" s="3">
        <f t="shared" si="91"/>
        <v>0</v>
      </c>
      <c r="W34" s="3">
        <f t="shared" si="91"/>
        <v>0</v>
      </c>
      <c r="X34" s="3">
        <f t="shared" si="91"/>
        <v>0</v>
      </c>
      <c r="Y34" s="3">
        <f t="shared" si="91"/>
        <v>0</v>
      </c>
      <c r="Z34" s="3">
        <f t="shared" si="91"/>
        <v>0</v>
      </c>
      <c r="AA34" s="3">
        <f t="shared" si="91"/>
        <v>0</v>
      </c>
      <c r="AB34" s="3">
        <f t="shared" si="91"/>
        <v>0</v>
      </c>
      <c r="AC34" s="3">
        <f t="shared" si="91"/>
        <v>0</v>
      </c>
      <c r="AD34" s="3">
        <f t="shared" si="91"/>
        <v>0</v>
      </c>
      <c r="AE34" s="3">
        <f t="shared" si="91"/>
        <v>0</v>
      </c>
      <c r="AF34" s="4">
        <f t="shared" si="57"/>
        <v>0</v>
      </c>
      <c r="AG34" s="3">
        <f t="shared" ref="AG34:AR34" si="92">+AG13*$E13</f>
        <v>0</v>
      </c>
      <c r="AH34" s="3">
        <f t="shared" si="92"/>
        <v>0</v>
      </c>
      <c r="AI34" s="3">
        <f t="shared" si="92"/>
        <v>0</v>
      </c>
      <c r="AJ34" s="3">
        <f t="shared" si="92"/>
        <v>0</v>
      </c>
      <c r="AK34" s="3">
        <f t="shared" si="92"/>
        <v>0</v>
      </c>
      <c r="AL34" s="3">
        <f t="shared" si="92"/>
        <v>0</v>
      </c>
      <c r="AM34" s="3">
        <f t="shared" si="92"/>
        <v>0</v>
      </c>
      <c r="AN34" s="3">
        <f t="shared" si="92"/>
        <v>0</v>
      </c>
      <c r="AO34" s="3">
        <f t="shared" si="92"/>
        <v>0</v>
      </c>
      <c r="AP34" s="3">
        <f t="shared" si="92"/>
        <v>0</v>
      </c>
      <c r="AQ34" s="3">
        <f t="shared" si="92"/>
        <v>0</v>
      </c>
      <c r="AR34" s="3">
        <f t="shared" si="92"/>
        <v>0</v>
      </c>
      <c r="AS34" s="4">
        <f t="shared" si="59"/>
        <v>0</v>
      </c>
      <c r="AT34" s="3">
        <f t="shared" ref="AT34:BE34" si="93">+AT13*$F13</f>
        <v>0</v>
      </c>
      <c r="AU34" s="3">
        <f t="shared" si="93"/>
        <v>0</v>
      </c>
      <c r="AV34" s="3">
        <f t="shared" si="93"/>
        <v>0</v>
      </c>
      <c r="AW34" s="3">
        <f t="shared" si="93"/>
        <v>0</v>
      </c>
      <c r="AX34" s="3">
        <f t="shared" si="93"/>
        <v>0</v>
      </c>
      <c r="AY34" s="3">
        <f t="shared" si="93"/>
        <v>0</v>
      </c>
      <c r="AZ34" s="3">
        <f t="shared" si="93"/>
        <v>0</v>
      </c>
      <c r="BA34" s="3">
        <f t="shared" si="93"/>
        <v>0</v>
      </c>
      <c r="BB34" s="3">
        <f t="shared" si="93"/>
        <v>0</v>
      </c>
      <c r="BC34" s="3">
        <f t="shared" si="93"/>
        <v>0</v>
      </c>
      <c r="BD34" s="3">
        <f t="shared" si="93"/>
        <v>0</v>
      </c>
      <c r="BE34" s="3">
        <f t="shared" si="93"/>
        <v>0</v>
      </c>
      <c r="BF34" s="4">
        <f t="shared" si="61"/>
        <v>0</v>
      </c>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s="1" customFormat="1" x14ac:dyDescent="0.35">
      <c r="A35" s="1">
        <f t="shared" si="53"/>
        <v>0</v>
      </c>
      <c r="C35" s="2"/>
      <c r="D35" s="2"/>
      <c r="E35" s="2"/>
      <c r="F35" s="2"/>
      <c r="G35" s="3">
        <f t="shared" ref="G35:R35" si="94">+G14*$C14</f>
        <v>0</v>
      </c>
      <c r="H35" s="3">
        <f t="shared" si="94"/>
        <v>0</v>
      </c>
      <c r="I35" s="3">
        <f t="shared" si="94"/>
        <v>0</v>
      </c>
      <c r="J35" s="3">
        <f t="shared" si="94"/>
        <v>0</v>
      </c>
      <c r="K35" s="3">
        <f t="shared" si="94"/>
        <v>0</v>
      </c>
      <c r="L35" s="3">
        <f t="shared" si="94"/>
        <v>0</v>
      </c>
      <c r="M35" s="3">
        <f t="shared" si="94"/>
        <v>0</v>
      </c>
      <c r="N35" s="3">
        <f t="shared" si="94"/>
        <v>0</v>
      </c>
      <c r="O35" s="3">
        <f t="shared" si="94"/>
        <v>0</v>
      </c>
      <c r="P35" s="3">
        <f t="shared" si="94"/>
        <v>0</v>
      </c>
      <c r="Q35" s="3">
        <f t="shared" si="94"/>
        <v>0</v>
      </c>
      <c r="R35" s="3">
        <f t="shared" si="94"/>
        <v>0</v>
      </c>
      <c r="S35" s="4">
        <f t="shared" si="55"/>
        <v>0</v>
      </c>
      <c r="T35" s="3">
        <f t="shared" ref="T35:AE35" si="95">+T14*$D14</f>
        <v>0</v>
      </c>
      <c r="U35" s="3">
        <f t="shared" si="95"/>
        <v>0</v>
      </c>
      <c r="V35" s="3">
        <f t="shared" si="95"/>
        <v>0</v>
      </c>
      <c r="W35" s="3">
        <f t="shared" si="95"/>
        <v>0</v>
      </c>
      <c r="X35" s="3">
        <f t="shared" si="95"/>
        <v>0</v>
      </c>
      <c r="Y35" s="3">
        <f t="shared" si="95"/>
        <v>0</v>
      </c>
      <c r="Z35" s="3">
        <f t="shared" si="95"/>
        <v>0</v>
      </c>
      <c r="AA35" s="3">
        <f t="shared" si="95"/>
        <v>0</v>
      </c>
      <c r="AB35" s="3">
        <f t="shared" si="95"/>
        <v>0</v>
      </c>
      <c r="AC35" s="3">
        <f t="shared" si="95"/>
        <v>0</v>
      </c>
      <c r="AD35" s="3">
        <f t="shared" si="95"/>
        <v>0</v>
      </c>
      <c r="AE35" s="3">
        <f t="shared" si="95"/>
        <v>0</v>
      </c>
      <c r="AF35" s="4">
        <f t="shared" si="57"/>
        <v>0</v>
      </c>
      <c r="AG35" s="3">
        <f t="shared" ref="AG35:AR35" si="96">+AG14*$E14</f>
        <v>0</v>
      </c>
      <c r="AH35" s="3">
        <f t="shared" si="96"/>
        <v>0</v>
      </c>
      <c r="AI35" s="3">
        <f t="shared" si="96"/>
        <v>0</v>
      </c>
      <c r="AJ35" s="3">
        <f t="shared" si="96"/>
        <v>0</v>
      </c>
      <c r="AK35" s="3">
        <f t="shared" si="96"/>
        <v>0</v>
      </c>
      <c r="AL35" s="3">
        <f t="shared" si="96"/>
        <v>0</v>
      </c>
      <c r="AM35" s="3">
        <f t="shared" si="96"/>
        <v>0</v>
      </c>
      <c r="AN35" s="3">
        <f t="shared" si="96"/>
        <v>0</v>
      </c>
      <c r="AO35" s="3">
        <f t="shared" si="96"/>
        <v>0</v>
      </c>
      <c r="AP35" s="3">
        <f t="shared" si="96"/>
        <v>0</v>
      </c>
      <c r="AQ35" s="3">
        <f t="shared" si="96"/>
        <v>0</v>
      </c>
      <c r="AR35" s="3">
        <f t="shared" si="96"/>
        <v>0</v>
      </c>
      <c r="AS35" s="4">
        <f t="shared" si="59"/>
        <v>0</v>
      </c>
      <c r="AT35" s="3">
        <f t="shared" ref="AT35:BE35" si="97">+AT14*$F14</f>
        <v>0</v>
      </c>
      <c r="AU35" s="3">
        <f t="shared" si="97"/>
        <v>0</v>
      </c>
      <c r="AV35" s="3">
        <f t="shared" si="97"/>
        <v>0</v>
      </c>
      <c r="AW35" s="3">
        <f t="shared" si="97"/>
        <v>0</v>
      </c>
      <c r="AX35" s="3">
        <f t="shared" si="97"/>
        <v>0</v>
      </c>
      <c r="AY35" s="3">
        <f t="shared" si="97"/>
        <v>0</v>
      </c>
      <c r="AZ35" s="3">
        <f t="shared" si="97"/>
        <v>0</v>
      </c>
      <c r="BA35" s="3">
        <f t="shared" si="97"/>
        <v>0</v>
      </c>
      <c r="BB35" s="3">
        <f t="shared" si="97"/>
        <v>0</v>
      </c>
      <c r="BC35" s="3">
        <f t="shared" si="97"/>
        <v>0</v>
      </c>
      <c r="BD35" s="3">
        <f t="shared" si="97"/>
        <v>0</v>
      </c>
      <c r="BE35" s="3">
        <f t="shared" si="97"/>
        <v>0</v>
      </c>
      <c r="BF35" s="4">
        <f t="shared" si="61"/>
        <v>0</v>
      </c>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s="1" customFormat="1" x14ac:dyDescent="0.35">
      <c r="A36" s="1">
        <f t="shared" si="53"/>
        <v>0</v>
      </c>
      <c r="C36" s="2"/>
      <c r="D36" s="2"/>
      <c r="E36" s="2"/>
      <c r="F36" s="2"/>
      <c r="G36" s="3">
        <f t="shared" ref="G36:R36" si="98">+G15*$C15</f>
        <v>0</v>
      </c>
      <c r="H36" s="3">
        <f t="shared" si="98"/>
        <v>0</v>
      </c>
      <c r="I36" s="3">
        <f t="shared" si="98"/>
        <v>0</v>
      </c>
      <c r="J36" s="3">
        <f t="shared" si="98"/>
        <v>0</v>
      </c>
      <c r="K36" s="3">
        <f t="shared" si="98"/>
        <v>0</v>
      </c>
      <c r="L36" s="3">
        <f t="shared" si="98"/>
        <v>0</v>
      </c>
      <c r="M36" s="3">
        <f t="shared" si="98"/>
        <v>0</v>
      </c>
      <c r="N36" s="3">
        <f t="shared" si="98"/>
        <v>0</v>
      </c>
      <c r="O36" s="3">
        <f t="shared" si="98"/>
        <v>0</v>
      </c>
      <c r="P36" s="3">
        <f t="shared" si="98"/>
        <v>0</v>
      </c>
      <c r="Q36" s="3">
        <f t="shared" si="98"/>
        <v>0</v>
      </c>
      <c r="R36" s="3">
        <f t="shared" si="98"/>
        <v>0</v>
      </c>
      <c r="S36" s="4">
        <f t="shared" si="55"/>
        <v>0</v>
      </c>
      <c r="T36" s="3">
        <f t="shared" ref="T36:AE36" si="99">+T15*$D15</f>
        <v>0</v>
      </c>
      <c r="U36" s="3">
        <f t="shared" si="99"/>
        <v>0</v>
      </c>
      <c r="V36" s="3">
        <f t="shared" si="99"/>
        <v>0</v>
      </c>
      <c r="W36" s="3">
        <f t="shared" si="99"/>
        <v>0</v>
      </c>
      <c r="X36" s="3">
        <f t="shared" si="99"/>
        <v>0</v>
      </c>
      <c r="Y36" s="3">
        <f t="shared" si="99"/>
        <v>0</v>
      </c>
      <c r="Z36" s="3">
        <f t="shared" si="99"/>
        <v>0</v>
      </c>
      <c r="AA36" s="3">
        <f t="shared" si="99"/>
        <v>0</v>
      </c>
      <c r="AB36" s="3">
        <f t="shared" si="99"/>
        <v>0</v>
      </c>
      <c r="AC36" s="3">
        <f t="shared" si="99"/>
        <v>0</v>
      </c>
      <c r="AD36" s="3">
        <f t="shared" si="99"/>
        <v>0</v>
      </c>
      <c r="AE36" s="3">
        <f t="shared" si="99"/>
        <v>0</v>
      </c>
      <c r="AF36" s="4">
        <f t="shared" si="57"/>
        <v>0</v>
      </c>
      <c r="AG36" s="3">
        <f t="shared" ref="AG36:AR36" si="100">+AG15*$E15</f>
        <v>0</v>
      </c>
      <c r="AH36" s="3">
        <f t="shared" si="100"/>
        <v>0</v>
      </c>
      <c r="AI36" s="3">
        <f t="shared" si="100"/>
        <v>0</v>
      </c>
      <c r="AJ36" s="3">
        <f t="shared" si="100"/>
        <v>0</v>
      </c>
      <c r="AK36" s="3">
        <f t="shared" si="100"/>
        <v>0</v>
      </c>
      <c r="AL36" s="3">
        <f t="shared" si="100"/>
        <v>0</v>
      </c>
      <c r="AM36" s="3">
        <f t="shared" si="100"/>
        <v>0</v>
      </c>
      <c r="AN36" s="3">
        <f t="shared" si="100"/>
        <v>0</v>
      </c>
      <c r="AO36" s="3">
        <f t="shared" si="100"/>
        <v>0</v>
      </c>
      <c r="AP36" s="3">
        <f t="shared" si="100"/>
        <v>0</v>
      </c>
      <c r="AQ36" s="3">
        <f t="shared" si="100"/>
        <v>0</v>
      </c>
      <c r="AR36" s="3">
        <f t="shared" si="100"/>
        <v>0</v>
      </c>
      <c r="AS36" s="4">
        <f t="shared" si="59"/>
        <v>0</v>
      </c>
      <c r="AT36" s="3">
        <f t="shared" ref="AT36:BE36" si="101">+AT15*$F15</f>
        <v>0</v>
      </c>
      <c r="AU36" s="3">
        <f t="shared" si="101"/>
        <v>0</v>
      </c>
      <c r="AV36" s="3">
        <f t="shared" si="101"/>
        <v>0</v>
      </c>
      <c r="AW36" s="3">
        <f t="shared" si="101"/>
        <v>0</v>
      </c>
      <c r="AX36" s="3">
        <f t="shared" si="101"/>
        <v>0</v>
      </c>
      <c r="AY36" s="3">
        <f t="shared" si="101"/>
        <v>0</v>
      </c>
      <c r="AZ36" s="3">
        <f t="shared" si="101"/>
        <v>0</v>
      </c>
      <c r="BA36" s="3">
        <f t="shared" si="101"/>
        <v>0</v>
      </c>
      <c r="BB36" s="3">
        <f t="shared" si="101"/>
        <v>0</v>
      </c>
      <c r="BC36" s="3">
        <f t="shared" si="101"/>
        <v>0</v>
      </c>
      <c r="BD36" s="3">
        <f t="shared" si="101"/>
        <v>0</v>
      </c>
      <c r="BE36" s="3">
        <f t="shared" si="101"/>
        <v>0</v>
      </c>
      <c r="BF36" s="4">
        <f t="shared" si="61"/>
        <v>0</v>
      </c>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s="1" customFormat="1" x14ac:dyDescent="0.35">
      <c r="A37" s="1">
        <f t="shared" si="53"/>
        <v>0</v>
      </c>
      <c r="C37" s="2"/>
      <c r="D37" s="2"/>
      <c r="E37" s="2"/>
      <c r="F37" s="2"/>
      <c r="G37" s="3">
        <f t="shared" ref="G37:R37" si="102">+G16*$C16</f>
        <v>0</v>
      </c>
      <c r="H37" s="3">
        <f t="shared" si="102"/>
        <v>0</v>
      </c>
      <c r="I37" s="3">
        <f t="shared" si="102"/>
        <v>0</v>
      </c>
      <c r="J37" s="3">
        <f t="shared" si="102"/>
        <v>0</v>
      </c>
      <c r="K37" s="3">
        <f t="shared" si="102"/>
        <v>0</v>
      </c>
      <c r="L37" s="3">
        <f t="shared" si="102"/>
        <v>0</v>
      </c>
      <c r="M37" s="3">
        <f t="shared" si="102"/>
        <v>0</v>
      </c>
      <c r="N37" s="3">
        <f t="shared" si="102"/>
        <v>0</v>
      </c>
      <c r="O37" s="3">
        <f t="shared" si="102"/>
        <v>0</v>
      </c>
      <c r="P37" s="3">
        <f t="shared" si="102"/>
        <v>0</v>
      </c>
      <c r="Q37" s="3">
        <f t="shared" si="102"/>
        <v>0</v>
      </c>
      <c r="R37" s="3">
        <f t="shared" si="102"/>
        <v>0</v>
      </c>
      <c r="S37" s="4">
        <f t="shared" si="55"/>
        <v>0</v>
      </c>
      <c r="T37" s="3">
        <f t="shared" ref="T37:AE37" si="103">+T16*$D16</f>
        <v>0</v>
      </c>
      <c r="U37" s="3">
        <f t="shared" si="103"/>
        <v>0</v>
      </c>
      <c r="V37" s="3">
        <f t="shared" si="103"/>
        <v>0</v>
      </c>
      <c r="W37" s="3">
        <f t="shared" si="103"/>
        <v>0</v>
      </c>
      <c r="X37" s="3">
        <f t="shared" si="103"/>
        <v>0</v>
      </c>
      <c r="Y37" s="3">
        <f t="shared" si="103"/>
        <v>0</v>
      </c>
      <c r="Z37" s="3">
        <f t="shared" si="103"/>
        <v>0</v>
      </c>
      <c r="AA37" s="3">
        <f t="shared" si="103"/>
        <v>0</v>
      </c>
      <c r="AB37" s="3">
        <f t="shared" si="103"/>
        <v>0</v>
      </c>
      <c r="AC37" s="3">
        <f t="shared" si="103"/>
        <v>0</v>
      </c>
      <c r="AD37" s="3">
        <f t="shared" si="103"/>
        <v>0</v>
      </c>
      <c r="AE37" s="3">
        <f t="shared" si="103"/>
        <v>0</v>
      </c>
      <c r="AF37" s="4">
        <f t="shared" si="57"/>
        <v>0</v>
      </c>
      <c r="AG37" s="3">
        <f t="shared" ref="AG37:AR37" si="104">+AG16*$E16</f>
        <v>0</v>
      </c>
      <c r="AH37" s="3">
        <f t="shared" si="104"/>
        <v>0</v>
      </c>
      <c r="AI37" s="3">
        <f t="shared" si="104"/>
        <v>0</v>
      </c>
      <c r="AJ37" s="3">
        <f t="shared" si="104"/>
        <v>0</v>
      </c>
      <c r="AK37" s="3">
        <f t="shared" si="104"/>
        <v>0</v>
      </c>
      <c r="AL37" s="3">
        <f t="shared" si="104"/>
        <v>0</v>
      </c>
      <c r="AM37" s="3">
        <f t="shared" si="104"/>
        <v>0</v>
      </c>
      <c r="AN37" s="3">
        <f t="shared" si="104"/>
        <v>0</v>
      </c>
      <c r="AO37" s="3">
        <f t="shared" si="104"/>
        <v>0</v>
      </c>
      <c r="AP37" s="3">
        <f t="shared" si="104"/>
        <v>0</v>
      </c>
      <c r="AQ37" s="3">
        <f t="shared" si="104"/>
        <v>0</v>
      </c>
      <c r="AR37" s="3">
        <f t="shared" si="104"/>
        <v>0</v>
      </c>
      <c r="AS37" s="4">
        <f t="shared" si="59"/>
        <v>0</v>
      </c>
      <c r="AT37" s="3">
        <f t="shared" ref="AT37:BE37" si="105">+AT16*$F16</f>
        <v>0</v>
      </c>
      <c r="AU37" s="3">
        <f t="shared" si="105"/>
        <v>0</v>
      </c>
      <c r="AV37" s="3">
        <f t="shared" si="105"/>
        <v>0</v>
      </c>
      <c r="AW37" s="3">
        <f t="shared" si="105"/>
        <v>0</v>
      </c>
      <c r="AX37" s="3">
        <f t="shared" si="105"/>
        <v>0</v>
      </c>
      <c r="AY37" s="3">
        <f t="shared" si="105"/>
        <v>0</v>
      </c>
      <c r="AZ37" s="3">
        <f t="shared" si="105"/>
        <v>0</v>
      </c>
      <c r="BA37" s="3">
        <f t="shared" si="105"/>
        <v>0</v>
      </c>
      <c r="BB37" s="3">
        <f t="shared" si="105"/>
        <v>0</v>
      </c>
      <c r="BC37" s="3">
        <f t="shared" si="105"/>
        <v>0</v>
      </c>
      <c r="BD37" s="3">
        <f t="shared" si="105"/>
        <v>0</v>
      </c>
      <c r="BE37" s="3">
        <f t="shared" si="105"/>
        <v>0</v>
      </c>
      <c r="BF37" s="4">
        <f t="shared" si="61"/>
        <v>0</v>
      </c>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s="1" customFormat="1" x14ac:dyDescent="0.35">
      <c r="A38" s="1">
        <f t="shared" si="53"/>
        <v>0</v>
      </c>
      <c r="C38" s="2"/>
      <c r="D38" s="2"/>
      <c r="E38" s="2"/>
      <c r="F38" s="2"/>
      <c r="G38" s="3">
        <f t="shared" ref="G38:R38" si="106">+G17*$C17</f>
        <v>0</v>
      </c>
      <c r="H38" s="3">
        <f t="shared" si="106"/>
        <v>0</v>
      </c>
      <c r="I38" s="3">
        <f t="shared" si="106"/>
        <v>0</v>
      </c>
      <c r="J38" s="3">
        <f t="shared" si="106"/>
        <v>0</v>
      </c>
      <c r="K38" s="3">
        <f t="shared" si="106"/>
        <v>0</v>
      </c>
      <c r="L38" s="3">
        <f t="shared" si="106"/>
        <v>0</v>
      </c>
      <c r="M38" s="3">
        <f t="shared" si="106"/>
        <v>0</v>
      </c>
      <c r="N38" s="3">
        <f t="shared" si="106"/>
        <v>0</v>
      </c>
      <c r="O38" s="3">
        <f t="shared" si="106"/>
        <v>0</v>
      </c>
      <c r="P38" s="3">
        <f t="shared" si="106"/>
        <v>0</v>
      </c>
      <c r="Q38" s="3">
        <f t="shared" si="106"/>
        <v>0</v>
      </c>
      <c r="R38" s="3">
        <f t="shared" si="106"/>
        <v>0</v>
      </c>
      <c r="S38" s="4">
        <f t="shared" si="55"/>
        <v>0</v>
      </c>
      <c r="T38" s="3">
        <f t="shared" ref="T38:AE38" si="107">+T17*$D17</f>
        <v>0</v>
      </c>
      <c r="U38" s="3">
        <f t="shared" si="107"/>
        <v>0</v>
      </c>
      <c r="V38" s="3">
        <f t="shared" si="107"/>
        <v>0</v>
      </c>
      <c r="W38" s="3">
        <f t="shared" si="107"/>
        <v>0</v>
      </c>
      <c r="X38" s="3">
        <f t="shared" si="107"/>
        <v>0</v>
      </c>
      <c r="Y38" s="3">
        <f t="shared" si="107"/>
        <v>0</v>
      </c>
      <c r="Z38" s="3">
        <f t="shared" si="107"/>
        <v>0</v>
      </c>
      <c r="AA38" s="3">
        <f t="shared" si="107"/>
        <v>0</v>
      </c>
      <c r="AB38" s="3">
        <f t="shared" si="107"/>
        <v>0</v>
      </c>
      <c r="AC38" s="3">
        <f t="shared" si="107"/>
        <v>0</v>
      </c>
      <c r="AD38" s="3">
        <f t="shared" si="107"/>
        <v>0</v>
      </c>
      <c r="AE38" s="3">
        <f t="shared" si="107"/>
        <v>0</v>
      </c>
      <c r="AF38" s="4">
        <f t="shared" si="57"/>
        <v>0</v>
      </c>
      <c r="AG38" s="3">
        <f t="shared" ref="AG38:AR38" si="108">+AG17*$E17</f>
        <v>0</v>
      </c>
      <c r="AH38" s="3">
        <f t="shared" si="108"/>
        <v>0</v>
      </c>
      <c r="AI38" s="3">
        <f t="shared" si="108"/>
        <v>0</v>
      </c>
      <c r="AJ38" s="3">
        <f t="shared" si="108"/>
        <v>0</v>
      </c>
      <c r="AK38" s="3">
        <f t="shared" si="108"/>
        <v>0</v>
      </c>
      <c r="AL38" s="3">
        <f t="shared" si="108"/>
        <v>0</v>
      </c>
      <c r="AM38" s="3">
        <f t="shared" si="108"/>
        <v>0</v>
      </c>
      <c r="AN38" s="3">
        <f t="shared" si="108"/>
        <v>0</v>
      </c>
      <c r="AO38" s="3">
        <f t="shared" si="108"/>
        <v>0</v>
      </c>
      <c r="AP38" s="3">
        <f t="shared" si="108"/>
        <v>0</v>
      </c>
      <c r="AQ38" s="3">
        <f t="shared" si="108"/>
        <v>0</v>
      </c>
      <c r="AR38" s="3">
        <f t="shared" si="108"/>
        <v>0</v>
      </c>
      <c r="AS38" s="4">
        <f t="shared" si="59"/>
        <v>0</v>
      </c>
      <c r="AT38" s="3">
        <f t="shared" ref="AT38:BE38" si="109">+AT17*$F17</f>
        <v>0</v>
      </c>
      <c r="AU38" s="3">
        <f t="shared" si="109"/>
        <v>0</v>
      </c>
      <c r="AV38" s="3">
        <f t="shared" si="109"/>
        <v>0</v>
      </c>
      <c r="AW38" s="3">
        <f t="shared" si="109"/>
        <v>0</v>
      </c>
      <c r="AX38" s="3">
        <f t="shared" si="109"/>
        <v>0</v>
      </c>
      <c r="AY38" s="3">
        <f t="shared" si="109"/>
        <v>0</v>
      </c>
      <c r="AZ38" s="3">
        <f t="shared" si="109"/>
        <v>0</v>
      </c>
      <c r="BA38" s="3">
        <f t="shared" si="109"/>
        <v>0</v>
      </c>
      <c r="BB38" s="3">
        <f t="shared" si="109"/>
        <v>0</v>
      </c>
      <c r="BC38" s="3">
        <f t="shared" si="109"/>
        <v>0</v>
      </c>
      <c r="BD38" s="3">
        <f t="shared" si="109"/>
        <v>0</v>
      </c>
      <c r="BE38" s="3">
        <f t="shared" si="109"/>
        <v>0</v>
      </c>
      <c r="BF38" s="4">
        <f t="shared" si="61"/>
        <v>0</v>
      </c>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s="1" customFormat="1" x14ac:dyDescent="0.35">
      <c r="A39" s="1">
        <f t="shared" si="53"/>
        <v>0</v>
      </c>
      <c r="C39" s="2"/>
      <c r="D39" s="2"/>
      <c r="E39" s="2"/>
      <c r="F39" s="2"/>
      <c r="G39" s="3">
        <f t="shared" ref="G39:R39" si="110">+G18*$C18</f>
        <v>0</v>
      </c>
      <c r="H39" s="3">
        <f t="shared" si="110"/>
        <v>0</v>
      </c>
      <c r="I39" s="3">
        <f t="shared" si="110"/>
        <v>0</v>
      </c>
      <c r="J39" s="3">
        <f t="shared" si="110"/>
        <v>0</v>
      </c>
      <c r="K39" s="3">
        <f t="shared" si="110"/>
        <v>0</v>
      </c>
      <c r="L39" s="3">
        <f t="shared" si="110"/>
        <v>0</v>
      </c>
      <c r="M39" s="3">
        <f t="shared" si="110"/>
        <v>0</v>
      </c>
      <c r="N39" s="3">
        <f t="shared" si="110"/>
        <v>0</v>
      </c>
      <c r="O39" s="3">
        <f t="shared" si="110"/>
        <v>0</v>
      </c>
      <c r="P39" s="3">
        <f t="shared" si="110"/>
        <v>0</v>
      </c>
      <c r="Q39" s="3">
        <f t="shared" si="110"/>
        <v>0</v>
      </c>
      <c r="R39" s="3">
        <f t="shared" si="110"/>
        <v>0</v>
      </c>
      <c r="S39" s="4">
        <f t="shared" si="55"/>
        <v>0</v>
      </c>
      <c r="T39" s="3">
        <f t="shared" ref="T39:AE39" si="111">+T18*$D18</f>
        <v>0</v>
      </c>
      <c r="U39" s="3">
        <f t="shared" si="111"/>
        <v>0</v>
      </c>
      <c r="V39" s="3">
        <f t="shared" si="111"/>
        <v>0</v>
      </c>
      <c r="W39" s="3">
        <f t="shared" si="111"/>
        <v>0</v>
      </c>
      <c r="X39" s="3">
        <f t="shared" si="111"/>
        <v>0</v>
      </c>
      <c r="Y39" s="3">
        <f t="shared" si="111"/>
        <v>0</v>
      </c>
      <c r="Z39" s="3">
        <f t="shared" si="111"/>
        <v>0</v>
      </c>
      <c r="AA39" s="3">
        <f t="shared" si="111"/>
        <v>0</v>
      </c>
      <c r="AB39" s="3">
        <f t="shared" si="111"/>
        <v>0</v>
      </c>
      <c r="AC39" s="3">
        <f t="shared" si="111"/>
        <v>0</v>
      </c>
      <c r="AD39" s="3">
        <f t="shared" si="111"/>
        <v>0</v>
      </c>
      <c r="AE39" s="3">
        <f t="shared" si="111"/>
        <v>0</v>
      </c>
      <c r="AF39" s="4">
        <f t="shared" si="57"/>
        <v>0</v>
      </c>
      <c r="AG39" s="3">
        <f t="shared" ref="AG39:AR39" si="112">+AG18*$E18</f>
        <v>0</v>
      </c>
      <c r="AH39" s="3">
        <f t="shared" si="112"/>
        <v>0</v>
      </c>
      <c r="AI39" s="3">
        <f t="shared" si="112"/>
        <v>0</v>
      </c>
      <c r="AJ39" s="3">
        <f t="shared" si="112"/>
        <v>0</v>
      </c>
      <c r="AK39" s="3">
        <f t="shared" si="112"/>
        <v>0</v>
      </c>
      <c r="AL39" s="3">
        <f t="shared" si="112"/>
        <v>0</v>
      </c>
      <c r="AM39" s="3">
        <f t="shared" si="112"/>
        <v>0</v>
      </c>
      <c r="AN39" s="3">
        <f t="shared" si="112"/>
        <v>0</v>
      </c>
      <c r="AO39" s="3">
        <f t="shared" si="112"/>
        <v>0</v>
      </c>
      <c r="AP39" s="3">
        <f t="shared" si="112"/>
        <v>0</v>
      </c>
      <c r="AQ39" s="3">
        <f t="shared" si="112"/>
        <v>0</v>
      </c>
      <c r="AR39" s="3">
        <f t="shared" si="112"/>
        <v>0</v>
      </c>
      <c r="AS39" s="4">
        <f t="shared" si="59"/>
        <v>0</v>
      </c>
      <c r="AT39" s="3">
        <f t="shared" ref="AT39:BE39" si="113">+AT18*$F18</f>
        <v>0</v>
      </c>
      <c r="AU39" s="3">
        <f t="shared" si="113"/>
        <v>0</v>
      </c>
      <c r="AV39" s="3">
        <f t="shared" si="113"/>
        <v>0</v>
      </c>
      <c r="AW39" s="3">
        <f t="shared" si="113"/>
        <v>0</v>
      </c>
      <c r="AX39" s="3">
        <f t="shared" si="113"/>
        <v>0</v>
      </c>
      <c r="AY39" s="3">
        <f t="shared" si="113"/>
        <v>0</v>
      </c>
      <c r="AZ39" s="3">
        <f t="shared" si="113"/>
        <v>0</v>
      </c>
      <c r="BA39" s="3">
        <f t="shared" si="113"/>
        <v>0</v>
      </c>
      <c r="BB39" s="3">
        <f t="shared" si="113"/>
        <v>0</v>
      </c>
      <c r="BC39" s="3">
        <f t="shared" si="113"/>
        <v>0</v>
      </c>
      <c r="BD39" s="3">
        <f t="shared" si="113"/>
        <v>0</v>
      </c>
      <c r="BE39" s="3">
        <f t="shared" si="113"/>
        <v>0</v>
      </c>
      <c r="BF39" s="4">
        <f t="shared" si="61"/>
        <v>0</v>
      </c>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s="1" customFormat="1" collapsed="1" x14ac:dyDescent="0.35">
      <c r="A40" s="1">
        <f t="shared" si="53"/>
        <v>0</v>
      </c>
      <c r="C40" s="2"/>
      <c r="D40" s="2"/>
      <c r="E40" s="2"/>
      <c r="F40" s="2"/>
      <c r="G40" s="3">
        <f t="shared" ref="G40:R40" si="114">+G19*$C19</f>
        <v>0</v>
      </c>
      <c r="H40" s="3">
        <f t="shared" si="114"/>
        <v>0</v>
      </c>
      <c r="I40" s="3">
        <f t="shared" si="114"/>
        <v>0</v>
      </c>
      <c r="J40" s="3">
        <f t="shared" si="114"/>
        <v>0</v>
      </c>
      <c r="K40" s="3">
        <f t="shared" si="114"/>
        <v>0</v>
      </c>
      <c r="L40" s="3">
        <f t="shared" si="114"/>
        <v>0</v>
      </c>
      <c r="M40" s="3">
        <f t="shared" si="114"/>
        <v>0</v>
      </c>
      <c r="N40" s="3">
        <f t="shared" si="114"/>
        <v>0</v>
      </c>
      <c r="O40" s="3">
        <f t="shared" si="114"/>
        <v>0</v>
      </c>
      <c r="P40" s="3">
        <f t="shared" si="114"/>
        <v>0</v>
      </c>
      <c r="Q40" s="3">
        <f t="shared" si="114"/>
        <v>0</v>
      </c>
      <c r="R40" s="3">
        <f t="shared" si="114"/>
        <v>0</v>
      </c>
      <c r="S40" s="4">
        <f t="shared" si="55"/>
        <v>0</v>
      </c>
      <c r="T40" s="3">
        <f t="shared" ref="T40:AE40" si="115">+T19*$D19</f>
        <v>0</v>
      </c>
      <c r="U40" s="3">
        <f t="shared" si="115"/>
        <v>0</v>
      </c>
      <c r="V40" s="3">
        <f t="shared" si="115"/>
        <v>0</v>
      </c>
      <c r="W40" s="3">
        <f t="shared" si="115"/>
        <v>0</v>
      </c>
      <c r="X40" s="3">
        <f t="shared" si="115"/>
        <v>0</v>
      </c>
      <c r="Y40" s="3">
        <f t="shared" si="115"/>
        <v>0</v>
      </c>
      <c r="Z40" s="3">
        <f t="shared" si="115"/>
        <v>0</v>
      </c>
      <c r="AA40" s="3">
        <f t="shared" si="115"/>
        <v>0</v>
      </c>
      <c r="AB40" s="3">
        <f t="shared" si="115"/>
        <v>0</v>
      </c>
      <c r="AC40" s="3">
        <f t="shared" si="115"/>
        <v>0</v>
      </c>
      <c r="AD40" s="3">
        <f t="shared" si="115"/>
        <v>0</v>
      </c>
      <c r="AE40" s="3">
        <f t="shared" si="115"/>
        <v>0</v>
      </c>
      <c r="AF40" s="4">
        <f t="shared" si="57"/>
        <v>0</v>
      </c>
      <c r="AG40" s="3">
        <f t="shared" ref="AG40:AR40" si="116">+AG19*$E19</f>
        <v>0</v>
      </c>
      <c r="AH40" s="3">
        <f t="shared" si="116"/>
        <v>0</v>
      </c>
      <c r="AI40" s="3">
        <f t="shared" si="116"/>
        <v>0</v>
      </c>
      <c r="AJ40" s="3">
        <f t="shared" si="116"/>
        <v>0</v>
      </c>
      <c r="AK40" s="3">
        <f t="shared" si="116"/>
        <v>0</v>
      </c>
      <c r="AL40" s="3">
        <f t="shared" si="116"/>
        <v>0</v>
      </c>
      <c r="AM40" s="3">
        <f t="shared" si="116"/>
        <v>0</v>
      </c>
      <c r="AN40" s="3">
        <f t="shared" si="116"/>
        <v>0</v>
      </c>
      <c r="AO40" s="3">
        <f t="shared" si="116"/>
        <v>0</v>
      </c>
      <c r="AP40" s="3">
        <f t="shared" si="116"/>
        <v>0</v>
      </c>
      <c r="AQ40" s="3">
        <f t="shared" si="116"/>
        <v>0</v>
      </c>
      <c r="AR40" s="3">
        <f t="shared" si="116"/>
        <v>0</v>
      </c>
      <c r="AS40" s="4">
        <f t="shared" si="59"/>
        <v>0</v>
      </c>
      <c r="AT40" s="3">
        <f t="shared" ref="AT40:BE40" si="117">+AT19*$F19</f>
        <v>0</v>
      </c>
      <c r="AU40" s="3">
        <f t="shared" si="117"/>
        <v>0</v>
      </c>
      <c r="AV40" s="3">
        <f t="shared" si="117"/>
        <v>0</v>
      </c>
      <c r="AW40" s="3">
        <f t="shared" si="117"/>
        <v>0</v>
      </c>
      <c r="AX40" s="3">
        <f t="shared" si="117"/>
        <v>0</v>
      </c>
      <c r="AY40" s="3">
        <f t="shared" si="117"/>
        <v>0</v>
      </c>
      <c r="AZ40" s="3">
        <f t="shared" si="117"/>
        <v>0</v>
      </c>
      <c r="BA40" s="3">
        <f t="shared" si="117"/>
        <v>0</v>
      </c>
      <c r="BB40" s="3">
        <f t="shared" si="117"/>
        <v>0</v>
      </c>
      <c r="BC40" s="3">
        <f t="shared" si="117"/>
        <v>0</v>
      </c>
      <c r="BD40" s="3">
        <f t="shared" si="117"/>
        <v>0</v>
      </c>
      <c r="BE40" s="3">
        <f t="shared" si="117"/>
        <v>0</v>
      </c>
      <c r="BF40" s="4">
        <f t="shared" si="61"/>
        <v>0</v>
      </c>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s="1" customFormat="1" x14ac:dyDescent="0.35">
      <c r="A41" s="1">
        <f t="shared" si="53"/>
        <v>0</v>
      </c>
      <c r="C41" s="2"/>
      <c r="D41" s="2"/>
      <c r="E41" s="2"/>
      <c r="F41" s="2"/>
      <c r="G41" s="3">
        <f t="shared" ref="G41:R41" si="118">+G20*$C20</f>
        <v>0</v>
      </c>
      <c r="H41" s="3">
        <f t="shared" si="118"/>
        <v>0</v>
      </c>
      <c r="I41" s="3">
        <f t="shared" si="118"/>
        <v>0</v>
      </c>
      <c r="J41" s="3">
        <f t="shared" si="118"/>
        <v>0</v>
      </c>
      <c r="K41" s="3">
        <f t="shared" si="118"/>
        <v>0</v>
      </c>
      <c r="L41" s="3">
        <f t="shared" si="118"/>
        <v>0</v>
      </c>
      <c r="M41" s="3">
        <f t="shared" si="118"/>
        <v>0</v>
      </c>
      <c r="N41" s="3">
        <f t="shared" si="118"/>
        <v>0</v>
      </c>
      <c r="O41" s="3">
        <f t="shared" si="118"/>
        <v>0</v>
      </c>
      <c r="P41" s="3">
        <f t="shared" si="118"/>
        <v>0</v>
      </c>
      <c r="Q41" s="3">
        <f t="shared" si="118"/>
        <v>0</v>
      </c>
      <c r="R41" s="3">
        <f t="shared" si="118"/>
        <v>0</v>
      </c>
      <c r="S41" s="4">
        <f t="shared" si="55"/>
        <v>0</v>
      </c>
      <c r="T41" s="3">
        <f t="shared" ref="T41:AE41" si="119">+T20*$D20</f>
        <v>0</v>
      </c>
      <c r="U41" s="3">
        <f t="shared" si="119"/>
        <v>0</v>
      </c>
      <c r="V41" s="3">
        <f t="shared" si="119"/>
        <v>0</v>
      </c>
      <c r="W41" s="3">
        <f t="shared" si="119"/>
        <v>0</v>
      </c>
      <c r="X41" s="3">
        <f t="shared" si="119"/>
        <v>0</v>
      </c>
      <c r="Y41" s="3">
        <f t="shared" si="119"/>
        <v>0</v>
      </c>
      <c r="Z41" s="3">
        <f t="shared" si="119"/>
        <v>0</v>
      </c>
      <c r="AA41" s="3">
        <f t="shared" si="119"/>
        <v>0</v>
      </c>
      <c r="AB41" s="3">
        <f t="shared" si="119"/>
        <v>0</v>
      </c>
      <c r="AC41" s="3">
        <f t="shared" si="119"/>
        <v>0</v>
      </c>
      <c r="AD41" s="3">
        <f t="shared" si="119"/>
        <v>0</v>
      </c>
      <c r="AE41" s="3">
        <f t="shared" si="119"/>
        <v>0</v>
      </c>
      <c r="AF41" s="4">
        <f t="shared" si="57"/>
        <v>0</v>
      </c>
      <c r="AG41" s="3">
        <f t="shared" ref="AG41:AR41" si="120">+AG20*$E20</f>
        <v>0</v>
      </c>
      <c r="AH41" s="3">
        <f t="shared" si="120"/>
        <v>0</v>
      </c>
      <c r="AI41" s="3">
        <f t="shared" si="120"/>
        <v>0</v>
      </c>
      <c r="AJ41" s="3">
        <f t="shared" si="120"/>
        <v>0</v>
      </c>
      <c r="AK41" s="3">
        <f t="shared" si="120"/>
        <v>0</v>
      </c>
      <c r="AL41" s="3">
        <f t="shared" si="120"/>
        <v>0</v>
      </c>
      <c r="AM41" s="3">
        <f t="shared" si="120"/>
        <v>0</v>
      </c>
      <c r="AN41" s="3">
        <f t="shared" si="120"/>
        <v>0</v>
      </c>
      <c r="AO41" s="3">
        <f t="shared" si="120"/>
        <v>0</v>
      </c>
      <c r="AP41" s="3">
        <f t="shared" si="120"/>
        <v>0</v>
      </c>
      <c r="AQ41" s="3">
        <f t="shared" si="120"/>
        <v>0</v>
      </c>
      <c r="AR41" s="3">
        <f t="shared" si="120"/>
        <v>0</v>
      </c>
      <c r="AS41" s="4">
        <f t="shared" si="59"/>
        <v>0</v>
      </c>
      <c r="AT41" s="3">
        <f t="shared" ref="AT41:BE41" si="121">+AT20*$F20</f>
        <v>0</v>
      </c>
      <c r="AU41" s="3">
        <f t="shared" si="121"/>
        <v>0</v>
      </c>
      <c r="AV41" s="3">
        <f t="shared" si="121"/>
        <v>0</v>
      </c>
      <c r="AW41" s="3">
        <f t="shared" si="121"/>
        <v>0</v>
      </c>
      <c r="AX41" s="3">
        <f t="shared" si="121"/>
        <v>0</v>
      </c>
      <c r="AY41" s="3">
        <f t="shared" si="121"/>
        <v>0</v>
      </c>
      <c r="AZ41" s="3">
        <f t="shared" si="121"/>
        <v>0</v>
      </c>
      <c r="BA41" s="3">
        <f t="shared" si="121"/>
        <v>0</v>
      </c>
      <c r="BB41" s="3">
        <f t="shared" si="121"/>
        <v>0</v>
      </c>
      <c r="BC41" s="3">
        <f t="shared" si="121"/>
        <v>0</v>
      </c>
      <c r="BD41" s="3">
        <f t="shared" si="121"/>
        <v>0</v>
      </c>
      <c r="BE41" s="3">
        <f t="shared" si="121"/>
        <v>0</v>
      </c>
      <c r="BF41" s="4">
        <f t="shared" si="61"/>
        <v>0</v>
      </c>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s="1" customFormat="1" x14ac:dyDescent="0.35">
      <c r="A42" s="1">
        <f t="shared" si="53"/>
        <v>0</v>
      </c>
      <c r="C42" s="2"/>
      <c r="D42" s="2"/>
      <c r="E42" s="2"/>
      <c r="F42" s="2"/>
      <c r="G42" s="3">
        <f t="shared" ref="G42:R42" si="122">+G21*$C21</f>
        <v>0</v>
      </c>
      <c r="H42" s="3">
        <f t="shared" si="122"/>
        <v>0</v>
      </c>
      <c r="I42" s="3">
        <f t="shared" si="122"/>
        <v>0</v>
      </c>
      <c r="J42" s="3">
        <f t="shared" si="122"/>
        <v>0</v>
      </c>
      <c r="K42" s="3">
        <f t="shared" si="122"/>
        <v>0</v>
      </c>
      <c r="L42" s="3">
        <f t="shared" si="122"/>
        <v>0</v>
      </c>
      <c r="M42" s="3">
        <f t="shared" si="122"/>
        <v>0</v>
      </c>
      <c r="N42" s="3">
        <f t="shared" si="122"/>
        <v>0</v>
      </c>
      <c r="O42" s="3">
        <f t="shared" si="122"/>
        <v>0</v>
      </c>
      <c r="P42" s="3">
        <f t="shared" si="122"/>
        <v>0</v>
      </c>
      <c r="Q42" s="3">
        <f t="shared" si="122"/>
        <v>0</v>
      </c>
      <c r="R42" s="3">
        <f t="shared" si="122"/>
        <v>0</v>
      </c>
      <c r="S42" s="4">
        <f t="shared" si="55"/>
        <v>0</v>
      </c>
      <c r="T42" s="3">
        <f t="shared" ref="T42:AE42" si="123">+T21*$D21</f>
        <v>0</v>
      </c>
      <c r="U42" s="3">
        <f t="shared" si="123"/>
        <v>0</v>
      </c>
      <c r="V42" s="3">
        <f t="shared" si="123"/>
        <v>0</v>
      </c>
      <c r="W42" s="3">
        <f t="shared" si="123"/>
        <v>0</v>
      </c>
      <c r="X42" s="3">
        <f t="shared" si="123"/>
        <v>0</v>
      </c>
      <c r="Y42" s="3">
        <f t="shared" si="123"/>
        <v>0</v>
      </c>
      <c r="Z42" s="3">
        <f t="shared" si="123"/>
        <v>0</v>
      </c>
      <c r="AA42" s="3">
        <f t="shared" si="123"/>
        <v>0</v>
      </c>
      <c r="AB42" s="3">
        <f t="shared" si="123"/>
        <v>0</v>
      </c>
      <c r="AC42" s="3">
        <f t="shared" si="123"/>
        <v>0</v>
      </c>
      <c r="AD42" s="3">
        <f t="shared" si="123"/>
        <v>0</v>
      </c>
      <c r="AE42" s="3">
        <f t="shared" si="123"/>
        <v>0</v>
      </c>
      <c r="AF42" s="4">
        <f t="shared" si="57"/>
        <v>0</v>
      </c>
      <c r="AG42" s="3">
        <f t="shared" ref="AG42:AR42" si="124">+AG21*$E21</f>
        <v>0</v>
      </c>
      <c r="AH42" s="3">
        <f t="shared" si="124"/>
        <v>0</v>
      </c>
      <c r="AI42" s="3">
        <f t="shared" si="124"/>
        <v>0</v>
      </c>
      <c r="AJ42" s="3">
        <f t="shared" si="124"/>
        <v>0</v>
      </c>
      <c r="AK42" s="3">
        <f t="shared" si="124"/>
        <v>0</v>
      </c>
      <c r="AL42" s="3">
        <f t="shared" si="124"/>
        <v>0</v>
      </c>
      <c r="AM42" s="3">
        <f t="shared" si="124"/>
        <v>0</v>
      </c>
      <c r="AN42" s="3">
        <f t="shared" si="124"/>
        <v>0</v>
      </c>
      <c r="AO42" s="3">
        <f t="shared" si="124"/>
        <v>0</v>
      </c>
      <c r="AP42" s="3">
        <f t="shared" si="124"/>
        <v>0</v>
      </c>
      <c r="AQ42" s="3">
        <f t="shared" si="124"/>
        <v>0</v>
      </c>
      <c r="AR42" s="3">
        <f t="shared" si="124"/>
        <v>0</v>
      </c>
      <c r="AS42" s="4">
        <f t="shared" si="59"/>
        <v>0</v>
      </c>
      <c r="AT42" s="3">
        <f t="shared" ref="AT42:BE42" si="125">+AT21*$F21</f>
        <v>0</v>
      </c>
      <c r="AU42" s="3">
        <f t="shared" si="125"/>
        <v>0</v>
      </c>
      <c r="AV42" s="3">
        <f t="shared" si="125"/>
        <v>0</v>
      </c>
      <c r="AW42" s="3">
        <f t="shared" si="125"/>
        <v>0</v>
      </c>
      <c r="AX42" s="3">
        <f t="shared" si="125"/>
        <v>0</v>
      </c>
      <c r="AY42" s="3">
        <f t="shared" si="125"/>
        <v>0</v>
      </c>
      <c r="AZ42" s="3">
        <f t="shared" si="125"/>
        <v>0</v>
      </c>
      <c r="BA42" s="3">
        <f t="shared" si="125"/>
        <v>0</v>
      </c>
      <c r="BB42" s="3">
        <f t="shared" si="125"/>
        <v>0</v>
      </c>
      <c r="BC42" s="3">
        <f t="shared" si="125"/>
        <v>0</v>
      </c>
      <c r="BD42" s="3">
        <f t="shared" si="125"/>
        <v>0</v>
      </c>
      <c r="BE42" s="3">
        <f t="shared" si="125"/>
        <v>0</v>
      </c>
      <c r="BF42" s="4">
        <f t="shared" si="61"/>
        <v>0</v>
      </c>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s="1" customFormat="1" x14ac:dyDescent="0.35">
      <c r="A43" s="1">
        <f t="shared" si="53"/>
        <v>0</v>
      </c>
      <c r="C43" s="2"/>
      <c r="D43" s="2"/>
      <c r="E43" s="2"/>
      <c r="F43" s="2"/>
      <c r="G43" s="3">
        <f t="shared" ref="G43:R43" si="126">+G22*$C22</f>
        <v>0</v>
      </c>
      <c r="H43" s="3">
        <f t="shared" si="126"/>
        <v>0</v>
      </c>
      <c r="I43" s="3">
        <f t="shared" si="126"/>
        <v>0</v>
      </c>
      <c r="J43" s="3">
        <f t="shared" si="126"/>
        <v>0</v>
      </c>
      <c r="K43" s="3">
        <f t="shared" si="126"/>
        <v>0</v>
      </c>
      <c r="L43" s="3">
        <f t="shared" si="126"/>
        <v>0</v>
      </c>
      <c r="M43" s="3">
        <f t="shared" si="126"/>
        <v>0</v>
      </c>
      <c r="N43" s="3">
        <f t="shared" si="126"/>
        <v>0</v>
      </c>
      <c r="O43" s="3">
        <f t="shared" si="126"/>
        <v>0</v>
      </c>
      <c r="P43" s="3">
        <f t="shared" si="126"/>
        <v>0</v>
      </c>
      <c r="Q43" s="3">
        <f t="shared" si="126"/>
        <v>0</v>
      </c>
      <c r="R43" s="3">
        <f t="shared" si="126"/>
        <v>0</v>
      </c>
      <c r="S43" s="4">
        <f t="shared" si="55"/>
        <v>0</v>
      </c>
      <c r="T43" s="3">
        <f t="shared" ref="T43:AE43" si="127">+T22*$D22</f>
        <v>0</v>
      </c>
      <c r="U43" s="3">
        <f t="shared" si="127"/>
        <v>0</v>
      </c>
      <c r="V43" s="3">
        <f t="shared" si="127"/>
        <v>0</v>
      </c>
      <c r="W43" s="3">
        <f t="shared" si="127"/>
        <v>0</v>
      </c>
      <c r="X43" s="3">
        <f t="shared" si="127"/>
        <v>0</v>
      </c>
      <c r="Y43" s="3">
        <f t="shared" si="127"/>
        <v>0</v>
      </c>
      <c r="Z43" s="3">
        <f t="shared" si="127"/>
        <v>0</v>
      </c>
      <c r="AA43" s="3">
        <f t="shared" si="127"/>
        <v>0</v>
      </c>
      <c r="AB43" s="3">
        <f t="shared" si="127"/>
        <v>0</v>
      </c>
      <c r="AC43" s="3">
        <f t="shared" si="127"/>
        <v>0</v>
      </c>
      <c r="AD43" s="3">
        <f t="shared" si="127"/>
        <v>0</v>
      </c>
      <c r="AE43" s="3">
        <f t="shared" si="127"/>
        <v>0</v>
      </c>
      <c r="AF43" s="4">
        <f t="shared" si="57"/>
        <v>0</v>
      </c>
      <c r="AG43" s="3">
        <f t="shared" ref="AG43:AR43" si="128">+AG22*$E22</f>
        <v>0</v>
      </c>
      <c r="AH43" s="3">
        <f t="shared" si="128"/>
        <v>0</v>
      </c>
      <c r="AI43" s="3">
        <f t="shared" si="128"/>
        <v>0</v>
      </c>
      <c r="AJ43" s="3">
        <f t="shared" si="128"/>
        <v>0</v>
      </c>
      <c r="AK43" s="3">
        <f t="shared" si="128"/>
        <v>0</v>
      </c>
      <c r="AL43" s="3">
        <f t="shared" si="128"/>
        <v>0</v>
      </c>
      <c r="AM43" s="3">
        <f t="shared" si="128"/>
        <v>0</v>
      </c>
      <c r="AN43" s="3">
        <f t="shared" si="128"/>
        <v>0</v>
      </c>
      <c r="AO43" s="3">
        <f t="shared" si="128"/>
        <v>0</v>
      </c>
      <c r="AP43" s="3">
        <f t="shared" si="128"/>
        <v>0</v>
      </c>
      <c r="AQ43" s="3">
        <f t="shared" si="128"/>
        <v>0</v>
      </c>
      <c r="AR43" s="3">
        <f t="shared" si="128"/>
        <v>0</v>
      </c>
      <c r="AS43" s="4">
        <f t="shared" si="59"/>
        <v>0</v>
      </c>
      <c r="AT43" s="3">
        <f t="shared" ref="AT43:BE43" si="129">+AT22*$F22</f>
        <v>0</v>
      </c>
      <c r="AU43" s="3">
        <f t="shared" si="129"/>
        <v>0</v>
      </c>
      <c r="AV43" s="3">
        <f t="shared" si="129"/>
        <v>0</v>
      </c>
      <c r="AW43" s="3">
        <f t="shared" si="129"/>
        <v>0</v>
      </c>
      <c r="AX43" s="3">
        <f t="shared" si="129"/>
        <v>0</v>
      </c>
      <c r="AY43" s="3">
        <f t="shared" si="129"/>
        <v>0</v>
      </c>
      <c r="AZ43" s="3">
        <f t="shared" si="129"/>
        <v>0</v>
      </c>
      <c r="BA43" s="3">
        <f t="shared" si="129"/>
        <v>0</v>
      </c>
      <c r="BB43" s="3">
        <f t="shared" si="129"/>
        <v>0</v>
      </c>
      <c r="BC43" s="3">
        <f t="shared" si="129"/>
        <v>0</v>
      </c>
      <c r="BD43" s="3">
        <f t="shared" si="129"/>
        <v>0</v>
      </c>
      <c r="BE43" s="3">
        <f t="shared" si="129"/>
        <v>0</v>
      </c>
      <c r="BF43" s="4">
        <f t="shared" si="61"/>
        <v>0</v>
      </c>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s="1" customFormat="1" ht="13.15" collapsed="1" thickBot="1" x14ac:dyDescent="0.4">
      <c r="C44" s="5"/>
      <c r="D44" s="5"/>
      <c r="E44" s="5"/>
      <c r="F44" s="5"/>
      <c r="G44" s="6">
        <f>ROUND(SUM(G24:G43),0)</f>
        <v>0</v>
      </c>
      <c r="H44" s="6">
        <f t="shared" ref="H44:R44" si="130">ROUND(SUM(H24:H43),0)</f>
        <v>0</v>
      </c>
      <c r="I44" s="6">
        <f t="shared" si="130"/>
        <v>0</v>
      </c>
      <c r="J44" s="6">
        <f t="shared" si="130"/>
        <v>0</v>
      </c>
      <c r="K44" s="6">
        <f t="shared" si="130"/>
        <v>0</v>
      </c>
      <c r="L44" s="6">
        <f t="shared" si="130"/>
        <v>0</v>
      </c>
      <c r="M44" s="6">
        <f t="shared" si="130"/>
        <v>0</v>
      </c>
      <c r="N44" s="6">
        <f t="shared" si="130"/>
        <v>0</v>
      </c>
      <c r="O44" s="6">
        <f t="shared" si="130"/>
        <v>0</v>
      </c>
      <c r="P44" s="6">
        <f t="shared" si="130"/>
        <v>14000</v>
      </c>
      <c r="Q44" s="6">
        <f t="shared" si="130"/>
        <v>0</v>
      </c>
      <c r="R44" s="6">
        <f t="shared" si="130"/>
        <v>18000</v>
      </c>
      <c r="S44" s="7">
        <f>ROUND(SUM(S24:S43),0)</f>
        <v>32000</v>
      </c>
      <c r="T44" s="6">
        <f>ROUND(SUM(T24:T43),0)</f>
        <v>0</v>
      </c>
      <c r="U44" s="6">
        <f t="shared" ref="U44" si="131">ROUND(SUM(U24:U43),0)</f>
        <v>0</v>
      </c>
      <c r="V44" s="6">
        <f t="shared" ref="V44" si="132">ROUND(SUM(V24:V43),0)</f>
        <v>0</v>
      </c>
      <c r="W44" s="6">
        <f t="shared" ref="W44" si="133">ROUND(SUM(W24:W43),0)</f>
        <v>0</v>
      </c>
      <c r="X44" s="6">
        <f t="shared" ref="X44" si="134">ROUND(SUM(X24:X43),0)</f>
        <v>0</v>
      </c>
      <c r="Y44" s="6">
        <f t="shared" ref="Y44" si="135">ROUND(SUM(Y24:Y43),0)</f>
        <v>0</v>
      </c>
      <c r="Z44" s="6">
        <f t="shared" ref="Z44" si="136">ROUND(SUM(Z24:Z43),0)</f>
        <v>0</v>
      </c>
      <c r="AA44" s="6">
        <f t="shared" ref="AA44" si="137">ROUND(SUM(AA24:AA43),0)</f>
        <v>0</v>
      </c>
      <c r="AB44" s="6">
        <f t="shared" ref="AB44" si="138">ROUND(SUM(AB24:AB43),0)</f>
        <v>0</v>
      </c>
      <c r="AC44" s="6">
        <f t="shared" ref="AC44" si="139">ROUND(SUM(AC24:AC43),0)</f>
        <v>0</v>
      </c>
      <c r="AD44" s="6">
        <f t="shared" ref="AD44" si="140">ROUND(SUM(AD24:AD43),0)</f>
        <v>0</v>
      </c>
      <c r="AE44" s="6">
        <f t="shared" ref="AE44" si="141">ROUND(SUM(AE24:AE43),0)</f>
        <v>0</v>
      </c>
      <c r="AF44" s="7">
        <f>ROUND(SUM(AF24:AF43),0)</f>
        <v>0</v>
      </c>
      <c r="AG44" s="6">
        <f>ROUND(SUM(AG24:AG43),0)</f>
        <v>0</v>
      </c>
      <c r="AH44" s="6">
        <f t="shared" ref="AH44" si="142">ROUND(SUM(AH24:AH43),0)</f>
        <v>0</v>
      </c>
      <c r="AI44" s="6">
        <f t="shared" ref="AI44" si="143">ROUND(SUM(AI24:AI43),0)</f>
        <v>0</v>
      </c>
      <c r="AJ44" s="6">
        <f t="shared" ref="AJ44" si="144">ROUND(SUM(AJ24:AJ43),0)</f>
        <v>0</v>
      </c>
      <c r="AK44" s="6">
        <f t="shared" ref="AK44" si="145">ROUND(SUM(AK24:AK43),0)</f>
        <v>0</v>
      </c>
      <c r="AL44" s="6">
        <f t="shared" ref="AL44" si="146">ROUND(SUM(AL24:AL43),0)</f>
        <v>0</v>
      </c>
      <c r="AM44" s="6">
        <f t="shared" ref="AM44" si="147">ROUND(SUM(AM24:AM43),0)</f>
        <v>0</v>
      </c>
      <c r="AN44" s="6">
        <f t="shared" ref="AN44" si="148">ROUND(SUM(AN24:AN43),0)</f>
        <v>0</v>
      </c>
      <c r="AO44" s="6">
        <f t="shared" ref="AO44" si="149">ROUND(SUM(AO24:AO43),0)</f>
        <v>0</v>
      </c>
      <c r="AP44" s="6">
        <f t="shared" ref="AP44" si="150">ROUND(SUM(AP24:AP43),0)</f>
        <v>0</v>
      </c>
      <c r="AQ44" s="6">
        <f t="shared" ref="AQ44" si="151">ROUND(SUM(AQ24:AQ43),0)</f>
        <v>0</v>
      </c>
      <c r="AR44" s="6">
        <f t="shared" ref="AR44" si="152">ROUND(SUM(AR24:AR43),0)</f>
        <v>0</v>
      </c>
      <c r="AS44" s="7">
        <f>ROUND(SUM(AS24:AS43),0)</f>
        <v>0</v>
      </c>
      <c r="AT44" s="6">
        <f>ROUND(SUM(AT24:AT43),0)</f>
        <v>0</v>
      </c>
      <c r="AU44" s="6">
        <f t="shared" ref="AU44" si="153">ROUND(SUM(AU24:AU43),0)</f>
        <v>0</v>
      </c>
      <c r="AV44" s="6">
        <f t="shared" ref="AV44" si="154">ROUND(SUM(AV24:AV43),0)</f>
        <v>0</v>
      </c>
      <c r="AW44" s="6">
        <f t="shared" ref="AW44" si="155">ROUND(SUM(AW24:AW43),0)</f>
        <v>0</v>
      </c>
      <c r="AX44" s="6">
        <f t="shared" ref="AX44" si="156">ROUND(SUM(AX24:AX43),0)</f>
        <v>0</v>
      </c>
      <c r="AY44" s="6">
        <f t="shared" ref="AY44" si="157">ROUND(SUM(AY24:AY43),0)</f>
        <v>0</v>
      </c>
      <c r="AZ44" s="6">
        <f t="shared" ref="AZ44" si="158">ROUND(SUM(AZ24:AZ43),0)</f>
        <v>0</v>
      </c>
      <c r="BA44" s="6">
        <f t="shared" ref="BA44" si="159">ROUND(SUM(BA24:BA43),0)</f>
        <v>0</v>
      </c>
      <c r="BB44" s="6">
        <f t="shared" ref="BB44" si="160">ROUND(SUM(BB24:BB43),0)</f>
        <v>0</v>
      </c>
      <c r="BC44" s="6">
        <f t="shared" ref="BC44" si="161">ROUND(SUM(BC24:BC43),0)</f>
        <v>0</v>
      </c>
      <c r="BD44" s="6">
        <f t="shared" ref="BD44" si="162">ROUND(SUM(BD24:BD43),0)</f>
        <v>0</v>
      </c>
      <c r="BE44" s="6">
        <f t="shared" ref="BE44" si="163">ROUND(SUM(BE24:BE43),0)</f>
        <v>0</v>
      </c>
      <c r="BF44" s="7">
        <f>ROUND(SUM(BF24:BF43),0)</f>
        <v>0</v>
      </c>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3.15" thickTop="1" x14ac:dyDescent="0.35">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row>
    <row r="46" spans="1:92" x14ac:dyDescent="0.35">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row>
    <row r="47" spans="1:92" x14ac:dyDescent="0.35">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row>
    <row r="48" spans="1:92" x14ac:dyDescent="0.35">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row>
    <row r="49" spans="7:92" x14ac:dyDescent="0.35">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row>
    <row r="50" spans="7:92" x14ac:dyDescent="0.35">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row>
    <row r="51" spans="7:92" x14ac:dyDescent="0.35">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row>
    <row r="52" spans="7:92" x14ac:dyDescent="0.35">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row>
    <row r="53" spans="7:92" x14ac:dyDescent="0.35">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row>
    <row r="54" spans="7:92" x14ac:dyDescent="0.35">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row>
    <row r="55" spans="7:92" x14ac:dyDescent="0.35">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row>
    <row r="56" spans="7:92" x14ac:dyDescent="0.35">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row>
    <row r="57" spans="7:92" x14ac:dyDescent="0.35">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row>
    <row r="58" spans="7:92" x14ac:dyDescent="0.35">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row>
    <row r="59" spans="7:92" x14ac:dyDescent="0.35">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row>
    <row r="60" spans="7:92" x14ac:dyDescent="0.35">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row>
    <row r="61" spans="7:92" x14ac:dyDescent="0.35">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row>
    <row r="62" spans="7:92" x14ac:dyDescent="0.35">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row>
    <row r="63" spans="7:92" x14ac:dyDescent="0.35">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row>
    <row r="64" spans="7:92" x14ac:dyDescent="0.35">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c r="BX64" s="8"/>
      <c r="BY64" s="8"/>
      <c r="BZ64" s="8"/>
      <c r="CA64" s="8"/>
      <c r="CB64" s="8"/>
      <c r="CC64" s="8"/>
      <c r="CD64" s="8"/>
      <c r="CE64" s="8"/>
      <c r="CF64" s="8"/>
      <c r="CG64" s="8"/>
      <c r="CH64" s="8"/>
      <c r="CI64" s="8"/>
      <c r="CJ64" s="8"/>
      <c r="CK64" s="8"/>
      <c r="CL64" s="8"/>
      <c r="CM64" s="8"/>
      <c r="CN64" s="8"/>
    </row>
    <row r="65" spans="7:92" x14ac:dyDescent="0.35">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8"/>
      <c r="BZ65" s="8"/>
      <c r="CA65" s="8"/>
      <c r="CB65" s="8"/>
      <c r="CC65" s="8"/>
      <c r="CD65" s="8"/>
      <c r="CE65" s="8"/>
      <c r="CF65" s="8"/>
      <c r="CG65" s="8"/>
      <c r="CH65" s="8"/>
      <c r="CI65" s="8"/>
      <c r="CJ65" s="8"/>
      <c r="CK65" s="8"/>
      <c r="CL65" s="8"/>
      <c r="CM65" s="8"/>
      <c r="CN65" s="8"/>
    </row>
    <row r="66" spans="7:92" x14ac:dyDescent="0.35">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c r="CF66" s="8"/>
      <c r="CG66" s="8"/>
      <c r="CH66" s="8"/>
      <c r="CI66" s="8"/>
      <c r="CJ66" s="8"/>
      <c r="CK66" s="8"/>
      <c r="CL66" s="8"/>
      <c r="CM66" s="8"/>
      <c r="CN66" s="8"/>
    </row>
    <row r="67" spans="7:92" x14ac:dyDescent="0.35">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c r="CF67" s="8"/>
      <c r="CG67" s="8"/>
      <c r="CH67" s="8"/>
      <c r="CI67" s="8"/>
      <c r="CJ67" s="8"/>
      <c r="CK67" s="8"/>
      <c r="CL67" s="8"/>
      <c r="CM67" s="8"/>
      <c r="CN67" s="8"/>
    </row>
    <row r="68" spans="7:92" x14ac:dyDescent="0.35">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c r="CF68" s="8"/>
      <c r="CG68" s="8"/>
      <c r="CH68" s="8"/>
      <c r="CI68" s="8"/>
      <c r="CJ68" s="8"/>
      <c r="CK68" s="8"/>
      <c r="CL68" s="8"/>
      <c r="CM68" s="8"/>
      <c r="CN68" s="8"/>
    </row>
    <row r="69" spans="7:92" x14ac:dyDescent="0.35">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c r="CF69" s="8"/>
      <c r="CG69" s="8"/>
      <c r="CH69" s="8"/>
      <c r="CI69" s="8"/>
      <c r="CJ69" s="8"/>
      <c r="CK69" s="8"/>
      <c r="CL69" s="8"/>
      <c r="CM69" s="8"/>
      <c r="CN69" s="8"/>
    </row>
    <row r="70" spans="7:92" x14ac:dyDescent="0.35">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8"/>
      <c r="CC70" s="8"/>
      <c r="CD70" s="8"/>
      <c r="CE70" s="8"/>
      <c r="CF70" s="8"/>
      <c r="CG70" s="8"/>
      <c r="CH70" s="8"/>
      <c r="CI70" s="8"/>
      <c r="CJ70" s="8"/>
      <c r="CK70" s="8"/>
      <c r="CL70" s="8"/>
      <c r="CM70" s="8"/>
      <c r="CN70" s="8"/>
    </row>
    <row r="71" spans="7:92" x14ac:dyDescent="0.35">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c r="CF71" s="8"/>
      <c r="CG71" s="8"/>
      <c r="CH71" s="8"/>
      <c r="CI71" s="8"/>
      <c r="CJ71" s="8"/>
      <c r="CK71" s="8"/>
      <c r="CL71" s="8"/>
      <c r="CM71" s="8"/>
      <c r="CN71" s="8"/>
    </row>
    <row r="72" spans="7:92" x14ac:dyDescent="0.35">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c r="BU72" s="8"/>
      <c r="BV72" s="8"/>
      <c r="BW72" s="8"/>
      <c r="BX72" s="8"/>
      <c r="BY72" s="8"/>
      <c r="BZ72" s="8"/>
      <c r="CA72" s="8"/>
      <c r="CB72" s="8"/>
      <c r="CC72" s="8"/>
      <c r="CD72" s="8"/>
      <c r="CE72" s="8"/>
      <c r="CF72" s="8"/>
      <c r="CG72" s="8"/>
      <c r="CH72" s="8"/>
      <c r="CI72" s="8"/>
      <c r="CJ72" s="8"/>
      <c r="CK72" s="8"/>
      <c r="CL72" s="8"/>
      <c r="CM72" s="8"/>
      <c r="CN72" s="8"/>
    </row>
    <row r="73" spans="7:92" x14ac:dyDescent="0.35">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c r="BU73" s="8"/>
      <c r="BV73" s="8"/>
      <c r="BW73" s="8"/>
      <c r="BX73" s="8"/>
      <c r="BY73" s="8"/>
      <c r="BZ73" s="8"/>
      <c r="CA73" s="8"/>
      <c r="CB73" s="8"/>
      <c r="CC73" s="8"/>
      <c r="CD73" s="8"/>
      <c r="CE73" s="8"/>
      <c r="CF73" s="8"/>
      <c r="CG73" s="8"/>
      <c r="CH73" s="8"/>
      <c r="CI73" s="8"/>
      <c r="CJ73" s="8"/>
      <c r="CK73" s="8"/>
      <c r="CL73" s="8"/>
      <c r="CM73" s="8"/>
      <c r="CN73" s="8"/>
    </row>
    <row r="74" spans="7:92" x14ac:dyDescent="0.35">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c r="BU74" s="8"/>
      <c r="BV74" s="8"/>
      <c r="BW74" s="8"/>
      <c r="BX74" s="8"/>
      <c r="BY74" s="8"/>
      <c r="BZ74" s="8"/>
      <c r="CA74" s="8"/>
      <c r="CB74" s="8"/>
      <c r="CC74" s="8"/>
      <c r="CD74" s="8"/>
      <c r="CE74" s="8"/>
      <c r="CF74" s="8"/>
      <c r="CG74" s="8"/>
      <c r="CH74" s="8"/>
      <c r="CI74" s="8"/>
      <c r="CJ74" s="8"/>
      <c r="CK74" s="8"/>
      <c r="CL74" s="8"/>
      <c r="CM74" s="8"/>
      <c r="CN74" s="8"/>
    </row>
    <row r="75" spans="7:92" x14ac:dyDescent="0.35">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c r="BU75" s="8"/>
      <c r="BV75" s="8"/>
      <c r="BW75" s="8"/>
      <c r="BX75" s="8"/>
      <c r="BY75" s="8"/>
      <c r="BZ75" s="8"/>
      <c r="CA75" s="8"/>
      <c r="CB75" s="8"/>
      <c r="CC75" s="8"/>
      <c r="CD75" s="8"/>
      <c r="CE75" s="8"/>
      <c r="CF75" s="8"/>
      <c r="CG75" s="8"/>
      <c r="CH75" s="8"/>
      <c r="CI75" s="8"/>
      <c r="CJ75" s="8"/>
      <c r="CK75" s="8"/>
      <c r="CL75" s="8"/>
      <c r="CM75" s="8"/>
      <c r="CN75" s="8"/>
    </row>
    <row r="76" spans="7:92" x14ac:dyDescent="0.35">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c r="BU76" s="8"/>
      <c r="BV76" s="8"/>
      <c r="BW76" s="8"/>
      <c r="BX76" s="8"/>
      <c r="BY76" s="8"/>
      <c r="BZ76" s="8"/>
      <c r="CA76" s="8"/>
      <c r="CB76" s="8"/>
      <c r="CC76" s="8"/>
      <c r="CD76" s="8"/>
      <c r="CE76" s="8"/>
      <c r="CF76" s="8"/>
      <c r="CG76" s="8"/>
      <c r="CH76" s="8"/>
      <c r="CI76" s="8"/>
      <c r="CJ76" s="8"/>
      <c r="CK76" s="8"/>
      <c r="CL76" s="8"/>
      <c r="CM76" s="8"/>
      <c r="CN76" s="8"/>
    </row>
    <row r="77" spans="7:92" x14ac:dyDescent="0.35">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c r="BU77" s="8"/>
      <c r="BV77" s="8"/>
      <c r="BW77" s="8"/>
      <c r="BX77" s="8"/>
      <c r="BY77" s="8"/>
      <c r="BZ77" s="8"/>
      <c r="CA77" s="8"/>
      <c r="CB77" s="8"/>
      <c r="CC77" s="8"/>
      <c r="CD77" s="8"/>
      <c r="CE77" s="8"/>
      <c r="CF77" s="8"/>
      <c r="CG77" s="8"/>
      <c r="CH77" s="8"/>
      <c r="CI77" s="8"/>
      <c r="CJ77" s="8"/>
      <c r="CK77" s="8"/>
      <c r="CL77" s="8"/>
      <c r="CM77" s="8"/>
      <c r="CN77" s="8"/>
    </row>
    <row r="78" spans="7:92" x14ac:dyDescent="0.35">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c r="BU78" s="8"/>
      <c r="BV78" s="8"/>
      <c r="BW78" s="8"/>
      <c r="BX78" s="8"/>
      <c r="BY78" s="8"/>
      <c r="BZ78" s="8"/>
      <c r="CA78" s="8"/>
      <c r="CB78" s="8"/>
      <c r="CC78" s="8"/>
      <c r="CD78" s="8"/>
      <c r="CE78" s="8"/>
      <c r="CF78" s="8"/>
      <c r="CG78" s="8"/>
      <c r="CH78" s="8"/>
      <c r="CI78" s="8"/>
      <c r="CJ78" s="8"/>
      <c r="CK78" s="8"/>
      <c r="CL78" s="8"/>
      <c r="CM78" s="8"/>
      <c r="CN78" s="8"/>
    </row>
    <row r="79" spans="7:92" x14ac:dyDescent="0.35">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c r="BU79" s="8"/>
      <c r="BV79" s="8"/>
      <c r="BW79" s="8"/>
      <c r="BX79" s="8"/>
      <c r="BY79" s="8"/>
      <c r="BZ79" s="8"/>
      <c r="CA79" s="8"/>
      <c r="CB79" s="8"/>
      <c r="CC79" s="8"/>
      <c r="CD79" s="8"/>
      <c r="CE79" s="8"/>
      <c r="CF79" s="8"/>
      <c r="CG79" s="8"/>
      <c r="CH79" s="8"/>
      <c r="CI79" s="8"/>
      <c r="CJ79" s="8"/>
      <c r="CK79" s="8"/>
      <c r="CL79" s="8"/>
      <c r="CM79" s="8"/>
      <c r="CN79" s="8"/>
    </row>
    <row r="80" spans="7:92" x14ac:dyDescent="0.35">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c r="BU80" s="8"/>
      <c r="BV80" s="8"/>
      <c r="BW80" s="8"/>
      <c r="BX80" s="8"/>
      <c r="BY80" s="8"/>
      <c r="BZ80" s="8"/>
      <c r="CA80" s="8"/>
      <c r="CB80" s="8"/>
      <c r="CC80" s="8"/>
      <c r="CD80" s="8"/>
      <c r="CE80" s="8"/>
      <c r="CF80" s="8"/>
      <c r="CG80" s="8"/>
      <c r="CH80" s="8"/>
      <c r="CI80" s="8"/>
      <c r="CJ80" s="8"/>
      <c r="CK80" s="8"/>
      <c r="CL80" s="8"/>
      <c r="CM80" s="8"/>
      <c r="CN80" s="8"/>
    </row>
    <row r="81" spans="7:92" x14ac:dyDescent="0.35">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c r="BU81" s="8"/>
      <c r="BV81" s="8"/>
      <c r="BW81" s="8"/>
      <c r="BX81" s="8"/>
      <c r="BY81" s="8"/>
      <c r="BZ81" s="8"/>
      <c r="CA81" s="8"/>
      <c r="CB81" s="8"/>
      <c r="CC81" s="8"/>
      <c r="CD81" s="8"/>
      <c r="CE81" s="8"/>
      <c r="CF81" s="8"/>
      <c r="CG81" s="8"/>
      <c r="CH81" s="8"/>
      <c r="CI81" s="8"/>
      <c r="CJ81" s="8"/>
      <c r="CK81" s="8"/>
      <c r="CL81" s="8"/>
      <c r="CM81" s="8"/>
      <c r="CN81" s="8"/>
    </row>
    <row r="82" spans="7:92" x14ac:dyDescent="0.35">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c r="BU82" s="8"/>
      <c r="BV82" s="8"/>
      <c r="BW82" s="8"/>
      <c r="BX82" s="8"/>
      <c r="BY82" s="8"/>
      <c r="BZ82" s="8"/>
      <c r="CA82" s="8"/>
      <c r="CB82" s="8"/>
      <c r="CC82" s="8"/>
      <c r="CD82" s="8"/>
      <c r="CE82" s="8"/>
      <c r="CF82" s="8"/>
      <c r="CG82" s="8"/>
      <c r="CH82" s="8"/>
      <c r="CI82" s="8"/>
      <c r="CJ82" s="8"/>
      <c r="CK82" s="8"/>
      <c r="CL82" s="8"/>
      <c r="CM82" s="8"/>
      <c r="CN82" s="8"/>
    </row>
    <row r="83" spans="7:92" x14ac:dyDescent="0.35">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c r="BU83" s="8"/>
      <c r="BV83" s="8"/>
      <c r="BW83" s="8"/>
      <c r="BX83" s="8"/>
      <c r="BY83" s="8"/>
      <c r="BZ83" s="8"/>
      <c r="CA83" s="8"/>
      <c r="CB83" s="8"/>
      <c r="CC83" s="8"/>
      <c r="CD83" s="8"/>
      <c r="CE83" s="8"/>
      <c r="CF83" s="8"/>
      <c r="CG83" s="8"/>
      <c r="CH83" s="8"/>
      <c r="CI83" s="8"/>
      <c r="CJ83" s="8"/>
      <c r="CK83" s="8"/>
      <c r="CL83" s="8"/>
      <c r="CM83" s="8"/>
      <c r="CN83" s="8"/>
    </row>
    <row r="84" spans="7:92" x14ac:dyDescent="0.35">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c r="BU84" s="8"/>
      <c r="BV84" s="8"/>
      <c r="BW84" s="8"/>
      <c r="BX84" s="8"/>
      <c r="BY84" s="8"/>
      <c r="BZ84" s="8"/>
      <c r="CA84" s="8"/>
      <c r="CB84" s="8"/>
      <c r="CC84" s="8"/>
      <c r="CD84" s="8"/>
      <c r="CE84" s="8"/>
      <c r="CF84" s="8"/>
      <c r="CG84" s="8"/>
      <c r="CH84" s="8"/>
      <c r="CI84" s="8"/>
      <c r="CJ84" s="8"/>
      <c r="CK84" s="8"/>
      <c r="CL84" s="8"/>
      <c r="CM84" s="8"/>
      <c r="CN84" s="8"/>
    </row>
    <row r="85" spans="7:92" x14ac:dyDescent="0.35">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c r="BU85" s="8"/>
      <c r="BV85" s="8"/>
      <c r="BW85" s="8"/>
      <c r="BX85" s="8"/>
      <c r="BY85" s="8"/>
      <c r="BZ85" s="8"/>
      <c r="CA85" s="8"/>
      <c r="CB85" s="8"/>
      <c r="CC85" s="8"/>
      <c r="CD85" s="8"/>
      <c r="CE85" s="8"/>
      <c r="CF85" s="8"/>
      <c r="CG85" s="8"/>
      <c r="CH85" s="8"/>
      <c r="CI85" s="8"/>
      <c r="CJ85" s="8"/>
      <c r="CK85" s="8"/>
      <c r="CL85" s="8"/>
      <c r="CM85" s="8"/>
      <c r="CN85" s="8"/>
    </row>
    <row r="86" spans="7:92" x14ac:dyDescent="0.35">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c r="BU86" s="8"/>
      <c r="BV86" s="8"/>
      <c r="BW86" s="8"/>
      <c r="BX86" s="8"/>
      <c r="BY86" s="8"/>
      <c r="BZ86" s="8"/>
      <c r="CA86" s="8"/>
      <c r="CB86" s="8"/>
      <c r="CC86" s="8"/>
      <c r="CD86" s="8"/>
      <c r="CE86" s="8"/>
      <c r="CF86" s="8"/>
      <c r="CG86" s="8"/>
      <c r="CH86" s="8"/>
      <c r="CI86" s="8"/>
      <c r="CJ86" s="8"/>
      <c r="CK86" s="8"/>
      <c r="CL86" s="8"/>
      <c r="CM86" s="8"/>
      <c r="CN86" s="8"/>
    </row>
    <row r="87" spans="7:92" x14ac:dyDescent="0.35">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c r="CJ87" s="8"/>
      <c r="CK87" s="8"/>
      <c r="CL87" s="8"/>
      <c r="CM87" s="8"/>
      <c r="CN87" s="8"/>
    </row>
    <row r="88" spans="7:92" x14ac:dyDescent="0.35">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c r="CJ88" s="8"/>
      <c r="CK88" s="8"/>
      <c r="CL88" s="8"/>
      <c r="CM88" s="8"/>
      <c r="CN88" s="8"/>
    </row>
    <row r="89" spans="7:92" x14ac:dyDescent="0.35">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c r="CJ89" s="8"/>
      <c r="CK89" s="8"/>
      <c r="CL89" s="8"/>
      <c r="CM89" s="8"/>
      <c r="CN89" s="8"/>
    </row>
    <row r="90" spans="7:92" x14ac:dyDescent="0.35">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c r="CJ90" s="8"/>
      <c r="CK90" s="8"/>
      <c r="CL90" s="8"/>
      <c r="CM90" s="8"/>
      <c r="CN90" s="8"/>
    </row>
    <row r="91" spans="7:92" x14ac:dyDescent="0.35">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c r="CJ91" s="8"/>
      <c r="CK91" s="8"/>
      <c r="CL91" s="8"/>
      <c r="CM91" s="8"/>
      <c r="CN91" s="8"/>
    </row>
    <row r="92" spans="7:92" x14ac:dyDescent="0.35">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c r="CJ92" s="8"/>
      <c r="CK92" s="8"/>
      <c r="CL92" s="8"/>
      <c r="CM92" s="8"/>
      <c r="CN92" s="8"/>
    </row>
    <row r="93" spans="7:92" x14ac:dyDescent="0.35">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c r="CJ93" s="8"/>
      <c r="CK93" s="8"/>
      <c r="CL93" s="8"/>
      <c r="CM93" s="8"/>
      <c r="CN93" s="8"/>
    </row>
    <row r="94" spans="7:92" x14ac:dyDescent="0.35">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c r="CJ94" s="8"/>
      <c r="CK94" s="8"/>
      <c r="CL94" s="8"/>
      <c r="CM94" s="8"/>
      <c r="CN94" s="8"/>
    </row>
    <row r="95" spans="7:92" x14ac:dyDescent="0.35">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c r="CJ95" s="8"/>
      <c r="CK95" s="8"/>
      <c r="CL95" s="8"/>
      <c r="CM95" s="8"/>
      <c r="CN95" s="8"/>
    </row>
    <row r="96" spans="7:92" x14ac:dyDescent="0.35">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c r="CJ96" s="8"/>
      <c r="CK96" s="8"/>
      <c r="CL96" s="8"/>
      <c r="CM96" s="8"/>
      <c r="CN96" s="8"/>
    </row>
    <row r="97" spans="7:92" x14ac:dyDescent="0.35">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c r="CJ97" s="8"/>
      <c r="CK97" s="8"/>
      <c r="CL97" s="8"/>
      <c r="CM97" s="8"/>
      <c r="CN97" s="8"/>
    </row>
    <row r="98" spans="7:92" x14ac:dyDescent="0.35">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c r="CJ98" s="8"/>
      <c r="CK98" s="8"/>
      <c r="CL98" s="8"/>
      <c r="CM98" s="8"/>
      <c r="CN98" s="8"/>
    </row>
    <row r="99" spans="7:92" x14ac:dyDescent="0.35">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c r="CJ99" s="8"/>
      <c r="CK99" s="8"/>
      <c r="CL99" s="8"/>
      <c r="CM99" s="8"/>
      <c r="CN99" s="8"/>
    </row>
    <row r="100" spans="7:92" x14ac:dyDescent="0.35">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c r="CJ100" s="8"/>
      <c r="CK100" s="8"/>
      <c r="CL100" s="8"/>
      <c r="CM100" s="8"/>
      <c r="CN100" s="8"/>
    </row>
    <row r="101" spans="7:92" x14ac:dyDescent="0.35">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c r="CJ101" s="8"/>
      <c r="CK101" s="8"/>
      <c r="CL101" s="8"/>
      <c r="CM101" s="8"/>
      <c r="CN101" s="8"/>
    </row>
    <row r="102" spans="7:92" x14ac:dyDescent="0.35">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c r="CJ102" s="8"/>
      <c r="CK102" s="8"/>
      <c r="CL102" s="8"/>
      <c r="CM102" s="8"/>
      <c r="CN102" s="8"/>
    </row>
    <row r="103" spans="7:92" x14ac:dyDescent="0.35">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c r="CJ103" s="8"/>
      <c r="CK103" s="8"/>
      <c r="CL103" s="8"/>
      <c r="CM103" s="8"/>
      <c r="CN103" s="8"/>
    </row>
    <row r="104" spans="7:92" x14ac:dyDescent="0.35">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c r="CJ104" s="8"/>
      <c r="CK104" s="8"/>
      <c r="CL104" s="8"/>
      <c r="CM104" s="8"/>
      <c r="CN104" s="8"/>
    </row>
    <row r="105" spans="7:92" x14ac:dyDescent="0.35">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c r="CJ105" s="8"/>
      <c r="CK105" s="8"/>
      <c r="CL105" s="8"/>
      <c r="CM105" s="8"/>
      <c r="CN105" s="8"/>
    </row>
    <row r="106" spans="7:92" x14ac:dyDescent="0.35">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8"/>
      <c r="CI106" s="8"/>
      <c r="CJ106" s="8"/>
      <c r="CK106" s="8"/>
      <c r="CL106" s="8"/>
      <c r="CM106" s="8"/>
      <c r="CN106" s="8"/>
    </row>
    <row r="107" spans="7:92" x14ac:dyDescent="0.35">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c r="CJ107" s="8"/>
      <c r="CK107" s="8"/>
      <c r="CL107" s="8"/>
      <c r="CM107" s="8"/>
      <c r="CN107" s="8"/>
    </row>
    <row r="108" spans="7:92" x14ac:dyDescent="0.35">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c r="CJ108" s="8"/>
      <c r="CK108" s="8"/>
      <c r="CL108" s="8"/>
      <c r="CM108" s="8"/>
      <c r="CN108" s="8"/>
    </row>
    <row r="109" spans="7:92" x14ac:dyDescent="0.35">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c r="CJ109" s="8"/>
      <c r="CK109" s="8"/>
      <c r="CL109" s="8"/>
      <c r="CM109" s="8"/>
      <c r="CN109" s="8"/>
    </row>
    <row r="110" spans="7:92" x14ac:dyDescent="0.35">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c r="CJ110" s="8"/>
      <c r="CK110" s="8"/>
      <c r="CL110" s="8"/>
      <c r="CM110" s="8"/>
      <c r="CN110" s="8"/>
    </row>
    <row r="111" spans="7:92" x14ac:dyDescent="0.35">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c r="CJ111" s="8"/>
      <c r="CK111" s="8"/>
      <c r="CL111" s="8"/>
      <c r="CM111" s="8"/>
      <c r="CN111" s="8"/>
    </row>
    <row r="112" spans="7:92" x14ac:dyDescent="0.35">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c r="CF112" s="8"/>
      <c r="CG112" s="8"/>
      <c r="CH112" s="8"/>
      <c r="CI112" s="8"/>
      <c r="CJ112" s="8"/>
      <c r="CK112" s="8"/>
      <c r="CL112" s="8"/>
      <c r="CM112" s="8"/>
      <c r="CN112" s="8"/>
    </row>
    <row r="113" spans="7:92" x14ac:dyDescent="0.35">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c r="CJ113" s="8"/>
      <c r="CK113" s="8"/>
      <c r="CL113" s="8"/>
      <c r="CM113" s="8"/>
      <c r="CN113" s="8"/>
    </row>
    <row r="114" spans="7:92" x14ac:dyDescent="0.35">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c r="CF114" s="8"/>
      <c r="CG114" s="8"/>
      <c r="CH114" s="8"/>
      <c r="CI114" s="8"/>
      <c r="CJ114" s="8"/>
      <c r="CK114" s="8"/>
      <c r="CL114" s="8"/>
      <c r="CM114" s="8"/>
      <c r="CN114" s="8"/>
    </row>
    <row r="115" spans="7:92" x14ac:dyDescent="0.35">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c r="CJ115" s="8"/>
      <c r="CK115" s="8"/>
      <c r="CL115" s="8"/>
      <c r="CM115" s="8"/>
      <c r="CN115" s="8"/>
    </row>
    <row r="116" spans="7:92" x14ac:dyDescent="0.35">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c r="CJ116" s="8"/>
      <c r="CK116" s="8"/>
      <c r="CL116" s="8"/>
      <c r="CM116" s="8"/>
      <c r="CN116" s="8"/>
    </row>
    <row r="117" spans="7:92" x14ac:dyDescent="0.35">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c r="CJ117" s="8"/>
      <c r="CK117" s="8"/>
      <c r="CL117" s="8"/>
      <c r="CM117" s="8"/>
      <c r="CN117" s="8"/>
    </row>
    <row r="118" spans="7:92" x14ac:dyDescent="0.35">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c r="CJ118" s="8"/>
      <c r="CK118" s="8"/>
      <c r="CL118" s="8"/>
      <c r="CM118" s="8"/>
      <c r="CN118" s="8"/>
    </row>
    <row r="119" spans="7:92" x14ac:dyDescent="0.35">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c r="CF119" s="8"/>
      <c r="CG119" s="8"/>
      <c r="CH119" s="8"/>
      <c r="CI119" s="8"/>
      <c r="CJ119" s="8"/>
      <c r="CK119" s="8"/>
      <c r="CL119" s="8"/>
      <c r="CM119" s="8"/>
      <c r="CN119" s="8"/>
    </row>
    <row r="120" spans="7:92" x14ac:dyDescent="0.35">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c r="CJ120" s="8"/>
      <c r="CK120" s="8"/>
      <c r="CL120" s="8"/>
      <c r="CM120" s="8"/>
      <c r="CN120" s="8"/>
    </row>
    <row r="121" spans="7:92" x14ac:dyDescent="0.35">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c r="CJ121" s="8"/>
      <c r="CK121" s="8"/>
      <c r="CL121" s="8"/>
      <c r="CM121" s="8"/>
      <c r="CN121" s="8"/>
    </row>
    <row r="122" spans="7:92" x14ac:dyDescent="0.35">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c r="CF122" s="8"/>
      <c r="CG122" s="8"/>
      <c r="CH122" s="8"/>
      <c r="CI122" s="8"/>
      <c r="CJ122" s="8"/>
      <c r="CK122" s="8"/>
      <c r="CL122" s="8"/>
      <c r="CM122" s="8"/>
      <c r="CN122" s="8"/>
    </row>
    <row r="123" spans="7:92" x14ac:dyDescent="0.35">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c r="CF123" s="8"/>
      <c r="CG123" s="8"/>
      <c r="CH123" s="8"/>
      <c r="CI123" s="8"/>
      <c r="CJ123" s="8"/>
      <c r="CK123" s="8"/>
      <c r="CL123" s="8"/>
      <c r="CM123" s="8"/>
      <c r="CN123" s="8"/>
    </row>
    <row r="124" spans="7:92" x14ac:dyDescent="0.35">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c r="CF124" s="8"/>
      <c r="CG124" s="8"/>
      <c r="CH124" s="8"/>
      <c r="CI124" s="8"/>
      <c r="CJ124" s="8"/>
      <c r="CK124" s="8"/>
      <c r="CL124" s="8"/>
      <c r="CM124" s="8"/>
      <c r="CN124" s="8"/>
    </row>
    <row r="125" spans="7:92" x14ac:dyDescent="0.35">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c r="CF125" s="8"/>
      <c r="CG125" s="8"/>
      <c r="CH125" s="8"/>
      <c r="CI125" s="8"/>
      <c r="CJ125" s="8"/>
      <c r="CK125" s="8"/>
      <c r="CL125" s="8"/>
      <c r="CM125" s="8"/>
      <c r="CN125" s="8"/>
    </row>
    <row r="126" spans="7:92" x14ac:dyDescent="0.35">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c r="CF126" s="8"/>
      <c r="CG126" s="8"/>
      <c r="CH126" s="8"/>
      <c r="CI126" s="8"/>
      <c r="CJ126" s="8"/>
      <c r="CK126" s="8"/>
      <c r="CL126" s="8"/>
      <c r="CM126" s="8"/>
      <c r="CN126" s="8"/>
    </row>
    <row r="127" spans="7:92" x14ac:dyDescent="0.35">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c r="CF127" s="8"/>
      <c r="CG127" s="8"/>
      <c r="CH127" s="8"/>
      <c r="CI127" s="8"/>
      <c r="CJ127" s="8"/>
      <c r="CK127" s="8"/>
      <c r="CL127" s="8"/>
      <c r="CM127" s="8"/>
      <c r="CN127" s="8"/>
    </row>
    <row r="128" spans="7:92" x14ac:dyDescent="0.35">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c r="CJ128" s="8"/>
      <c r="CK128" s="8"/>
      <c r="CL128" s="8"/>
      <c r="CM128" s="8"/>
      <c r="CN128" s="8"/>
    </row>
    <row r="129" spans="7:92" x14ac:dyDescent="0.35">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c r="CF129" s="8"/>
      <c r="CG129" s="8"/>
      <c r="CH129" s="8"/>
      <c r="CI129" s="8"/>
      <c r="CJ129" s="8"/>
      <c r="CK129" s="8"/>
      <c r="CL129" s="8"/>
      <c r="CM129" s="8"/>
      <c r="CN129" s="8"/>
    </row>
    <row r="130" spans="7:92" x14ac:dyDescent="0.35">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c r="CF130" s="8"/>
      <c r="CG130" s="8"/>
      <c r="CH130" s="8"/>
      <c r="CI130" s="8"/>
      <c r="CJ130" s="8"/>
      <c r="CK130" s="8"/>
      <c r="CL130" s="8"/>
      <c r="CM130" s="8"/>
      <c r="CN130" s="8"/>
    </row>
    <row r="131" spans="7:92" x14ac:dyDescent="0.35">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c r="CF131" s="8"/>
      <c r="CG131" s="8"/>
      <c r="CH131" s="8"/>
      <c r="CI131" s="8"/>
      <c r="CJ131" s="8"/>
      <c r="CK131" s="8"/>
      <c r="CL131" s="8"/>
      <c r="CM131" s="8"/>
      <c r="CN131" s="8"/>
    </row>
    <row r="132" spans="7:92" x14ac:dyDescent="0.35">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c r="CJ132" s="8"/>
      <c r="CK132" s="8"/>
      <c r="CL132" s="8"/>
      <c r="CM132" s="8"/>
      <c r="CN132" s="8"/>
    </row>
    <row r="133" spans="7:92" x14ac:dyDescent="0.35">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c r="CF133" s="8"/>
      <c r="CG133" s="8"/>
      <c r="CH133" s="8"/>
      <c r="CI133" s="8"/>
      <c r="CJ133" s="8"/>
      <c r="CK133" s="8"/>
      <c r="CL133" s="8"/>
      <c r="CM133" s="8"/>
      <c r="CN133" s="8"/>
    </row>
    <row r="134" spans="7:92" x14ac:dyDescent="0.35">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c r="CF134" s="8"/>
      <c r="CG134" s="8"/>
      <c r="CH134" s="8"/>
      <c r="CI134" s="8"/>
      <c r="CJ134" s="8"/>
      <c r="CK134" s="8"/>
      <c r="CL134" s="8"/>
      <c r="CM134" s="8"/>
      <c r="CN134" s="8"/>
    </row>
    <row r="135" spans="7:92" x14ac:dyDescent="0.35">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c r="CJ135" s="8"/>
      <c r="CK135" s="8"/>
      <c r="CL135" s="8"/>
      <c r="CM135" s="8"/>
      <c r="CN135" s="8"/>
    </row>
    <row r="136" spans="7:92" x14ac:dyDescent="0.35">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c r="CH136" s="8"/>
      <c r="CI136" s="8"/>
      <c r="CJ136" s="8"/>
      <c r="CK136" s="8"/>
      <c r="CL136" s="8"/>
      <c r="CM136" s="8"/>
      <c r="CN136" s="8"/>
    </row>
    <row r="137" spans="7:92" x14ac:dyDescent="0.35">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c r="CJ137" s="8"/>
      <c r="CK137" s="8"/>
      <c r="CL137" s="8"/>
      <c r="CM137" s="8"/>
      <c r="CN137" s="8"/>
    </row>
    <row r="138" spans="7:92" x14ac:dyDescent="0.35">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8"/>
      <c r="CH138" s="8"/>
      <c r="CI138" s="8"/>
      <c r="CJ138" s="8"/>
      <c r="CK138" s="8"/>
      <c r="CL138" s="8"/>
      <c r="CM138" s="8"/>
      <c r="CN138" s="8"/>
    </row>
    <row r="139" spans="7:92" x14ac:dyDescent="0.35">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c r="CF139" s="8"/>
      <c r="CG139" s="8"/>
      <c r="CH139" s="8"/>
      <c r="CI139" s="8"/>
      <c r="CJ139" s="8"/>
      <c r="CK139" s="8"/>
      <c r="CL139" s="8"/>
      <c r="CM139" s="8"/>
      <c r="CN139" s="8"/>
    </row>
    <row r="140" spans="7:92" x14ac:dyDescent="0.35">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c r="CF140" s="8"/>
      <c r="CG140" s="8"/>
      <c r="CH140" s="8"/>
      <c r="CI140" s="8"/>
      <c r="CJ140" s="8"/>
      <c r="CK140" s="8"/>
      <c r="CL140" s="8"/>
      <c r="CM140" s="8"/>
      <c r="CN140" s="8"/>
    </row>
    <row r="141" spans="7:92" x14ac:dyDescent="0.35">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c r="BP141" s="8"/>
      <c r="BQ141" s="8"/>
      <c r="BR141" s="8"/>
      <c r="BS141" s="8"/>
      <c r="BT141" s="8"/>
      <c r="BU141" s="8"/>
      <c r="BV141" s="8"/>
      <c r="BW141" s="8"/>
      <c r="BX141" s="8"/>
      <c r="BY141" s="8"/>
      <c r="BZ141" s="8"/>
      <c r="CA141" s="8"/>
      <c r="CB141" s="8"/>
      <c r="CC141" s="8"/>
      <c r="CD141" s="8"/>
      <c r="CE141" s="8"/>
      <c r="CF141" s="8"/>
      <c r="CG141" s="8"/>
      <c r="CH141" s="8"/>
      <c r="CI141" s="8"/>
      <c r="CJ141" s="8"/>
      <c r="CK141" s="8"/>
      <c r="CL141" s="8"/>
      <c r="CM141" s="8"/>
      <c r="CN141" s="8"/>
    </row>
    <row r="142" spans="7:92" x14ac:dyDescent="0.35">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c r="BQ142" s="8"/>
      <c r="BR142" s="8"/>
      <c r="BS142" s="8"/>
      <c r="BT142" s="8"/>
      <c r="BU142" s="8"/>
      <c r="BV142" s="8"/>
      <c r="BW142" s="8"/>
      <c r="BX142" s="8"/>
      <c r="BY142" s="8"/>
      <c r="BZ142" s="8"/>
      <c r="CA142" s="8"/>
      <c r="CB142" s="8"/>
      <c r="CC142" s="8"/>
      <c r="CD142" s="8"/>
      <c r="CE142" s="8"/>
      <c r="CF142" s="8"/>
      <c r="CG142" s="8"/>
      <c r="CH142" s="8"/>
      <c r="CI142" s="8"/>
      <c r="CJ142" s="8"/>
      <c r="CK142" s="8"/>
      <c r="CL142" s="8"/>
      <c r="CM142" s="8"/>
      <c r="CN142" s="8"/>
    </row>
    <row r="143" spans="7:92" x14ac:dyDescent="0.35">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c r="BU143" s="8"/>
      <c r="BV143" s="8"/>
      <c r="BW143" s="8"/>
      <c r="BX143" s="8"/>
      <c r="BY143" s="8"/>
      <c r="BZ143" s="8"/>
      <c r="CA143" s="8"/>
      <c r="CB143" s="8"/>
      <c r="CC143" s="8"/>
      <c r="CD143" s="8"/>
      <c r="CE143" s="8"/>
      <c r="CF143" s="8"/>
      <c r="CG143" s="8"/>
      <c r="CH143" s="8"/>
      <c r="CI143" s="8"/>
      <c r="CJ143" s="8"/>
      <c r="CK143" s="8"/>
      <c r="CL143" s="8"/>
      <c r="CM143" s="8"/>
      <c r="CN143" s="8"/>
    </row>
    <row r="144" spans="7:92" x14ac:dyDescent="0.35">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c r="BP144" s="8"/>
      <c r="BQ144" s="8"/>
      <c r="BR144" s="8"/>
      <c r="BS144" s="8"/>
      <c r="BT144" s="8"/>
      <c r="BU144" s="8"/>
      <c r="BV144" s="8"/>
      <c r="BW144" s="8"/>
      <c r="BX144" s="8"/>
      <c r="BY144" s="8"/>
      <c r="BZ144" s="8"/>
      <c r="CA144" s="8"/>
      <c r="CB144" s="8"/>
      <c r="CC144" s="8"/>
      <c r="CD144" s="8"/>
      <c r="CE144" s="8"/>
      <c r="CF144" s="8"/>
      <c r="CG144" s="8"/>
      <c r="CH144" s="8"/>
      <c r="CI144" s="8"/>
      <c r="CJ144" s="8"/>
      <c r="CK144" s="8"/>
      <c r="CL144" s="8"/>
      <c r="CM144" s="8"/>
      <c r="CN144" s="8"/>
    </row>
    <row r="145" spans="7:92" x14ac:dyDescent="0.35">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c r="BU145" s="8"/>
      <c r="BV145" s="8"/>
      <c r="BW145" s="8"/>
      <c r="BX145" s="8"/>
      <c r="BY145" s="8"/>
      <c r="BZ145" s="8"/>
      <c r="CA145" s="8"/>
      <c r="CB145" s="8"/>
      <c r="CC145" s="8"/>
      <c r="CD145" s="8"/>
      <c r="CE145" s="8"/>
      <c r="CF145" s="8"/>
      <c r="CG145" s="8"/>
      <c r="CH145" s="8"/>
      <c r="CI145" s="8"/>
      <c r="CJ145" s="8"/>
      <c r="CK145" s="8"/>
      <c r="CL145" s="8"/>
      <c r="CM145" s="8"/>
      <c r="CN145" s="8"/>
    </row>
    <row r="146" spans="7:92" x14ac:dyDescent="0.35">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8"/>
      <c r="BT146" s="8"/>
      <c r="BU146" s="8"/>
      <c r="BV146" s="8"/>
      <c r="BW146" s="8"/>
      <c r="BX146" s="8"/>
      <c r="BY146" s="8"/>
      <c r="BZ146" s="8"/>
      <c r="CA146" s="8"/>
      <c r="CB146" s="8"/>
      <c r="CC146" s="8"/>
      <c r="CD146" s="8"/>
      <c r="CE146" s="8"/>
      <c r="CF146" s="8"/>
      <c r="CG146" s="8"/>
      <c r="CH146" s="8"/>
      <c r="CI146" s="8"/>
      <c r="CJ146" s="8"/>
      <c r="CK146" s="8"/>
      <c r="CL146" s="8"/>
      <c r="CM146" s="8"/>
      <c r="CN146" s="8"/>
    </row>
    <row r="147" spans="7:92" x14ac:dyDescent="0.35">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8"/>
      <c r="BR147" s="8"/>
      <c r="BS147" s="8"/>
      <c r="BT147" s="8"/>
      <c r="BU147" s="8"/>
      <c r="BV147" s="8"/>
      <c r="BW147" s="8"/>
      <c r="BX147" s="8"/>
      <c r="BY147" s="8"/>
      <c r="BZ147" s="8"/>
      <c r="CA147" s="8"/>
      <c r="CB147" s="8"/>
      <c r="CC147" s="8"/>
      <c r="CD147" s="8"/>
      <c r="CE147" s="8"/>
      <c r="CF147" s="8"/>
      <c r="CG147" s="8"/>
      <c r="CH147" s="8"/>
      <c r="CI147" s="8"/>
      <c r="CJ147" s="8"/>
      <c r="CK147" s="8"/>
      <c r="CL147" s="8"/>
      <c r="CM147" s="8"/>
      <c r="CN147" s="8"/>
    </row>
    <row r="148" spans="7:92" x14ac:dyDescent="0.35">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c r="BP148" s="8"/>
      <c r="BQ148" s="8"/>
      <c r="BR148" s="8"/>
      <c r="BS148" s="8"/>
      <c r="BT148" s="8"/>
      <c r="BU148" s="8"/>
      <c r="BV148" s="8"/>
      <c r="BW148" s="8"/>
      <c r="BX148" s="8"/>
      <c r="BY148" s="8"/>
      <c r="BZ148" s="8"/>
      <c r="CA148" s="8"/>
      <c r="CB148" s="8"/>
      <c r="CC148" s="8"/>
      <c r="CD148" s="8"/>
      <c r="CE148" s="8"/>
      <c r="CF148" s="8"/>
      <c r="CG148" s="8"/>
      <c r="CH148" s="8"/>
      <c r="CI148" s="8"/>
      <c r="CJ148" s="8"/>
      <c r="CK148" s="8"/>
      <c r="CL148" s="8"/>
      <c r="CM148" s="8"/>
      <c r="CN148" s="8"/>
    </row>
    <row r="149" spans="7:92" x14ac:dyDescent="0.35">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c r="BP149" s="8"/>
      <c r="BQ149" s="8"/>
      <c r="BR149" s="8"/>
      <c r="BS149" s="8"/>
      <c r="BT149" s="8"/>
      <c r="BU149" s="8"/>
      <c r="BV149" s="8"/>
      <c r="BW149" s="8"/>
      <c r="BX149" s="8"/>
      <c r="BY149" s="8"/>
      <c r="BZ149" s="8"/>
      <c r="CA149" s="8"/>
      <c r="CB149" s="8"/>
      <c r="CC149" s="8"/>
      <c r="CD149" s="8"/>
      <c r="CE149" s="8"/>
      <c r="CF149" s="8"/>
      <c r="CG149" s="8"/>
      <c r="CH149" s="8"/>
      <c r="CI149" s="8"/>
      <c r="CJ149" s="8"/>
      <c r="CK149" s="8"/>
      <c r="CL149" s="8"/>
      <c r="CM149" s="8"/>
      <c r="CN149" s="8"/>
    </row>
    <row r="150" spans="7:92" x14ac:dyDescent="0.35">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c r="BP150" s="8"/>
      <c r="BQ150" s="8"/>
      <c r="BR150" s="8"/>
      <c r="BS150" s="8"/>
      <c r="BT150" s="8"/>
      <c r="BU150" s="8"/>
      <c r="BV150" s="8"/>
      <c r="BW150" s="8"/>
      <c r="BX150" s="8"/>
      <c r="BY150" s="8"/>
      <c r="BZ150" s="8"/>
      <c r="CA150" s="8"/>
      <c r="CB150" s="8"/>
      <c r="CC150" s="8"/>
      <c r="CD150" s="8"/>
      <c r="CE150" s="8"/>
      <c r="CF150" s="8"/>
      <c r="CG150" s="8"/>
      <c r="CH150" s="8"/>
      <c r="CI150" s="8"/>
      <c r="CJ150" s="8"/>
      <c r="CK150" s="8"/>
      <c r="CL150" s="8"/>
      <c r="CM150" s="8"/>
      <c r="CN150" s="8"/>
    </row>
    <row r="151" spans="7:92" x14ac:dyDescent="0.35">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8"/>
      <c r="BR151" s="8"/>
      <c r="BS151" s="8"/>
      <c r="BT151" s="8"/>
      <c r="BU151" s="8"/>
      <c r="BV151" s="8"/>
      <c r="BW151" s="8"/>
      <c r="BX151" s="8"/>
      <c r="BY151" s="8"/>
      <c r="BZ151" s="8"/>
      <c r="CA151" s="8"/>
      <c r="CB151" s="8"/>
      <c r="CC151" s="8"/>
      <c r="CD151" s="8"/>
      <c r="CE151" s="8"/>
      <c r="CF151" s="8"/>
      <c r="CG151" s="8"/>
      <c r="CH151" s="8"/>
      <c r="CI151" s="8"/>
      <c r="CJ151" s="8"/>
      <c r="CK151" s="8"/>
      <c r="CL151" s="8"/>
      <c r="CM151" s="8"/>
      <c r="CN151" s="8"/>
    </row>
    <row r="152" spans="7:92" x14ac:dyDescent="0.35">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c r="BU152" s="8"/>
      <c r="BV152" s="8"/>
      <c r="BW152" s="8"/>
      <c r="BX152" s="8"/>
      <c r="BY152" s="8"/>
      <c r="BZ152" s="8"/>
      <c r="CA152" s="8"/>
      <c r="CB152" s="8"/>
      <c r="CC152" s="8"/>
      <c r="CD152" s="8"/>
      <c r="CE152" s="8"/>
      <c r="CF152" s="8"/>
      <c r="CG152" s="8"/>
      <c r="CH152" s="8"/>
      <c r="CI152" s="8"/>
      <c r="CJ152" s="8"/>
      <c r="CK152" s="8"/>
      <c r="CL152" s="8"/>
      <c r="CM152" s="8"/>
      <c r="CN152" s="8"/>
    </row>
    <row r="153" spans="7:92" x14ac:dyDescent="0.35">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c r="BP153" s="8"/>
      <c r="BQ153" s="8"/>
      <c r="BR153" s="8"/>
      <c r="BS153" s="8"/>
      <c r="BT153" s="8"/>
      <c r="BU153" s="8"/>
      <c r="BV153" s="8"/>
      <c r="BW153" s="8"/>
      <c r="BX153" s="8"/>
      <c r="BY153" s="8"/>
      <c r="BZ153" s="8"/>
      <c r="CA153" s="8"/>
      <c r="CB153" s="8"/>
      <c r="CC153" s="8"/>
      <c r="CD153" s="8"/>
      <c r="CE153" s="8"/>
      <c r="CF153" s="8"/>
      <c r="CG153" s="8"/>
      <c r="CH153" s="8"/>
      <c r="CI153" s="8"/>
      <c r="CJ153" s="8"/>
      <c r="CK153" s="8"/>
      <c r="CL153" s="8"/>
      <c r="CM153" s="8"/>
      <c r="CN153" s="8"/>
    </row>
    <row r="154" spans="7:92" x14ac:dyDescent="0.35">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c r="BO154" s="8"/>
      <c r="BP154" s="8"/>
      <c r="BQ154" s="8"/>
      <c r="BR154" s="8"/>
      <c r="BS154" s="8"/>
      <c r="BT154" s="8"/>
      <c r="BU154" s="8"/>
      <c r="BV154" s="8"/>
      <c r="BW154" s="8"/>
      <c r="BX154" s="8"/>
      <c r="BY154" s="8"/>
      <c r="BZ154" s="8"/>
      <c r="CA154" s="8"/>
      <c r="CB154" s="8"/>
      <c r="CC154" s="8"/>
      <c r="CD154" s="8"/>
      <c r="CE154" s="8"/>
      <c r="CF154" s="8"/>
      <c r="CG154" s="8"/>
      <c r="CH154" s="8"/>
      <c r="CI154" s="8"/>
      <c r="CJ154" s="8"/>
      <c r="CK154" s="8"/>
      <c r="CL154" s="8"/>
      <c r="CM154" s="8"/>
      <c r="CN154" s="8"/>
    </row>
    <row r="155" spans="7:92" x14ac:dyDescent="0.35">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8"/>
      <c r="BR155" s="8"/>
      <c r="BS155" s="8"/>
      <c r="BT155" s="8"/>
      <c r="BU155" s="8"/>
      <c r="BV155" s="8"/>
      <c r="BW155" s="8"/>
      <c r="BX155" s="8"/>
      <c r="BY155" s="8"/>
      <c r="BZ155" s="8"/>
      <c r="CA155" s="8"/>
      <c r="CB155" s="8"/>
      <c r="CC155" s="8"/>
      <c r="CD155" s="8"/>
      <c r="CE155" s="8"/>
      <c r="CF155" s="8"/>
      <c r="CG155" s="8"/>
      <c r="CH155" s="8"/>
      <c r="CI155" s="8"/>
      <c r="CJ155" s="8"/>
      <c r="CK155" s="8"/>
      <c r="CL155" s="8"/>
      <c r="CM155" s="8"/>
      <c r="CN155" s="8"/>
    </row>
    <row r="156" spans="7:92" x14ac:dyDescent="0.35">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c r="BP156" s="8"/>
      <c r="BQ156" s="8"/>
      <c r="BR156" s="8"/>
      <c r="BS156" s="8"/>
      <c r="BT156" s="8"/>
      <c r="BU156" s="8"/>
      <c r="BV156" s="8"/>
      <c r="BW156" s="8"/>
      <c r="BX156" s="8"/>
      <c r="BY156" s="8"/>
      <c r="BZ156" s="8"/>
      <c r="CA156" s="8"/>
      <c r="CB156" s="8"/>
      <c r="CC156" s="8"/>
      <c r="CD156" s="8"/>
      <c r="CE156" s="8"/>
      <c r="CF156" s="8"/>
      <c r="CG156" s="8"/>
      <c r="CH156" s="8"/>
      <c r="CI156" s="8"/>
      <c r="CJ156" s="8"/>
      <c r="CK156" s="8"/>
      <c r="CL156" s="8"/>
      <c r="CM156" s="8"/>
      <c r="CN156" s="8"/>
    </row>
    <row r="157" spans="7:92" x14ac:dyDescent="0.35">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c r="BQ157" s="8"/>
      <c r="BR157" s="8"/>
      <c r="BS157" s="8"/>
      <c r="BT157" s="8"/>
      <c r="BU157" s="8"/>
      <c r="BV157" s="8"/>
      <c r="BW157" s="8"/>
      <c r="BX157" s="8"/>
      <c r="BY157" s="8"/>
      <c r="BZ157" s="8"/>
      <c r="CA157" s="8"/>
      <c r="CB157" s="8"/>
      <c r="CC157" s="8"/>
      <c r="CD157" s="8"/>
      <c r="CE157" s="8"/>
      <c r="CF157" s="8"/>
      <c r="CG157" s="8"/>
      <c r="CH157" s="8"/>
      <c r="CI157" s="8"/>
      <c r="CJ157" s="8"/>
      <c r="CK157" s="8"/>
      <c r="CL157" s="8"/>
      <c r="CM157" s="8"/>
      <c r="CN157" s="8"/>
    </row>
    <row r="158" spans="7:92" x14ac:dyDescent="0.35">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c r="BR158" s="8"/>
      <c r="BS158" s="8"/>
      <c r="BT158" s="8"/>
      <c r="BU158" s="8"/>
      <c r="BV158" s="8"/>
      <c r="BW158" s="8"/>
      <c r="BX158" s="8"/>
      <c r="BY158" s="8"/>
      <c r="BZ158" s="8"/>
      <c r="CA158" s="8"/>
      <c r="CB158" s="8"/>
      <c r="CC158" s="8"/>
      <c r="CD158" s="8"/>
      <c r="CE158" s="8"/>
      <c r="CF158" s="8"/>
      <c r="CG158" s="8"/>
      <c r="CH158" s="8"/>
      <c r="CI158" s="8"/>
      <c r="CJ158" s="8"/>
      <c r="CK158" s="8"/>
      <c r="CL158" s="8"/>
      <c r="CM158" s="8"/>
      <c r="CN158" s="8"/>
    </row>
    <row r="159" spans="7:92" x14ac:dyDescent="0.35">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8"/>
      <c r="BT159" s="8"/>
      <c r="BU159" s="8"/>
      <c r="BV159" s="8"/>
      <c r="BW159" s="8"/>
      <c r="BX159" s="8"/>
      <c r="BY159" s="8"/>
      <c r="BZ159" s="8"/>
      <c r="CA159" s="8"/>
      <c r="CB159" s="8"/>
      <c r="CC159" s="8"/>
      <c r="CD159" s="8"/>
      <c r="CE159" s="8"/>
      <c r="CF159" s="8"/>
      <c r="CG159" s="8"/>
      <c r="CH159" s="8"/>
      <c r="CI159" s="8"/>
      <c r="CJ159" s="8"/>
      <c r="CK159" s="8"/>
      <c r="CL159" s="8"/>
      <c r="CM159" s="8"/>
      <c r="CN159" s="8"/>
    </row>
    <row r="160" spans="7:92" x14ac:dyDescent="0.35">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c r="BP160" s="8"/>
      <c r="BQ160" s="8"/>
      <c r="BR160" s="8"/>
      <c r="BS160" s="8"/>
      <c r="BT160" s="8"/>
      <c r="BU160" s="8"/>
      <c r="BV160" s="8"/>
      <c r="BW160" s="8"/>
      <c r="BX160" s="8"/>
      <c r="BY160" s="8"/>
      <c r="BZ160" s="8"/>
      <c r="CA160" s="8"/>
      <c r="CB160" s="8"/>
      <c r="CC160" s="8"/>
      <c r="CD160" s="8"/>
      <c r="CE160" s="8"/>
      <c r="CF160" s="8"/>
      <c r="CG160" s="8"/>
      <c r="CH160" s="8"/>
      <c r="CI160" s="8"/>
      <c r="CJ160" s="8"/>
      <c r="CK160" s="8"/>
      <c r="CL160" s="8"/>
      <c r="CM160" s="8"/>
      <c r="CN160" s="8"/>
    </row>
    <row r="161" spans="7:92" x14ac:dyDescent="0.35">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c r="BR161" s="8"/>
      <c r="BS161" s="8"/>
      <c r="BT161" s="8"/>
      <c r="BU161" s="8"/>
      <c r="BV161" s="8"/>
      <c r="BW161" s="8"/>
      <c r="BX161" s="8"/>
      <c r="BY161" s="8"/>
      <c r="BZ161" s="8"/>
      <c r="CA161" s="8"/>
      <c r="CB161" s="8"/>
      <c r="CC161" s="8"/>
      <c r="CD161" s="8"/>
      <c r="CE161" s="8"/>
      <c r="CF161" s="8"/>
      <c r="CG161" s="8"/>
      <c r="CH161" s="8"/>
      <c r="CI161" s="8"/>
      <c r="CJ161" s="8"/>
      <c r="CK161" s="8"/>
      <c r="CL161" s="8"/>
      <c r="CM161" s="8"/>
      <c r="CN161" s="8"/>
    </row>
    <row r="162" spans="7:92" x14ac:dyDescent="0.35">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c r="BQ162" s="8"/>
      <c r="BR162" s="8"/>
      <c r="BS162" s="8"/>
      <c r="BT162" s="8"/>
      <c r="BU162" s="8"/>
      <c r="BV162" s="8"/>
      <c r="BW162" s="8"/>
      <c r="BX162" s="8"/>
      <c r="BY162" s="8"/>
      <c r="BZ162" s="8"/>
      <c r="CA162" s="8"/>
      <c r="CB162" s="8"/>
      <c r="CC162" s="8"/>
      <c r="CD162" s="8"/>
      <c r="CE162" s="8"/>
      <c r="CF162" s="8"/>
      <c r="CG162" s="8"/>
      <c r="CH162" s="8"/>
      <c r="CI162" s="8"/>
      <c r="CJ162" s="8"/>
      <c r="CK162" s="8"/>
      <c r="CL162" s="8"/>
      <c r="CM162" s="8"/>
      <c r="CN162" s="8"/>
    </row>
    <row r="163" spans="7:92" x14ac:dyDescent="0.35">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c r="BQ163" s="8"/>
      <c r="BR163" s="8"/>
      <c r="BS163" s="8"/>
      <c r="BT163" s="8"/>
      <c r="BU163" s="8"/>
      <c r="BV163" s="8"/>
      <c r="BW163" s="8"/>
      <c r="BX163" s="8"/>
      <c r="BY163" s="8"/>
      <c r="BZ163" s="8"/>
      <c r="CA163" s="8"/>
      <c r="CB163" s="8"/>
      <c r="CC163" s="8"/>
      <c r="CD163" s="8"/>
      <c r="CE163" s="8"/>
      <c r="CF163" s="8"/>
      <c r="CG163" s="8"/>
      <c r="CH163" s="8"/>
      <c r="CI163" s="8"/>
      <c r="CJ163" s="8"/>
      <c r="CK163" s="8"/>
      <c r="CL163" s="8"/>
      <c r="CM163" s="8"/>
      <c r="CN163" s="8"/>
    </row>
    <row r="164" spans="7:92" x14ac:dyDescent="0.35">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c r="BP164" s="8"/>
      <c r="BQ164" s="8"/>
      <c r="BR164" s="8"/>
      <c r="BS164" s="8"/>
      <c r="BT164" s="8"/>
      <c r="BU164" s="8"/>
      <c r="BV164" s="8"/>
      <c r="BW164" s="8"/>
      <c r="BX164" s="8"/>
      <c r="BY164" s="8"/>
      <c r="BZ164" s="8"/>
      <c r="CA164" s="8"/>
      <c r="CB164" s="8"/>
      <c r="CC164" s="8"/>
      <c r="CD164" s="8"/>
      <c r="CE164" s="8"/>
      <c r="CF164" s="8"/>
      <c r="CG164" s="8"/>
      <c r="CH164" s="8"/>
      <c r="CI164" s="8"/>
      <c r="CJ164" s="8"/>
      <c r="CK164" s="8"/>
      <c r="CL164" s="8"/>
      <c r="CM164" s="8"/>
      <c r="CN164" s="8"/>
    </row>
    <row r="165" spans="7:92" x14ac:dyDescent="0.35">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8"/>
      <c r="BT165" s="8"/>
      <c r="BU165" s="8"/>
      <c r="BV165" s="8"/>
      <c r="BW165" s="8"/>
      <c r="BX165" s="8"/>
      <c r="BY165" s="8"/>
      <c r="BZ165" s="8"/>
      <c r="CA165" s="8"/>
      <c r="CB165" s="8"/>
      <c r="CC165" s="8"/>
      <c r="CD165" s="8"/>
      <c r="CE165" s="8"/>
      <c r="CF165" s="8"/>
      <c r="CG165" s="8"/>
      <c r="CH165" s="8"/>
      <c r="CI165" s="8"/>
      <c r="CJ165" s="8"/>
      <c r="CK165" s="8"/>
      <c r="CL165" s="8"/>
      <c r="CM165" s="8"/>
      <c r="CN165" s="8"/>
    </row>
    <row r="166" spans="7:92" x14ac:dyDescent="0.35">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c r="BP166" s="8"/>
      <c r="BQ166" s="8"/>
      <c r="BR166" s="8"/>
      <c r="BS166" s="8"/>
      <c r="BT166" s="8"/>
      <c r="BU166" s="8"/>
      <c r="BV166" s="8"/>
      <c r="BW166" s="8"/>
      <c r="BX166" s="8"/>
      <c r="BY166" s="8"/>
      <c r="BZ166" s="8"/>
      <c r="CA166" s="8"/>
      <c r="CB166" s="8"/>
      <c r="CC166" s="8"/>
      <c r="CD166" s="8"/>
      <c r="CE166" s="8"/>
      <c r="CF166" s="8"/>
      <c r="CG166" s="8"/>
      <c r="CH166" s="8"/>
      <c r="CI166" s="8"/>
      <c r="CJ166" s="8"/>
      <c r="CK166" s="8"/>
      <c r="CL166" s="8"/>
      <c r="CM166" s="8"/>
      <c r="CN166" s="8"/>
    </row>
    <row r="167" spans="7:92" x14ac:dyDescent="0.35">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8"/>
      <c r="BT167" s="8"/>
      <c r="BU167" s="8"/>
      <c r="BV167" s="8"/>
      <c r="BW167" s="8"/>
      <c r="BX167" s="8"/>
      <c r="BY167" s="8"/>
      <c r="BZ167" s="8"/>
      <c r="CA167" s="8"/>
      <c r="CB167" s="8"/>
      <c r="CC167" s="8"/>
      <c r="CD167" s="8"/>
      <c r="CE167" s="8"/>
      <c r="CF167" s="8"/>
      <c r="CG167" s="8"/>
      <c r="CH167" s="8"/>
      <c r="CI167" s="8"/>
      <c r="CJ167" s="8"/>
      <c r="CK167" s="8"/>
      <c r="CL167" s="8"/>
      <c r="CM167" s="8"/>
      <c r="CN167" s="8"/>
    </row>
    <row r="168" spans="7:92" x14ac:dyDescent="0.35">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c r="BR168" s="8"/>
      <c r="BS168" s="8"/>
      <c r="BT168" s="8"/>
      <c r="BU168" s="8"/>
      <c r="BV168" s="8"/>
      <c r="BW168" s="8"/>
      <c r="BX168" s="8"/>
      <c r="BY168" s="8"/>
      <c r="BZ168" s="8"/>
      <c r="CA168" s="8"/>
      <c r="CB168" s="8"/>
      <c r="CC168" s="8"/>
      <c r="CD168" s="8"/>
      <c r="CE168" s="8"/>
      <c r="CF168" s="8"/>
      <c r="CG168" s="8"/>
      <c r="CH168" s="8"/>
      <c r="CI168" s="8"/>
      <c r="CJ168" s="8"/>
      <c r="CK168" s="8"/>
      <c r="CL168" s="8"/>
      <c r="CM168" s="8"/>
      <c r="CN168" s="8"/>
    </row>
    <row r="169" spans="7:92" x14ac:dyDescent="0.35">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c r="BR169" s="8"/>
      <c r="BS169" s="8"/>
      <c r="BT169" s="8"/>
      <c r="BU169" s="8"/>
      <c r="BV169" s="8"/>
      <c r="BW169" s="8"/>
      <c r="BX169" s="8"/>
      <c r="BY169" s="8"/>
      <c r="BZ169" s="8"/>
      <c r="CA169" s="8"/>
      <c r="CB169" s="8"/>
      <c r="CC169" s="8"/>
      <c r="CD169" s="8"/>
      <c r="CE169" s="8"/>
      <c r="CF169" s="8"/>
      <c r="CG169" s="8"/>
      <c r="CH169" s="8"/>
      <c r="CI169" s="8"/>
      <c r="CJ169" s="8"/>
      <c r="CK169" s="8"/>
      <c r="CL169" s="8"/>
      <c r="CM169" s="8"/>
      <c r="CN169" s="8"/>
    </row>
    <row r="170" spans="7:92" x14ac:dyDescent="0.35">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c r="BP170" s="8"/>
      <c r="BQ170" s="8"/>
      <c r="BR170" s="8"/>
      <c r="BS170" s="8"/>
      <c r="BT170" s="8"/>
      <c r="BU170" s="8"/>
      <c r="BV170" s="8"/>
      <c r="BW170" s="8"/>
      <c r="BX170" s="8"/>
      <c r="BY170" s="8"/>
      <c r="BZ170" s="8"/>
      <c r="CA170" s="8"/>
      <c r="CB170" s="8"/>
      <c r="CC170" s="8"/>
      <c r="CD170" s="8"/>
      <c r="CE170" s="8"/>
      <c r="CF170" s="8"/>
      <c r="CG170" s="8"/>
      <c r="CH170" s="8"/>
      <c r="CI170" s="8"/>
      <c r="CJ170" s="8"/>
      <c r="CK170" s="8"/>
      <c r="CL170" s="8"/>
      <c r="CM170" s="8"/>
      <c r="CN170" s="8"/>
    </row>
    <row r="171" spans="7:92" x14ac:dyDescent="0.35">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8"/>
      <c r="BT171" s="8"/>
      <c r="BU171" s="8"/>
      <c r="BV171" s="8"/>
      <c r="BW171" s="8"/>
      <c r="BX171" s="8"/>
      <c r="BY171" s="8"/>
      <c r="BZ171" s="8"/>
      <c r="CA171" s="8"/>
      <c r="CB171" s="8"/>
      <c r="CC171" s="8"/>
      <c r="CD171" s="8"/>
      <c r="CE171" s="8"/>
      <c r="CF171" s="8"/>
      <c r="CG171" s="8"/>
      <c r="CH171" s="8"/>
      <c r="CI171" s="8"/>
      <c r="CJ171" s="8"/>
      <c r="CK171" s="8"/>
      <c r="CL171" s="8"/>
      <c r="CM171" s="8"/>
      <c r="CN171" s="8"/>
    </row>
    <row r="172" spans="7:92" x14ac:dyDescent="0.35">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8"/>
      <c r="BQ172" s="8"/>
      <c r="BR172" s="8"/>
      <c r="BS172" s="8"/>
      <c r="BT172" s="8"/>
      <c r="BU172" s="8"/>
      <c r="BV172" s="8"/>
      <c r="BW172" s="8"/>
      <c r="BX172" s="8"/>
      <c r="BY172" s="8"/>
      <c r="BZ172" s="8"/>
      <c r="CA172" s="8"/>
      <c r="CB172" s="8"/>
      <c r="CC172" s="8"/>
      <c r="CD172" s="8"/>
      <c r="CE172" s="8"/>
      <c r="CF172" s="8"/>
      <c r="CG172" s="8"/>
      <c r="CH172" s="8"/>
      <c r="CI172" s="8"/>
      <c r="CJ172" s="8"/>
      <c r="CK172" s="8"/>
      <c r="CL172" s="8"/>
      <c r="CM172" s="8"/>
      <c r="CN172" s="8"/>
    </row>
    <row r="173" spans="7:92" x14ac:dyDescent="0.35">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c r="BQ173" s="8"/>
      <c r="BR173" s="8"/>
      <c r="BS173" s="8"/>
      <c r="BT173" s="8"/>
      <c r="BU173" s="8"/>
      <c r="BV173" s="8"/>
      <c r="BW173" s="8"/>
      <c r="BX173" s="8"/>
      <c r="BY173" s="8"/>
      <c r="BZ173" s="8"/>
      <c r="CA173" s="8"/>
      <c r="CB173" s="8"/>
      <c r="CC173" s="8"/>
      <c r="CD173" s="8"/>
      <c r="CE173" s="8"/>
      <c r="CF173" s="8"/>
      <c r="CG173" s="8"/>
      <c r="CH173" s="8"/>
      <c r="CI173" s="8"/>
      <c r="CJ173" s="8"/>
      <c r="CK173" s="8"/>
      <c r="CL173" s="8"/>
      <c r="CM173" s="8"/>
      <c r="CN173" s="8"/>
    </row>
    <row r="174" spans="7:92" x14ac:dyDescent="0.35">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8"/>
      <c r="BT174" s="8"/>
      <c r="BU174" s="8"/>
      <c r="BV174" s="8"/>
      <c r="BW174" s="8"/>
      <c r="BX174" s="8"/>
      <c r="BY174" s="8"/>
      <c r="BZ174" s="8"/>
      <c r="CA174" s="8"/>
      <c r="CB174" s="8"/>
      <c r="CC174" s="8"/>
      <c r="CD174" s="8"/>
      <c r="CE174" s="8"/>
      <c r="CF174" s="8"/>
      <c r="CG174" s="8"/>
      <c r="CH174" s="8"/>
      <c r="CI174" s="8"/>
      <c r="CJ174" s="8"/>
      <c r="CK174" s="8"/>
      <c r="CL174" s="8"/>
      <c r="CM174" s="8"/>
      <c r="CN174" s="8"/>
    </row>
    <row r="175" spans="7:92" x14ac:dyDescent="0.35">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8"/>
      <c r="BR175" s="8"/>
      <c r="BS175" s="8"/>
      <c r="BT175" s="8"/>
      <c r="BU175" s="8"/>
      <c r="BV175" s="8"/>
      <c r="BW175" s="8"/>
      <c r="BX175" s="8"/>
      <c r="BY175" s="8"/>
      <c r="BZ175" s="8"/>
      <c r="CA175" s="8"/>
      <c r="CB175" s="8"/>
      <c r="CC175" s="8"/>
      <c r="CD175" s="8"/>
      <c r="CE175" s="8"/>
      <c r="CF175" s="8"/>
      <c r="CG175" s="8"/>
      <c r="CH175" s="8"/>
      <c r="CI175" s="8"/>
      <c r="CJ175" s="8"/>
      <c r="CK175" s="8"/>
      <c r="CL175" s="8"/>
      <c r="CM175" s="8"/>
      <c r="CN175" s="8"/>
    </row>
    <row r="176" spans="7:92" x14ac:dyDescent="0.35">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c r="BP176" s="8"/>
      <c r="BQ176" s="8"/>
      <c r="BR176" s="8"/>
      <c r="BS176" s="8"/>
      <c r="BT176" s="8"/>
      <c r="BU176" s="8"/>
      <c r="BV176" s="8"/>
      <c r="BW176" s="8"/>
      <c r="BX176" s="8"/>
      <c r="BY176" s="8"/>
      <c r="BZ176" s="8"/>
      <c r="CA176" s="8"/>
      <c r="CB176" s="8"/>
      <c r="CC176" s="8"/>
      <c r="CD176" s="8"/>
      <c r="CE176" s="8"/>
      <c r="CF176" s="8"/>
      <c r="CG176" s="8"/>
      <c r="CH176" s="8"/>
      <c r="CI176" s="8"/>
      <c r="CJ176" s="8"/>
      <c r="CK176" s="8"/>
      <c r="CL176" s="8"/>
      <c r="CM176" s="8"/>
      <c r="CN176" s="8"/>
    </row>
    <row r="177" spans="7:92" x14ac:dyDescent="0.35">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c r="BP177" s="8"/>
      <c r="BQ177" s="8"/>
      <c r="BR177" s="8"/>
      <c r="BS177" s="8"/>
      <c r="BT177" s="8"/>
      <c r="BU177" s="8"/>
      <c r="BV177" s="8"/>
      <c r="BW177" s="8"/>
      <c r="BX177" s="8"/>
      <c r="BY177" s="8"/>
      <c r="BZ177" s="8"/>
      <c r="CA177" s="8"/>
      <c r="CB177" s="8"/>
      <c r="CC177" s="8"/>
      <c r="CD177" s="8"/>
      <c r="CE177" s="8"/>
      <c r="CF177" s="8"/>
      <c r="CG177" s="8"/>
      <c r="CH177" s="8"/>
      <c r="CI177" s="8"/>
      <c r="CJ177" s="8"/>
      <c r="CK177" s="8"/>
      <c r="CL177" s="8"/>
      <c r="CM177" s="8"/>
      <c r="CN177" s="8"/>
    </row>
    <row r="178" spans="7:92" x14ac:dyDescent="0.35">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c r="BP178" s="8"/>
      <c r="BQ178" s="8"/>
      <c r="BR178" s="8"/>
      <c r="BS178" s="8"/>
      <c r="BT178" s="8"/>
      <c r="BU178" s="8"/>
      <c r="BV178" s="8"/>
      <c r="BW178" s="8"/>
      <c r="BX178" s="8"/>
      <c r="BY178" s="8"/>
      <c r="BZ178" s="8"/>
      <c r="CA178" s="8"/>
      <c r="CB178" s="8"/>
      <c r="CC178" s="8"/>
      <c r="CD178" s="8"/>
      <c r="CE178" s="8"/>
      <c r="CF178" s="8"/>
      <c r="CG178" s="8"/>
      <c r="CH178" s="8"/>
      <c r="CI178" s="8"/>
      <c r="CJ178" s="8"/>
      <c r="CK178" s="8"/>
      <c r="CL178" s="8"/>
      <c r="CM178" s="8"/>
      <c r="CN178" s="8"/>
    </row>
    <row r="179" spans="7:92" x14ac:dyDescent="0.35">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c r="BU179" s="8"/>
      <c r="BV179" s="8"/>
      <c r="BW179" s="8"/>
      <c r="BX179" s="8"/>
      <c r="BY179" s="8"/>
      <c r="BZ179" s="8"/>
      <c r="CA179" s="8"/>
      <c r="CB179" s="8"/>
      <c r="CC179" s="8"/>
      <c r="CD179" s="8"/>
      <c r="CE179" s="8"/>
      <c r="CF179" s="8"/>
      <c r="CG179" s="8"/>
      <c r="CH179" s="8"/>
      <c r="CI179" s="8"/>
      <c r="CJ179" s="8"/>
      <c r="CK179" s="8"/>
      <c r="CL179" s="8"/>
      <c r="CM179" s="8"/>
      <c r="CN179" s="8"/>
    </row>
    <row r="180" spans="7:92" x14ac:dyDescent="0.35">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c r="BP180" s="8"/>
      <c r="BQ180" s="8"/>
      <c r="BR180" s="8"/>
      <c r="BS180" s="8"/>
      <c r="BT180" s="8"/>
      <c r="BU180" s="8"/>
      <c r="BV180" s="8"/>
      <c r="BW180" s="8"/>
      <c r="BX180" s="8"/>
      <c r="BY180" s="8"/>
      <c r="BZ180" s="8"/>
      <c r="CA180" s="8"/>
      <c r="CB180" s="8"/>
      <c r="CC180" s="8"/>
      <c r="CD180" s="8"/>
      <c r="CE180" s="8"/>
      <c r="CF180" s="8"/>
      <c r="CG180" s="8"/>
      <c r="CH180" s="8"/>
      <c r="CI180" s="8"/>
      <c r="CJ180" s="8"/>
      <c r="CK180" s="8"/>
      <c r="CL180" s="8"/>
      <c r="CM180" s="8"/>
      <c r="CN180" s="8"/>
    </row>
    <row r="181" spans="7:92" x14ac:dyDescent="0.35">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c r="BQ181" s="8"/>
      <c r="BR181" s="8"/>
      <c r="BS181" s="8"/>
      <c r="BT181" s="8"/>
      <c r="BU181" s="8"/>
      <c r="BV181" s="8"/>
      <c r="BW181" s="8"/>
      <c r="BX181" s="8"/>
      <c r="BY181" s="8"/>
      <c r="BZ181" s="8"/>
      <c r="CA181" s="8"/>
      <c r="CB181" s="8"/>
      <c r="CC181" s="8"/>
      <c r="CD181" s="8"/>
      <c r="CE181" s="8"/>
      <c r="CF181" s="8"/>
      <c r="CG181" s="8"/>
      <c r="CH181" s="8"/>
      <c r="CI181" s="8"/>
      <c r="CJ181" s="8"/>
      <c r="CK181" s="8"/>
      <c r="CL181" s="8"/>
      <c r="CM181" s="8"/>
      <c r="CN181" s="8"/>
    </row>
    <row r="182" spans="7:92" x14ac:dyDescent="0.35">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c r="BQ182" s="8"/>
      <c r="BR182" s="8"/>
      <c r="BS182" s="8"/>
      <c r="BT182" s="8"/>
      <c r="BU182" s="8"/>
      <c r="BV182" s="8"/>
      <c r="BW182" s="8"/>
      <c r="BX182" s="8"/>
      <c r="BY182" s="8"/>
      <c r="BZ182" s="8"/>
      <c r="CA182" s="8"/>
      <c r="CB182" s="8"/>
      <c r="CC182" s="8"/>
      <c r="CD182" s="8"/>
      <c r="CE182" s="8"/>
      <c r="CF182" s="8"/>
      <c r="CG182" s="8"/>
      <c r="CH182" s="8"/>
      <c r="CI182" s="8"/>
      <c r="CJ182" s="8"/>
      <c r="CK182" s="8"/>
      <c r="CL182" s="8"/>
      <c r="CM182" s="8"/>
      <c r="CN182" s="8"/>
    </row>
    <row r="183" spans="7:92" x14ac:dyDescent="0.35">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c r="BR183" s="8"/>
      <c r="BS183" s="8"/>
      <c r="BT183" s="8"/>
      <c r="BU183" s="8"/>
      <c r="BV183" s="8"/>
      <c r="BW183" s="8"/>
      <c r="BX183" s="8"/>
      <c r="BY183" s="8"/>
      <c r="BZ183" s="8"/>
      <c r="CA183" s="8"/>
      <c r="CB183" s="8"/>
      <c r="CC183" s="8"/>
      <c r="CD183" s="8"/>
      <c r="CE183" s="8"/>
      <c r="CF183" s="8"/>
      <c r="CG183" s="8"/>
      <c r="CH183" s="8"/>
      <c r="CI183" s="8"/>
      <c r="CJ183" s="8"/>
      <c r="CK183" s="8"/>
      <c r="CL183" s="8"/>
      <c r="CM183" s="8"/>
      <c r="CN183" s="8"/>
    </row>
    <row r="184" spans="7:92" x14ac:dyDescent="0.35">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c r="BQ184" s="8"/>
      <c r="BR184" s="8"/>
      <c r="BS184" s="8"/>
      <c r="BT184" s="8"/>
      <c r="BU184" s="8"/>
      <c r="BV184" s="8"/>
      <c r="BW184" s="8"/>
      <c r="BX184" s="8"/>
      <c r="BY184" s="8"/>
      <c r="BZ184" s="8"/>
      <c r="CA184" s="8"/>
      <c r="CB184" s="8"/>
      <c r="CC184" s="8"/>
      <c r="CD184" s="8"/>
      <c r="CE184" s="8"/>
      <c r="CF184" s="8"/>
      <c r="CG184" s="8"/>
      <c r="CH184" s="8"/>
      <c r="CI184" s="8"/>
      <c r="CJ184" s="8"/>
      <c r="CK184" s="8"/>
      <c r="CL184" s="8"/>
      <c r="CM184" s="8"/>
      <c r="CN184" s="8"/>
    </row>
    <row r="185" spans="7:92" x14ac:dyDescent="0.35">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8"/>
      <c r="BT185" s="8"/>
      <c r="BU185" s="8"/>
      <c r="BV185" s="8"/>
      <c r="BW185" s="8"/>
      <c r="BX185" s="8"/>
      <c r="BY185" s="8"/>
      <c r="BZ185" s="8"/>
      <c r="CA185" s="8"/>
      <c r="CB185" s="8"/>
      <c r="CC185" s="8"/>
      <c r="CD185" s="8"/>
      <c r="CE185" s="8"/>
      <c r="CF185" s="8"/>
      <c r="CG185" s="8"/>
      <c r="CH185" s="8"/>
      <c r="CI185" s="8"/>
      <c r="CJ185" s="8"/>
      <c r="CK185" s="8"/>
      <c r="CL185" s="8"/>
      <c r="CM185" s="8"/>
      <c r="CN185" s="8"/>
    </row>
    <row r="186" spans="7:92" x14ac:dyDescent="0.35">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8"/>
      <c r="BR186" s="8"/>
      <c r="BS186" s="8"/>
      <c r="BT186" s="8"/>
      <c r="BU186" s="8"/>
      <c r="BV186" s="8"/>
      <c r="BW186" s="8"/>
      <c r="BX186" s="8"/>
      <c r="BY186" s="8"/>
      <c r="BZ186" s="8"/>
      <c r="CA186" s="8"/>
      <c r="CB186" s="8"/>
      <c r="CC186" s="8"/>
      <c r="CD186" s="8"/>
      <c r="CE186" s="8"/>
      <c r="CF186" s="8"/>
      <c r="CG186" s="8"/>
      <c r="CH186" s="8"/>
      <c r="CI186" s="8"/>
      <c r="CJ186" s="8"/>
      <c r="CK186" s="8"/>
      <c r="CL186" s="8"/>
      <c r="CM186" s="8"/>
      <c r="CN186" s="8"/>
    </row>
    <row r="187" spans="7:92" x14ac:dyDescent="0.35">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c r="BQ187" s="8"/>
      <c r="BR187" s="8"/>
      <c r="BS187" s="8"/>
      <c r="BT187" s="8"/>
      <c r="BU187" s="8"/>
      <c r="BV187" s="8"/>
      <c r="BW187" s="8"/>
      <c r="BX187" s="8"/>
      <c r="BY187" s="8"/>
      <c r="BZ187" s="8"/>
      <c r="CA187" s="8"/>
      <c r="CB187" s="8"/>
      <c r="CC187" s="8"/>
      <c r="CD187" s="8"/>
      <c r="CE187" s="8"/>
      <c r="CF187" s="8"/>
      <c r="CG187" s="8"/>
      <c r="CH187" s="8"/>
      <c r="CI187" s="8"/>
      <c r="CJ187" s="8"/>
      <c r="CK187" s="8"/>
      <c r="CL187" s="8"/>
      <c r="CM187" s="8"/>
      <c r="CN187" s="8"/>
    </row>
    <row r="188" spans="7:92" x14ac:dyDescent="0.35">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8"/>
      <c r="BT188" s="8"/>
      <c r="BU188" s="8"/>
      <c r="BV188" s="8"/>
      <c r="BW188" s="8"/>
      <c r="BX188" s="8"/>
      <c r="BY188" s="8"/>
      <c r="BZ188" s="8"/>
      <c r="CA188" s="8"/>
      <c r="CB188" s="8"/>
      <c r="CC188" s="8"/>
      <c r="CD188" s="8"/>
      <c r="CE188" s="8"/>
      <c r="CF188" s="8"/>
      <c r="CG188" s="8"/>
      <c r="CH188" s="8"/>
      <c r="CI188" s="8"/>
      <c r="CJ188" s="8"/>
      <c r="CK188" s="8"/>
      <c r="CL188" s="8"/>
      <c r="CM188" s="8"/>
      <c r="CN188" s="8"/>
    </row>
    <row r="189" spans="7:92" x14ac:dyDescent="0.35">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c r="BQ189" s="8"/>
      <c r="BR189" s="8"/>
      <c r="BS189" s="8"/>
      <c r="BT189" s="8"/>
      <c r="BU189" s="8"/>
      <c r="BV189" s="8"/>
      <c r="BW189" s="8"/>
      <c r="BX189" s="8"/>
      <c r="BY189" s="8"/>
      <c r="BZ189" s="8"/>
      <c r="CA189" s="8"/>
      <c r="CB189" s="8"/>
      <c r="CC189" s="8"/>
      <c r="CD189" s="8"/>
      <c r="CE189" s="8"/>
      <c r="CF189" s="8"/>
      <c r="CG189" s="8"/>
      <c r="CH189" s="8"/>
      <c r="CI189" s="8"/>
      <c r="CJ189" s="8"/>
      <c r="CK189" s="8"/>
      <c r="CL189" s="8"/>
      <c r="CM189" s="8"/>
      <c r="CN189" s="8"/>
    </row>
    <row r="190" spans="7:92" x14ac:dyDescent="0.35">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c r="BQ190" s="8"/>
      <c r="BR190" s="8"/>
      <c r="BS190" s="8"/>
      <c r="BT190" s="8"/>
      <c r="BU190" s="8"/>
      <c r="BV190" s="8"/>
      <c r="BW190" s="8"/>
      <c r="BX190" s="8"/>
      <c r="BY190" s="8"/>
      <c r="BZ190" s="8"/>
      <c r="CA190" s="8"/>
      <c r="CB190" s="8"/>
      <c r="CC190" s="8"/>
      <c r="CD190" s="8"/>
      <c r="CE190" s="8"/>
      <c r="CF190" s="8"/>
      <c r="CG190" s="8"/>
      <c r="CH190" s="8"/>
      <c r="CI190" s="8"/>
      <c r="CJ190" s="8"/>
      <c r="CK190" s="8"/>
      <c r="CL190" s="8"/>
      <c r="CM190" s="8"/>
      <c r="CN190" s="8"/>
    </row>
    <row r="191" spans="7:92" x14ac:dyDescent="0.35">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c r="BP191" s="8"/>
      <c r="BQ191" s="8"/>
      <c r="BR191" s="8"/>
      <c r="BS191" s="8"/>
      <c r="BT191" s="8"/>
      <c r="BU191" s="8"/>
      <c r="BV191" s="8"/>
      <c r="BW191" s="8"/>
      <c r="BX191" s="8"/>
      <c r="BY191" s="8"/>
      <c r="BZ191" s="8"/>
      <c r="CA191" s="8"/>
      <c r="CB191" s="8"/>
      <c r="CC191" s="8"/>
      <c r="CD191" s="8"/>
      <c r="CE191" s="8"/>
      <c r="CF191" s="8"/>
      <c r="CG191" s="8"/>
      <c r="CH191" s="8"/>
      <c r="CI191" s="8"/>
      <c r="CJ191" s="8"/>
      <c r="CK191" s="8"/>
      <c r="CL191" s="8"/>
      <c r="CM191" s="8"/>
      <c r="CN191" s="8"/>
    </row>
    <row r="192" spans="7:92" x14ac:dyDescent="0.35">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c r="BP192" s="8"/>
      <c r="BQ192" s="8"/>
      <c r="BR192" s="8"/>
      <c r="BS192" s="8"/>
      <c r="BT192" s="8"/>
      <c r="BU192" s="8"/>
      <c r="BV192" s="8"/>
      <c r="BW192" s="8"/>
      <c r="BX192" s="8"/>
      <c r="BY192" s="8"/>
      <c r="BZ192" s="8"/>
      <c r="CA192" s="8"/>
      <c r="CB192" s="8"/>
      <c r="CC192" s="8"/>
      <c r="CD192" s="8"/>
      <c r="CE192" s="8"/>
      <c r="CF192" s="8"/>
      <c r="CG192" s="8"/>
      <c r="CH192" s="8"/>
      <c r="CI192" s="8"/>
      <c r="CJ192" s="8"/>
      <c r="CK192" s="8"/>
      <c r="CL192" s="8"/>
      <c r="CM192" s="8"/>
      <c r="CN192" s="8"/>
    </row>
    <row r="193" spans="7:92" x14ac:dyDescent="0.35">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c r="BQ193" s="8"/>
      <c r="BR193" s="8"/>
      <c r="BS193" s="8"/>
      <c r="BT193" s="8"/>
      <c r="BU193" s="8"/>
      <c r="BV193" s="8"/>
      <c r="BW193" s="8"/>
      <c r="BX193" s="8"/>
      <c r="BY193" s="8"/>
      <c r="BZ193" s="8"/>
      <c r="CA193" s="8"/>
      <c r="CB193" s="8"/>
      <c r="CC193" s="8"/>
      <c r="CD193" s="8"/>
      <c r="CE193" s="8"/>
      <c r="CF193" s="8"/>
      <c r="CG193" s="8"/>
      <c r="CH193" s="8"/>
      <c r="CI193" s="8"/>
      <c r="CJ193" s="8"/>
      <c r="CK193" s="8"/>
      <c r="CL193" s="8"/>
      <c r="CM193" s="8"/>
      <c r="CN193" s="8"/>
    </row>
    <row r="194" spans="7:92" x14ac:dyDescent="0.35">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8"/>
      <c r="BO194" s="8"/>
      <c r="BP194" s="8"/>
      <c r="BQ194" s="8"/>
      <c r="BR194" s="8"/>
      <c r="BS194" s="8"/>
      <c r="BT194" s="8"/>
      <c r="BU194" s="8"/>
      <c r="BV194" s="8"/>
      <c r="BW194" s="8"/>
      <c r="BX194" s="8"/>
      <c r="BY194" s="8"/>
      <c r="BZ194" s="8"/>
      <c r="CA194" s="8"/>
      <c r="CB194" s="8"/>
      <c r="CC194" s="8"/>
      <c r="CD194" s="8"/>
      <c r="CE194" s="8"/>
      <c r="CF194" s="8"/>
      <c r="CG194" s="8"/>
      <c r="CH194" s="8"/>
      <c r="CI194" s="8"/>
      <c r="CJ194" s="8"/>
      <c r="CK194" s="8"/>
      <c r="CL194" s="8"/>
      <c r="CM194" s="8"/>
      <c r="CN194" s="8"/>
    </row>
    <row r="195" spans="7:92" x14ac:dyDescent="0.35">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c r="BQ195" s="8"/>
      <c r="BR195" s="8"/>
      <c r="BS195" s="8"/>
      <c r="BT195" s="8"/>
      <c r="BU195" s="8"/>
      <c r="BV195" s="8"/>
      <c r="BW195" s="8"/>
      <c r="BX195" s="8"/>
      <c r="BY195" s="8"/>
      <c r="BZ195" s="8"/>
      <c r="CA195" s="8"/>
      <c r="CB195" s="8"/>
      <c r="CC195" s="8"/>
      <c r="CD195" s="8"/>
      <c r="CE195" s="8"/>
      <c r="CF195" s="8"/>
      <c r="CG195" s="8"/>
      <c r="CH195" s="8"/>
      <c r="CI195" s="8"/>
      <c r="CJ195" s="8"/>
      <c r="CK195" s="8"/>
      <c r="CL195" s="8"/>
      <c r="CM195" s="8"/>
      <c r="CN195" s="8"/>
    </row>
    <row r="196" spans="7:92" x14ac:dyDescent="0.35">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c r="BP196" s="8"/>
      <c r="BQ196" s="8"/>
      <c r="BR196" s="8"/>
      <c r="BS196" s="8"/>
      <c r="BT196" s="8"/>
      <c r="BU196" s="8"/>
      <c r="BV196" s="8"/>
      <c r="BW196" s="8"/>
      <c r="BX196" s="8"/>
      <c r="BY196" s="8"/>
      <c r="BZ196" s="8"/>
      <c r="CA196" s="8"/>
      <c r="CB196" s="8"/>
      <c r="CC196" s="8"/>
      <c r="CD196" s="8"/>
      <c r="CE196" s="8"/>
      <c r="CF196" s="8"/>
      <c r="CG196" s="8"/>
      <c r="CH196" s="8"/>
      <c r="CI196" s="8"/>
      <c r="CJ196" s="8"/>
      <c r="CK196" s="8"/>
      <c r="CL196" s="8"/>
      <c r="CM196" s="8"/>
      <c r="CN196" s="8"/>
    </row>
    <row r="197" spans="7:92" x14ac:dyDescent="0.35">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c r="BP197" s="8"/>
      <c r="BQ197" s="8"/>
      <c r="BR197" s="8"/>
      <c r="BS197" s="8"/>
      <c r="BT197" s="8"/>
      <c r="BU197" s="8"/>
      <c r="BV197" s="8"/>
      <c r="BW197" s="8"/>
      <c r="BX197" s="8"/>
      <c r="BY197" s="8"/>
      <c r="BZ197" s="8"/>
      <c r="CA197" s="8"/>
      <c r="CB197" s="8"/>
      <c r="CC197" s="8"/>
      <c r="CD197" s="8"/>
      <c r="CE197" s="8"/>
      <c r="CF197" s="8"/>
      <c r="CG197" s="8"/>
      <c r="CH197" s="8"/>
      <c r="CI197" s="8"/>
      <c r="CJ197" s="8"/>
      <c r="CK197" s="8"/>
      <c r="CL197" s="8"/>
      <c r="CM197" s="8"/>
      <c r="CN197" s="8"/>
    </row>
    <row r="198" spans="7:92" x14ac:dyDescent="0.35">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c r="BN198" s="8"/>
      <c r="BO198" s="8"/>
      <c r="BP198" s="8"/>
      <c r="BQ198" s="8"/>
      <c r="BR198" s="8"/>
      <c r="BS198" s="8"/>
      <c r="BT198" s="8"/>
      <c r="BU198" s="8"/>
      <c r="BV198" s="8"/>
      <c r="BW198" s="8"/>
      <c r="BX198" s="8"/>
      <c r="BY198" s="8"/>
      <c r="BZ198" s="8"/>
      <c r="CA198" s="8"/>
      <c r="CB198" s="8"/>
      <c r="CC198" s="8"/>
      <c r="CD198" s="8"/>
      <c r="CE198" s="8"/>
      <c r="CF198" s="8"/>
      <c r="CG198" s="8"/>
      <c r="CH198" s="8"/>
      <c r="CI198" s="8"/>
      <c r="CJ198" s="8"/>
      <c r="CK198" s="8"/>
      <c r="CL198" s="8"/>
      <c r="CM198" s="8"/>
      <c r="CN198" s="8"/>
    </row>
    <row r="199" spans="7:92" x14ac:dyDescent="0.35">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c r="BP199" s="8"/>
      <c r="BQ199" s="8"/>
      <c r="BR199" s="8"/>
      <c r="BS199" s="8"/>
      <c r="BT199" s="8"/>
      <c r="BU199" s="8"/>
      <c r="BV199" s="8"/>
      <c r="BW199" s="8"/>
      <c r="BX199" s="8"/>
      <c r="BY199" s="8"/>
      <c r="BZ199" s="8"/>
      <c r="CA199" s="8"/>
      <c r="CB199" s="8"/>
      <c r="CC199" s="8"/>
      <c r="CD199" s="8"/>
      <c r="CE199" s="8"/>
      <c r="CF199" s="8"/>
      <c r="CG199" s="8"/>
      <c r="CH199" s="8"/>
      <c r="CI199" s="8"/>
      <c r="CJ199" s="8"/>
      <c r="CK199" s="8"/>
      <c r="CL199" s="8"/>
      <c r="CM199" s="8"/>
      <c r="CN199" s="8"/>
    </row>
    <row r="200" spans="7:92" x14ac:dyDescent="0.35">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c r="BQ200" s="8"/>
      <c r="BR200" s="8"/>
      <c r="BS200" s="8"/>
      <c r="BT200" s="8"/>
      <c r="BU200" s="8"/>
      <c r="BV200" s="8"/>
      <c r="BW200" s="8"/>
      <c r="BX200" s="8"/>
      <c r="BY200" s="8"/>
      <c r="BZ200" s="8"/>
      <c r="CA200" s="8"/>
      <c r="CB200" s="8"/>
      <c r="CC200" s="8"/>
      <c r="CD200" s="8"/>
      <c r="CE200" s="8"/>
      <c r="CF200" s="8"/>
      <c r="CG200" s="8"/>
      <c r="CH200" s="8"/>
      <c r="CI200" s="8"/>
      <c r="CJ200" s="8"/>
      <c r="CK200" s="8"/>
      <c r="CL200" s="8"/>
      <c r="CM200" s="8"/>
      <c r="CN200" s="8"/>
    </row>
    <row r="201" spans="7:92" x14ac:dyDescent="0.35">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8"/>
      <c r="BP201" s="8"/>
      <c r="BQ201" s="8"/>
      <c r="BR201" s="8"/>
      <c r="BS201" s="8"/>
      <c r="BT201" s="8"/>
      <c r="BU201" s="8"/>
      <c r="BV201" s="8"/>
      <c r="BW201" s="8"/>
      <c r="BX201" s="8"/>
      <c r="BY201" s="8"/>
      <c r="BZ201" s="8"/>
      <c r="CA201" s="8"/>
      <c r="CB201" s="8"/>
      <c r="CC201" s="8"/>
      <c r="CD201" s="8"/>
      <c r="CE201" s="8"/>
      <c r="CF201" s="8"/>
      <c r="CG201" s="8"/>
      <c r="CH201" s="8"/>
      <c r="CI201" s="8"/>
      <c r="CJ201" s="8"/>
      <c r="CK201" s="8"/>
      <c r="CL201" s="8"/>
      <c r="CM201" s="8"/>
      <c r="CN201" s="8"/>
    </row>
    <row r="202" spans="7:92" x14ac:dyDescent="0.35">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c r="BQ202" s="8"/>
      <c r="BR202" s="8"/>
      <c r="BS202" s="8"/>
      <c r="BT202" s="8"/>
      <c r="BU202" s="8"/>
      <c r="BV202" s="8"/>
      <c r="BW202" s="8"/>
      <c r="BX202" s="8"/>
      <c r="BY202" s="8"/>
      <c r="BZ202" s="8"/>
      <c r="CA202" s="8"/>
      <c r="CB202" s="8"/>
      <c r="CC202" s="8"/>
      <c r="CD202" s="8"/>
      <c r="CE202" s="8"/>
      <c r="CF202" s="8"/>
      <c r="CG202" s="8"/>
      <c r="CH202" s="8"/>
      <c r="CI202" s="8"/>
      <c r="CJ202" s="8"/>
      <c r="CK202" s="8"/>
      <c r="CL202" s="8"/>
      <c r="CM202" s="8"/>
      <c r="CN202" s="8"/>
    </row>
    <row r="203" spans="7:92" x14ac:dyDescent="0.35">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8"/>
      <c r="BT203" s="8"/>
      <c r="BU203" s="8"/>
      <c r="BV203" s="8"/>
      <c r="BW203" s="8"/>
      <c r="BX203" s="8"/>
      <c r="BY203" s="8"/>
      <c r="BZ203" s="8"/>
      <c r="CA203" s="8"/>
      <c r="CB203" s="8"/>
      <c r="CC203" s="8"/>
      <c r="CD203" s="8"/>
      <c r="CE203" s="8"/>
      <c r="CF203" s="8"/>
      <c r="CG203" s="8"/>
      <c r="CH203" s="8"/>
      <c r="CI203" s="8"/>
      <c r="CJ203" s="8"/>
      <c r="CK203" s="8"/>
      <c r="CL203" s="8"/>
      <c r="CM203" s="8"/>
      <c r="CN203" s="8"/>
    </row>
    <row r="204" spans="7:92" x14ac:dyDescent="0.35">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c r="BU204" s="8"/>
      <c r="BV204" s="8"/>
      <c r="BW204" s="8"/>
      <c r="BX204" s="8"/>
      <c r="BY204" s="8"/>
      <c r="BZ204" s="8"/>
      <c r="CA204" s="8"/>
      <c r="CB204" s="8"/>
      <c r="CC204" s="8"/>
      <c r="CD204" s="8"/>
      <c r="CE204" s="8"/>
      <c r="CF204" s="8"/>
      <c r="CG204" s="8"/>
      <c r="CH204" s="8"/>
      <c r="CI204" s="8"/>
      <c r="CJ204" s="8"/>
      <c r="CK204" s="8"/>
      <c r="CL204" s="8"/>
      <c r="CM204" s="8"/>
      <c r="CN204" s="8"/>
    </row>
    <row r="205" spans="7:92" x14ac:dyDescent="0.35">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c r="BP205" s="8"/>
      <c r="BQ205" s="8"/>
      <c r="BR205" s="8"/>
      <c r="BS205" s="8"/>
      <c r="BT205" s="8"/>
      <c r="BU205" s="8"/>
      <c r="BV205" s="8"/>
      <c r="BW205" s="8"/>
      <c r="BX205" s="8"/>
      <c r="BY205" s="8"/>
      <c r="BZ205" s="8"/>
      <c r="CA205" s="8"/>
      <c r="CB205" s="8"/>
      <c r="CC205" s="8"/>
      <c r="CD205" s="8"/>
      <c r="CE205" s="8"/>
      <c r="CF205" s="8"/>
      <c r="CG205" s="8"/>
      <c r="CH205" s="8"/>
      <c r="CI205" s="8"/>
      <c r="CJ205" s="8"/>
      <c r="CK205" s="8"/>
      <c r="CL205" s="8"/>
      <c r="CM205" s="8"/>
      <c r="CN205" s="8"/>
    </row>
    <row r="206" spans="7:92" x14ac:dyDescent="0.35">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c r="BP206" s="8"/>
      <c r="BQ206" s="8"/>
      <c r="BR206" s="8"/>
      <c r="BS206" s="8"/>
      <c r="BT206" s="8"/>
      <c r="BU206" s="8"/>
      <c r="BV206" s="8"/>
      <c r="BW206" s="8"/>
      <c r="BX206" s="8"/>
      <c r="BY206" s="8"/>
      <c r="BZ206" s="8"/>
      <c r="CA206" s="8"/>
      <c r="CB206" s="8"/>
      <c r="CC206" s="8"/>
      <c r="CD206" s="8"/>
      <c r="CE206" s="8"/>
      <c r="CF206" s="8"/>
      <c r="CG206" s="8"/>
      <c r="CH206" s="8"/>
      <c r="CI206" s="8"/>
      <c r="CJ206" s="8"/>
      <c r="CK206" s="8"/>
      <c r="CL206" s="8"/>
      <c r="CM206" s="8"/>
      <c r="CN206" s="8"/>
    </row>
    <row r="207" spans="7:92" x14ac:dyDescent="0.35">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8"/>
      <c r="BO207" s="8"/>
      <c r="BP207" s="8"/>
      <c r="BQ207" s="8"/>
      <c r="BR207" s="8"/>
      <c r="BS207" s="8"/>
      <c r="BT207" s="8"/>
      <c r="BU207" s="8"/>
      <c r="BV207" s="8"/>
      <c r="BW207" s="8"/>
      <c r="BX207" s="8"/>
      <c r="BY207" s="8"/>
      <c r="BZ207" s="8"/>
      <c r="CA207" s="8"/>
      <c r="CB207" s="8"/>
      <c r="CC207" s="8"/>
      <c r="CD207" s="8"/>
      <c r="CE207" s="8"/>
      <c r="CF207" s="8"/>
      <c r="CG207" s="8"/>
      <c r="CH207" s="8"/>
      <c r="CI207" s="8"/>
      <c r="CJ207" s="8"/>
      <c r="CK207" s="8"/>
      <c r="CL207" s="8"/>
      <c r="CM207" s="8"/>
      <c r="CN207" s="8"/>
    </row>
    <row r="208" spans="7:92" x14ac:dyDescent="0.35">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c r="BP208" s="8"/>
      <c r="BQ208" s="8"/>
      <c r="BR208" s="8"/>
      <c r="BS208" s="8"/>
      <c r="BT208" s="8"/>
      <c r="BU208" s="8"/>
      <c r="BV208" s="8"/>
      <c r="BW208" s="8"/>
      <c r="BX208" s="8"/>
      <c r="BY208" s="8"/>
      <c r="BZ208" s="8"/>
      <c r="CA208" s="8"/>
      <c r="CB208" s="8"/>
      <c r="CC208" s="8"/>
      <c r="CD208" s="8"/>
      <c r="CE208" s="8"/>
      <c r="CF208" s="8"/>
      <c r="CG208" s="8"/>
      <c r="CH208" s="8"/>
      <c r="CI208" s="8"/>
      <c r="CJ208" s="8"/>
      <c r="CK208" s="8"/>
      <c r="CL208" s="8"/>
      <c r="CM208" s="8"/>
      <c r="CN208" s="8"/>
    </row>
    <row r="209" spans="7:92" x14ac:dyDescent="0.35">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c r="BN209" s="8"/>
      <c r="BO209" s="8"/>
      <c r="BP209" s="8"/>
      <c r="BQ209" s="8"/>
      <c r="BR209" s="8"/>
      <c r="BS209" s="8"/>
      <c r="BT209" s="8"/>
      <c r="BU209" s="8"/>
      <c r="BV209" s="8"/>
      <c r="BW209" s="8"/>
      <c r="BX209" s="8"/>
      <c r="BY209" s="8"/>
      <c r="BZ209" s="8"/>
      <c r="CA209" s="8"/>
      <c r="CB209" s="8"/>
      <c r="CC209" s="8"/>
      <c r="CD209" s="8"/>
      <c r="CE209" s="8"/>
      <c r="CF209" s="8"/>
      <c r="CG209" s="8"/>
      <c r="CH209" s="8"/>
      <c r="CI209" s="8"/>
      <c r="CJ209" s="8"/>
      <c r="CK209" s="8"/>
      <c r="CL209" s="8"/>
      <c r="CM209" s="8"/>
      <c r="CN209" s="8"/>
    </row>
    <row r="210" spans="7:92" x14ac:dyDescent="0.35">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c r="BN210" s="8"/>
      <c r="BO210" s="8"/>
      <c r="BP210" s="8"/>
      <c r="BQ210" s="8"/>
      <c r="BR210" s="8"/>
      <c r="BS210" s="8"/>
      <c r="BT210" s="8"/>
      <c r="BU210" s="8"/>
      <c r="BV210" s="8"/>
      <c r="BW210" s="8"/>
      <c r="BX210" s="8"/>
      <c r="BY210" s="8"/>
      <c r="BZ210" s="8"/>
      <c r="CA210" s="8"/>
      <c r="CB210" s="8"/>
      <c r="CC210" s="8"/>
      <c r="CD210" s="8"/>
      <c r="CE210" s="8"/>
      <c r="CF210" s="8"/>
      <c r="CG210" s="8"/>
      <c r="CH210" s="8"/>
      <c r="CI210" s="8"/>
      <c r="CJ210" s="8"/>
      <c r="CK210" s="8"/>
      <c r="CL210" s="8"/>
      <c r="CM210" s="8"/>
      <c r="CN210" s="8"/>
    </row>
    <row r="211" spans="7:92" x14ac:dyDescent="0.35">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8"/>
      <c r="BO211" s="8"/>
      <c r="BP211" s="8"/>
      <c r="BQ211" s="8"/>
      <c r="BR211" s="8"/>
      <c r="BS211" s="8"/>
      <c r="BT211" s="8"/>
      <c r="BU211" s="8"/>
      <c r="BV211" s="8"/>
      <c r="BW211" s="8"/>
      <c r="BX211" s="8"/>
      <c r="BY211" s="8"/>
      <c r="BZ211" s="8"/>
      <c r="CA211" s="8"/>
      <c r="CB211" s="8"/>
      <c r="CC211" s="8"/>
      <c r="CD211" s="8"/>
      <c r="CE211" s="8"/>
      <c r="CF211" s="8"/>
      <c r="CG211" s="8"/>
      <c r="CH211" s="8"/>
      <c r="CI211" s="8"/>
      <c r="CJ211" s="8"/>
      <c r="CK211" s="8"/>
      <c r="CL211" s="8"/>
      <c r="CM211" s="8"/>
      <c r="CN211" s="8"/>
    </row>
    <row r="212" spans="7:92" x14ac:dyDescent="0.35">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c r="BO212" s="8"/>
      <c r="BP212" s="8"/>
      <c r="BQ212" s="8"/>
      <c r="BR212" s="8"/>
      <c r="BS212" s="8"/>
      <c r="BT212" s="8"/>
      <c r="BU212" s="8"/>
      <c r="BV212" s="8"/>
      <c r="BW212" s="8"/>
      <c r="BX212" s="8"/>
      <c r="BY212" s="8"/>
      <c r="BZ212" s="8"/>
      <c r="CA212" s="8"/>
      <c r="CB212" s="8"/>
      <c r="CC212" s="8"/>
      <c r="CD212" s="8"/>
      <c r="CE212" s="8"/>
      <c r="CF212" s="8"/>
      <c r="CG212" s="8"/>
      <c r="CH212" s="8"/>
      <c r="CI212" s="8"/>
      <c r="CJ212" s="8"/>
      <c r="CK212" s="8"/>
      <c r="CL212" s="8"/>
      <c r="CM212" s="8"/>
      <c r="CN212" s="8"/>
    </row>
    <row r="213" spans="7:92" x14ac:dyDescent="0.35">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8"/>
      <c r="BP213" s="8"/>
      <c r="BQ213" s="8"/>
      <c r="BR213" s="8"/>
      <c r="BS213" s="8"/>
      <c r="BT213" s="8"/>
      <c r="BU213" s="8"/>
      <c r="BV213" s="8"/>
      <c r="BW213" s="8"/>
      <c r="BX213" s="8"/>
      <c r="BY213" s="8"/>
      <c r="BZ213" s="8"/>
      <c r="CA213" s="8"/>
      <c r="CB213" s="8"/>
      <c r="CC213" s="8"/>
      <c r="CD213" s="8"/>
      <c r="CE213" s="8"/>
      <c r="CF213" s="8"/>
      <c r="CG213" s="8"/>
      <c r="CH213" s="8"/>
      <c r="CI213" s="8"/>
      <c r="CJ213" s="8"/>
      <c r="CK213" s="8"/>
      <c r="CL213" s="8"/>
      <c r="CM213" s="8"/>
      <c r="CN213" s="8"/>
    </row>
    <row r="214" spans="7:92" x14ac:dyDescent="0.35">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8"/>
      <c r="BO214" s="8"/>
      <c r="BP214" s="8"/>
      <c r="BQ214" s="8"/>
      <c r="BR214" s="8"/>
      <c r="BS214" s="8"/>
      <c r="BT214" s="8"/>
      <c r="BU214" s="8"/>
      <c r="BV214" s="8"/>
      <c r="BW214" s="8"/>
      <c r="BX214" s="8"/>
      <c r="BY214" s="8"/>
      <c r="BZ214" s="8"/>
      <c r="CA214" s="8"/>
      <c r="CB214" s="8"/>
      <c r="CC214" s="8"/>
      <c r="CD214" s="8"/>
      <c r="CE214" s="8"/>
      <c r="CF214" s="8"/>
      <c r="CG214" s="8"/>
      <c r="CH214" s="8"/>
      <c r="CI214" s="8"/>
      <c r="CJ214" s="8"/>
      <c r="CK214" s="8"/>
      <c r="CL214" s="8"/>
      <c r="CM214" s="8"/>
      <c r="CN214" s="8"/>
    </row>
    <row r="215" spans="7:92" x14ac:dyDescent="0.35">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8"/>
      <c r="BO215" s="8"/>
      <c r="BP215" s="8"/>
      <c r="BQ215" s="8"/>
      <c r="BR215" s="8"/>
      <c r="BS215" s="8"/>
      <c r="BT215" s="8"/>
      <c r="BU215" s="8"/>
      <c r="BV215" s="8"/>
      <c r="BW215" s="8"/>
      <c r="BX215" s="8"/>
      <c r="BY215" s="8"/>
      <c r="BZ215" s="8"/>
      <c r="CA215" s="8"/>
      <c r="CB215" s="8"/>
      <c r="CC215" s="8"/>
      <c r="CD215" s="8"/>
      <c r="CE215" s="8"/>
      <c r="CF215" s="8"/>
      <c r="CG215" s="8"/>
      <c r="CH215" s="8"/>
      <c r="CI215" s="8"/>
      <c r="CJ215" s="8"/>
      <c r="CK215" s="8"/>
      <c r="CL215" s="8"/>
      <c r="CM215" s="8"/>
      <c r="CN215" s="8"/>
    </row>
    <row r="216" spans="7:92" x14ac:dyDescent="0.35">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c r="BP216" s="8"/>
      <c r="BQ216" s="8"/>
      <c r="BR216" s="8"/>
      <c r="BS216" s="8"/>
      <c r="BT216" s="8"/>
      <c r="BU216" s="8"/>
      <c r="BV216" s="8"/>
      <c r="BW216" s="8"/>
      <c r="BX216" s="8"/>
      <c r="BY216" s="8"/>
      <c r="BZ216" s="8"/>
      <c r="CA216" s="8"/>
      <c r="CB216" s="8"/>
      <c r="CC216" s="8"/>
      <c r="CD216" s="8"/>
      <c r="CE216" s="8"/>
      <c r="CF216" s="8"/>
      <c r="CG216" s="8"/>
      <c r="CH216" s="8"/>
      <c r="CI216" s="8"/>
      <c r="CJ216" s="8"/>
      <c r="CK216" s="8"/>
      <c r="CL216" s="8"/>
      <c r="CM216" s="8"/>
      <c r="CN216" s="8"/>
    </row>
    <row r="217" spans="7:92" x14ac:dyDescent="0.35">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c r="BP217" s="8"/>
      <c r="BQ217" s="8"/>
      <c r="BR217" s="8"/>
      <c r="BS217" s="8"/>
      <c r="BT217" s="8"/>
      <c r="BU217" s="8"/>
      <c r="BV217" s="8"/>
      <c r="BW217" s="8"/>
      <c r="BX217" s="8"/>
      <c r="BY217" s="8"/>
      <c r="BZ217" s="8"/>
      <c r="CA217" s="8"/>
      <c r="CB217" s="8"/>
      <c r="CC217" s="8"/>
      <c r="CD217" s="8"/>
      <c r="CE217" s="8"/>
      <c r="CF217" s="8"/>
      <c r="CG217" s="8"/>
      <c r="CH217" s="8"/>
      <c r="CI217" s="8"/>
      <c r="CJ217" s="8"/>
      <c r="CK217" s="8"/>
      <c r="CL217" s="8"/>
      <c r="CM217" s="8"/>
      <c r="CN217" s="8"/>
    </row>
    <row r="218" spans="7:92" x14ac:dyDescent="0.35">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c r="BP218" s="8"/>
      <c r="BQ218" s="8"/>
      <c r="BR218" s="8"/>
      <c r="BS218" s="8"/>
      <c r="BT218" s="8"/>
      <c r="BU218" s="8"/>
      <c r="BV218" s="8"/>
      <c r="BW218" s="8"/>
      <c r="BX218" s="8"/>
      <c r="BY218" s="8"/>
      <c r="BZ218" s="8"/>
      <c r="CA218" s="8"/>
      <c r="CB218" s="8"/>
      <c r="CC218" s="8"/>
      <c r="CD218" s="8"/>
      <c r="CE218" s="8"/>
      <c r="CF218" s="8"/>
      <c r="CG218" s="8"/>
      <c r="CH218" s="8"/>
      <c r="CI218" s="8"/>
      <c r="CJ218" s="8"/>
      <c r="CK218" s="8"/>
      <c r="CL218" s="8"/>
      <c r="CM218" s="8"/>
      <c r="CN218" s="8"/>
    </row>
    <row r="219" spans="7:92" x14ac:dyDescent="0.35">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c r="BP219" s="8"/>
      <c r="BQ219" s="8"/>
      <c r="BR219" s="8"/>
      <c r="BS219" s="8"/>
      <c r="BT219" s="8"/>
      <c r="BU219" s="8"/>
      <c r="BV219" s="8"/>
      <c r="BW219" s="8"/>
      <c r="BX219" s="8"/>
      <c r="BY219" s="8"/>
      <c r="BZ219" s="8"/>
      <c r="CA219" s="8"/>
      <c r="CB219" s="8"/>
      <c r="CC219" s="8"/>
      <c r="CD219" s="8"/>
      <c r="CE219" s="8"/>
      <c r="CF219" s="8"/>
      <c r="CG219" s="8"/>
      <c r="CH219" s="8"/>
      <c r="CI219" s="8"/>
      <c r="CJ219" s="8"/>
      <c r="CK219" s="8"/>
      <c r="CL219" s="8"/>
      <c r="CM219" s="8"/>
      <c r="CN219" s="8"/>
    </row>
    <row r="220" spans="7:92" x14ac:dyDescent="0.35">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c r="BQ220" s="8"/>
      <c r="BR220" s="8"/>
      <c r="BS220" s="8"/>
      <c r="BT220" s="8"/>
      <c r="BU220" s="8"/>
      <c r="BV220" s="8"/>
      <c r="BW220" s="8"/>
      <c r="BX220" s="8"/>
      <c r="BY220" s="8"/>
      <c r="BZ220" s="8"/>
      <c r="CA220" s="8"/>
      <c r="CB220" s="8"/>
      <c r="CC220" s="8"/>
      <c r="CD220" s="8"/>
      <c r="CE220" s="8"/>
      <c r="CF220" s="8"/>
      <c r="CG220" s="8"/>
      <c r="CH220" s="8"/>
      <c r="CI220" s="8"/>
      <c r="CJ220" s="8"/>
      <c r="CK220" s="8"/>
      <c r="CL220" s="8"/>
      <c r="CM220" s="8"/>
      <c r="CN220" s="8"/>
    </row>
    <row r="221" spans="7:92" x14ac:dyDescent="0.35">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8"/>
      <c r="BR221" s="8"/>
      <c r="BS221" s="8"/>
      <c r="BT221" s="8"/>
      <c r="BU221" s="8"/>
      <c r="BV221" s="8"/>
      <c r="BW221" s="8"/>
      <c r="BX221" s="8"/>
      <c r="BY221" s="8"/>
      <c r="BZ221" s="8"/>
      <c r="CA221" s="8"/>
      <c r="CB221" s="8"/>
      <c r="CC221" s="8"/>
      <c r="CD221" s="8"/>
      <c r="CE221" s="8"/>
      <c r="CF221" s="8"/>
      <c r="CG221" s="8"/>
      <c r="CH221" s="8"/>
      <c r="CI221" s="8"/>
      <c r="CJ221" s="8"/>
      <c r="CK221" s="8"/>
      <c r="CL221" s="8"/>
      <c r="CM221" s="8"/>
      <c r="CN221" s="8"/>
    </row>
    <row r="222" spans="7:92" x14ac:dyDescent="0.35">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c r="BP222" s="8"/>
      <c r="BQ222" s="8"/>
      <c r="BR222" s="8"/>
      <c r="BS222" s="8"/>
      <c r="BT222" s="8"/>
      <c r="BU222" s="8"/>
      <c r="BV222" s="8"/>
      <c r="BW222" s="8"/>
      <c r="BX222" s="8"/>
      <c r="BY222" s="8"/>
      <c r="BZ222" s="8"/>
      <c r="CA222" s="8"/>
      <c r="CB222" s="8"/>
      <c r="CC222" s="8"/>
      <c r="CD222" s="8"/>
      <c r="CE222" s="8"/>
      <c r="CF222" s="8"/>
      <c r="CG222" s="8"/>
      <c r="CH222" s="8"/>
      <c r="CI222" s="8"/>
      <c r="CJ222" s="8"/>
      <c r="CK222" s="8"/>
      <c r="CL222" s="8"/>
      <c r="CM222" s="8"/>
      <c r="CN222" s="8"/>
    </row>
    <row r="223" spans="7:92" x14ac:dyDescent="0.35">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c r="BU223" s="8"/>
      <c r="BV223" s="8"/>
      <c r="BW223" s="8"/>
      <c r="BX223" s="8"/>
      <c r="BY223" s="8"/>
      <c r="BZ223" s="8"/>
      <c r="CA223" s="8"/>
      <c r="CB223" s="8"/>
      <c r="CC223" s="8"/>
      <c r="CD223" s="8"/>
      <c r="CE223" s="8"/>
      <c r="CF223" s="8"/>
      <c r="CG223" s="8"/>
      <c r="CH223" s="8"/>
      <c r="CI223" s="8"/>
      <c r="CJ223" s="8"/>
      <c r="CK223" s="8"/>
      <c r="CL223" s="8"/>
      <c r="CM223" s="8"/>
      <c r="CN223" s="8"/>
    </row>
    <row r="224" spans="7:92" x14ac:dyDescent="0.35">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8"/>
      <c r="BR224" s="8"/>
      <c r="BS224" s="8"/>
      <c r="BT224" s="8"/>
      <c r="BU224" s="8"/>
      <c r="BV224" s="8"/>
      <c r="BW224" s="8"/>
      <c r="BX224" s="8"/>
      <c r="BY224" s="8"/>
      <c r="BZ224" s="8"/>
      <c r="CA224" s="8"/>
      <c r="CB224" s="8"/>
      <c r="CC224" s="8"/>
      <c r="CD224" s="8"/>
      <c r="CE224" s="8"/>
      <c r="CF224" s="8"/>
      <c r="CG224" s="8"/>
      <c r="CH224" s="8"/>
      <c r="CI224" s="8"/>
      <c r="CJ224" s="8"/>
      <c r="CK224" s="8"/>
      <c r="CL224" s="8"/>
      <c r="CM224" s="8"/>
      <c r="CN224" s="8"/>
    </row>
    <row r="225" spans="7:92" x14ac:dyDescent="0.35">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c r="BR225" s="8"/>
      <c r="BS225" s="8"/>
      <c r="BT225" s="8"/>
      <c r="BU225" s="8"/>
      <c r="BV225" s="8"/>
      <c r="BW225" s="8"/>
      <c r="BX225" s="8"/>
      <c r="BY225" s="8"/>
      <c r="BZ225" s="8"/>
      <c r="CA225" s="8"/>
      <c r="CB225" s="8"/>
      <c r="CC225" s="8"/>
      <c r="CD225" s="8"/>
      <c r="CE225" s="8"/>
      <c r="CF225" s="8"/>
      <c r="CG225" s="8"/>
      <c r="CH225" s="8"/>
      <c r="CI225" s="8"/>
      <c r="CJ225" s="8"/>
      <c r="CK225" s="8"/>
      <c r="CL225" s="8"/>
      <c r="CM225" s="8"/>
      <c r="CN225" s="8"/>
    </row>
    <row r="226" spans="7:92" x14ac:dyDescent="0.35">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8"/>
      <c r="BT226" s="8"/>
      <c r="BU226" s="8"/>
      <c r="BV226" s="8"/>
      <c r="BW226" s="8"/>
      <c r="BX226" s="8"/>
      <c r="BY226" s="8"/>
      <c r="BZ226" s="8"/>
      <c r="CA226" s="8"/>
      <c r="CB226" s="8"/>
      <c r="CC226" s="8"/>
      <c r="CD226" s="8"/>
      <c r="CE226" s="8"/>
      <c r="CF226" s="8"/>
      <c r="CG226" s="8"/>
      <c r="CH226" s="8"/>
      <c r="CI226" s="8"/>
      <c r="CJ226" s="8"/>
      <c r="CK226" s="8"/>
      <c r="CL226" s="8"/>
      <c r="CM226" s="8"/>
      <c r="CN226" s="8"/>
    </row>
    <row r="227" spans="7:92" x14ac:dyDescent="0.35">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8"/>
      <c r="BT227" s="8"/>
      <c r="BU227" s="8"/>
      <c r="BV227" s="8"/>
      <c r="BW227" s="8"/>
      <c r="BX227" s="8"/>
      <c r="BY227" s="8"/>
      <c r="BZ227" s="8"/>
      <c r="CA227" s="8"/>
      <c r="CB227" s="8"/>
      <c r="CC227" s="8"/>
      <c r="CD227" s="8"/>
      <c r="CE227" s="8"/>
      <c r="CF227" s="8"/>
      <c r="CG227" s="8"/>
      <c r="CH227" s="8"/>
      <c r="CI227" s="8"/>
      <c r="CJ227" s="8"/>
      <c r="CK227" s="8"/>
      <c r="CL227" s="8"/>
      <c r="CM227" s="8"/>
      <c r="CN227" s="8"/>
    </row>
    <row r="228" spans="7:92" x14ac:dyDescent="0.35">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8"/>
      <c r="BT228" s="8"/>
      <c r="BU228" s="8"/>
      <c r="BV228" s="8"/>
      <c r="BW228" s="8"/>
      <c r="BX228" s="8"/>
      <c r="BY228" s="8"/>
      <c r="BZ228" s="8"/>
      <c r="CA228" s="8"/>
      <c r="CB228" s="8"/>
      <c r="CC228" s="8"/>
      <c r="CD228" s="8"/>
      <c r="CE228" s="8"/>
      <c r="CF228" s="8"/>
      <c r="CG228" s="8"/>
      <c r="CH228" s="8"/>
      <c r="CI228" s="8"/>
      <c r="CJ228" s="8"/>
      <c r="CK228" s="8"/>
      <c r="CL228" s="8"/>
      <c r="CM228" s="8"/>
      <c r="CN228" s="8"/>
    </row>
    <row r="229" spans="7:92" x14ac:dyDescent="0.35">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c r="BR229" s="8"/>
      <c r="BS229" s="8"/>
      <c r="BT229" s="8"/>
      <c r="BU229" s="8"/>
      <c r="BV229" s="8"/>
      <c r="BW229" s="8"/>
      <c r="BX229" s="8"/>
      <c r="BY229" s="8"/>
      <c r="BZ229" s="8"/>
      <c r="CA229" s="8"/>
      <c r="CB229" s="8"/>
      <c r="CC229" s="8"/>
      <c r="CD229" s="8"/>
      <c r="CE229" s="8"/>
      <c r="CF229" s="8"/>
      <c r="CG229" s="8"/>
      <c r="CH229" s="8"/>
      <c r="CI229" s="8"/>
      <c r="CJ229" s="8"/>
      <c r="CK229" s="8"/>
      <c r="CL229" s="8"/>
      <c r="CM229" s="8"/>
      <c r="CN229" s="8"/>
    </row>
    <row r="230" spans="7:92" x14ac:dyDescent="0.35">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8"/>
      <c r="BT230" s="8"/>
      <c r="BU230" s="8"/>
      <c r="BV230" s="8"/>
      <c r="BW230" s="8"/>
      <c r="BX230" s="8"/>
      <c r="BY230" s="8"/>
      <c r="BZ230" s="8"/>
      <c r="CA230" s="8"/>
      <c r="CB230" s="8"/>
      <c r="CC230" s="8"/>
      <c r="CD230" s="8"/>
      <c r="CE230" s="8"/>
      <c r="CF230" s="8"/>
      <c r="CG230" s="8"/>
      <c r="CH230" s="8"/>
      <c r="CI230" s="8"/>
      <c r="CJ230" s="8"/>
      <c r="CK230" s="8"/>
      <c r="CL230" s="8"/>
      <c r="CM230" s="8"/>
      <c r="CN230" s="8"/>
    </row>
    <row r="231" spans="7:92" x14ac:dyDescent="0.35">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c r="BP231" s="8"/>
      <c r="BQ231" s="8"/>
      <c r="BR231" s="8"/>
      <c r="BS231" s="8"/>
      <c r="BT231" s="8"/>
      <c r="BU231" s="8"/>
      <c r="BV231" s="8"/>
      <c r="BW231" s="8"/>
      <c r="BX231" s="8"/>
      <c r="BY231" s="8"/>
      <c r="BZ231" s="8"/>
      <c r="CA231" s="8"/>
      <c r="CB231" s="8"/>
      <c r="CC231" s="8"/>
      <c r="CD231" s="8"/>
      <c r="CE231" s="8"/>
      <c r="CF231" s="8"/>
      <c r="CG231" s="8"/>
      <c r="CH231" s="8"/>
      <c r="CI231" s="8"/>
      <c r="CJ231" s="8"/>
      <c r="CK231" s="8"/>
      <c r="CL231" s="8"/>
      <c r="CM231" s="8"/>
      <c r="CN231" s="8"/>
    </row>
    <row r="232" spans="7:92" x14ac:dyDescent="0.35">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c r="BP232" s="8"/>
      <c r="BQ232" s="8"/>
      <c r="BR232" s="8"/>
      <c r="BS232" s="8"/>
      <c r="BT232" s="8"/>
      <c r="BU232" s="8"/>
      <c r="BV232" s="8"/>
      <c r="BW232" s="8"/>
      <c r="BX232" s="8"/>
      <c r="BY232" s="8"/>
      <c r="BZ232" s="8"/>
      <c r="CA232" s="8"/>
      <c r="CB232" s="8"/>
      <c r="CC232" s="8"/>
      <c r="CD232" s="8"/>
      <c r="CE232" s="8"/>
      <c r="CF232" s="8"/>
      <c r="CG232" s="8"/>
      <c r="CH232" s="8"/>
      <c r="CI232" s="8"/>
      <c r="CJ232" s="8"/>
      <c r="CK232" s="8"/>
      <c r="CL232" s="8"/>
      <c r="CM232" s="8"/>
      <c r="CN232" s="8"/>
    </row>
    <row r="233" spans="7:92" x14ac:dyDescent="0.35">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c r="BP233" s="8"/>
      <c r="BQ233" s="8"/>
      <c r="BR233" s="8"/>
      <c r="BS233" s="8"/>
      <c r="BT233" s="8"/>
      <c r="BU233" s="8"/>
      <c r="BV233" s="8"/>
      <c r="BW233" s="8"/>
      <c r="BX233" s="8"/>
      <c r="BY233" s="8"/>
      <c r="BZ233" s="8"/>
      <c r="CA233" s="8"/>
      <c r="CB233" s="8"/>
      <c r="CC233" s="8"/>
      <c r="CD233" s="8"/>
      <c r="CE233" s="8"/>
      <c r="CF233" s="8"/>
      <c r="CG233" s="8"/>
      <c r="CH233" s="8"/>
      <c r="CI233" s="8"/>
      <c r="CJ233" s="8"/>
      <c r="CK233" s="8"/>
      <c r="CL233" s="8"/>
      <c r="CM233" s="8"/>
      <c r="CN233" s="8"/>
    </row>
    <row r="234" spans="7:92" x14ac:dyDescent="0.35">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c r="BP234" s="8"/>
      <c r="BQ234" s="8"/>
      <c r="BR234" s="8"/>
      <c r="BS234" s="8"/>
      <c r="BT234" s="8"/>
      <c r="BU234" s="8"/>
      <c r="BV234" s="8"/>
      <c r="BW234" s="8"/>
      <c r="BX234" s="8"/>
      <c r="BY234" s="8"/>
      <c r="BZ234" s="8"/>
      <c r="CA234" s="8"/>
      <c r="CB234" s="8"/>
      <c r="CC234" s="8"/>
      <c r="CD234" s="8"/>
      <c r="CE234" s="8"/>
      <c r="CF234" s="8"/>
      <c r="CG234" s="8"/>
      <c r="CH234" s="8"/>
      <c r="CI234" s="8"/>
      <c r="CJ234" s="8"/>
      <c r="CK234" s="8"/>
      <c r="CL234" s="8"/>
      <c r="CM234" s="8"/>
      <c r="CN234" s="8"/>
    </row>
    <row r="235" spans="7:92" x14ac:dyDescent="0.35">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c r="BR235" s="8"/>
      <c r="BS235" s="8"/>
      <c r="BT235" s="8"/>
      <c r="BU235" s="8"/>
      <c r="BV235" s="8"/>
      <c r="BW235" s="8"/>
      <c r="BX235" s="8"/>
      <c r="BY235" s="8"/>
      <c r="BZ235" s="8"/>
      <c r="CA235" s="8"/>
      <c r="CB235" s="8"/>
      <c r="CC235" s="8"/>
      <c r="CD235" s="8"/>
      <c r="CE235" s="8"/>
      <c r="CF235" s="8"/>
      <c r="CG235" s="8"/>
      <c r="CH235" s="8"/>
      <c r="CI235" s="8"/>
      <c r="CJ235" s="8"/>
      <c r="CK235" s="8"/>
      <c r="CL235" s="8"/>
      <c r="CM235" s="8"/>
      <c r="CN235" s="8"/>
    </row>
    <row r="236" spans="7:92" x14ac:dyDescent="0.35">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8"/>
      <c r="BR236" s="8"/>
      <c r="BS236" s="8"/>
      <c r="BT236" s="8"/>
      <c r="BU236" s="8"/>
      <c r="BV236" s="8"/>
      <c r="BW236" s="8"/>
      <c r="BX236" s="8"/>
      <c r="BY236" s="8"/>
      <c r="BZ236" s="8"/>
      <c r="CA236" s="8"/>
      <c r="CB236" s="8"/>
      <c r="CC236" s="8"/>
      <c r="CD236" s="8"/>
      <c r="CE236" s="8"/>
      <c r="CF236" s="8"/>
      <c r="CG236" s="8"/>
      <c r="CH236" s="8"/>
      <c r="CI236" s="8"/>
      <c r="CJ236" s="8"/>
      <c r="CK236" s="8"/>
      <c r="CL236" s="8"/>
      <c r="CM236" s="8"/>
      <c r="CN236" s="8"/>
    </row>
    <row r="237" spans="7:92" x14ac:dyDescent="0.35">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8"/>
      <c r="BR237" s="8"/>
      <c r="BS237" s="8"/>
      <c r="BT237" s="8"/>
      <c r="BU237" s="8"/>
      <c r="BV237" s="8"/>
      <c r="BW237" s="8"/>
      <c r="BX237" s="8"/>
      <c r="BY237" s="8"/>
      <c r="BZ237" s="8"/>
      <c r="CA237" s="8"/>
      <c r="CB237" s="8"/>
      <c r="CC237" s="8"/>
      <c r="CD237" s="8"/>
      <c r="CE237" s="8"/>
      <c r="CF237" s="8"/>
      <c r="CG237" s="8"/>
      <c r="CH237" s="8"/>
      <c r="CI237" s="8"/>
      <c r="CJ237" s="8"/>
      <c r="CK237" s="8"/>
      <c r="CL237" s="8"/>
      <c r="CM237" s="8"/>
      <c r="CN237" s="8"/>
    </row>
    <row r="238" spans="7:92" x14ac:dyDescent="0.35">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8"/>
      <c r="BT238" s="8"/>
      <c r="BU238" s="8"/>
      <c r="BV238" s="8"/>
      <c r="BW238" s="8"/>
      <c r="BX238" s="8"/>
      <c r="BY238" s="8"/>
      <c r="BZ238" s="8"/>
      <c r="CA238" s="8"/>
      <c r="CB238" s="8"/>
      <c r="CC238" s="8"/>
      <c r="CD238" s="8"/>
      <c r="CE238" s="8"/>
      <c r="CF238" s="8"/>
      <c r="CG238" s="8"/>
      <c r="CH238" s="8"/>
      <c r="CI238" s="8"/>
      <c r="CJ238" s="8"/>
      <c r="CK238" s="8"/>
      <c r="CL238" s="8"/>
      <c r="CM238" s="8"/>
      <c r="CN238" s="8"/>
    </row>
    <row r="239" spans="7:92" x14ac:dyDescent="0.35">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c r="BT239" s="8"/>
      <c r="BU239" s="8"/>
      <c r="BV239" s="8"/>
      <c r="BW239" s="8"/>
      <c r="BX239" s="8"/>
      <c r="BY239" s="8"/>
      <c r="BZ239" s="8"/>
      <c r="CA239" s="8"/>
      <c r="CB239" s="8"/>
      <c r="CC239" s="8"/>
      <c r="CD239" s="8"/>
      <c r="CE239" s="8"/>
      <c r="CF239" s="8"/>
      <c r="CG239" s="8"/>
      <c r="CH239" s="8"/>
      <c r="CI239" s="8"/>
      <c r="CJ239" s="8"/>
      <c r="CK239" s="8"/>
      <c r="CL239" s="8"/>
      <c r="CM239" s="8"/>
      <c r="CN239" s="8"/>
    </row>
    <row r="240" spans="7:92" x14ac:dyDescent="0.35">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8"/>
      <c r="BR240" s="8"/>
      <c r="BS240" s="8"/>
      <c r="BT240" s="8"/>
      <c r="BU240" s="8"/>
      <c r="BV240" s="8"/>
      <c r="BW240" s="8"/>
      <c r="BX240" s="8"/>
      <c r="BY240" s="8"/>
      <c r="BZ240" s="8"/>
      <c r="CA240" s="8"/>
      <c r="CB240" s="8"/>
      <c r="CC240" s="8"/>
      <c r="CD240" s="8"/>
      <c r="CE240" s="8"/>
      <c r="CF240" s="8"/>
      <c r="CG240" s="8"/>
      <c r="CH240" s="8"/>
      <c r="CI240" s="8"/>
      <c r="CJ240" s="8"/>
      <c r="CK240" s="8"/>
      <c r="CL240" s="8"/>
      <c r="CM240" s="8"/>
      <c r="CN240" s="8"/>
    </row>
    <row r="241" spans="7:92" x14ac:dyDescent="0.35">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8"/>
      <c r="BR241" s="8"/>
      <c r="BS241" s="8"/>
      <c r="BT241" s="8"/>
      <c r="BU241" s="8"/>
      <c r="BV241" s="8"/>
      <c r="BW241" s="8"/>
      <c r="BX241" s="8"/>
      <c r="BY241" s="8"/>
      <c r="BZ241" s="8"/>
      <c r="CA241" s="8"/>
      <c r="CB241" s="8"/>
      <c r="CC241" s="8"/>
      <c r="CD241" s="8"/>
      <c r="CE241" s="8"/>
      <c r="CF241" s="8"/>
      <c r="CG241" s="8"/>
      <c r="CH241" s="8"/>
      <c r="CI241" s="8"/>
      <c r="CJ241" s="8"/>
      <c r="CK241" s="8"/>
      <c r="CL241" s="8"/>
      <c r="CM241" s="8"/>
      <c r="CN241" s="8"/>
    </row>
    <row r="242" spans="7:92" x14ac:dyDescent="0.35">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c r="BP242" s="8"/>
      <c r="BQ242" s="8"/>
      <c r="BR242" s="8"/>
      <c r="BS242" s="8"/>
      <c r="BT242" s="8"/>
      <c r="BU242" s="8"/>
      <c r="BV242" s="8"/>
      <c r="BW242" s="8"/>
      <c r="BX242" s="8"/>
      <c r="BY242" s="8"/>
      <c r="BZ242" s="8"/>
      <c r="CA242" s="8"/>
      <c r="CB242" s="8"/>
      <c r="CC242" s="8"/>
      <c r="CD242" s="8"/>
      <c r="CE242" s="8"/>
      <c r="CF242" s="8"/>
      <c r="CG242" s="8"/>
      <c r="CH242" s="8"/>
      <c r="CI242" s="8"/>
      <c r="CJ242" s="8"/>
      <c r="CK242" s="8"/>
      <c r="CL242" s="8"/>
      <c r="CM242" s="8"/>
      <c r="CN242" s="8"/>
    </row>
    <row r="243" spans="7:92" x14ac:dyDescent="0.35">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c r="BT243" s="8"/>
      <c r="BU243" s="8"/>
      <c r="BV243" s="8"/>
      <c r="BW243" s="8"/>
      <c r="BX243" s="8"/>
      <c r="BY243" s="8"/>
      <c r="BZ243" s="8"/>
      <c r="CA243" s="8"/>
      <c r="CB243" s="8"/>
      <c r="CC243" s="8"/>
      <c r="CD243" s="8"/>
      <c r="CE243" s="8"/>
      <c r="CF243" s="8"/>
      <c r="CG243" s="8"/>
      <c r="CH243" s="8"/>
      <c r="CI243" s="8"/>
      <c r="CJ243" s="8"/>
      <c r="CK243" s="8"/>
      <c r="CL243" s="8"/>
      <c r="CM243" s="8"/>
      <c r="CN243" s="8"/>
    </row>
    <row r="244" spans="7:92" x14ac:dyDescent="0.35">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c r="BP244" s="8"/>
      <c r="BQ244" s="8"/>
      <c r="BR244" s="8"/>
      <c r="BS244" s="8"/>
      <c r="BT244" s="8"/>
      <c r="BU244" s="8"/>
      <c r="BV244" s="8"/>
      <c r="BW244" s="8"/>
      <c r="BX244" s="8"/>
      <c r="BY244" s="8"/>
      <c r="BZ244" s="8"/>
      <c r="CA244" s="8"/>
      <c r="CB244" s="8"/>
      <c r="CC244" s="8"/>
      <c r="CD244" s="8"/>
      <c r="CE244" s="8"/>
      <c r="CF244" s="8"/>
      <c r="CG244" s="8"/>
      <c r="CH244" s="8"/>
      <c r="CI244" s="8"/>
      <c r="CJ244" s="8"/>
      <c r="CK244" s="8"/>
      <c r="CL244" s="8"/>
      <c r="CM244" s="8"/>
      <c r="CN244" s="8"/>
    </row>
    <row r="245" spans="7:92" x14ac:dyDescent="0.35">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c r="BR245" s="8"/>
      <c r="BS245" s="8"/>
      <c r="BT245" s="8"/>
      <c r="BU245" s="8"/>
      <c r="BV245" s="8"/>
      <c r="BW245" s="8"/>
      <c r="BX245" s="8"/>
      <c r="BY245" s="8"/>
      <c r="BZ245" s="8"/>
      <c r="CA245" s="8"/>
      <c r="CB245" s="8"/>
      <c r="CC245" s="8"/>
      <c r="CD245" s="8"/>
      <c r="CE245" s="8"/>
      <c r="CF245" s="8"/>
      <c r="CG245" s="8"/>
      <c r="CH245" s="8"/>
      <c r="CI245" s="8"/>
      <c r="CJ245" s="8"/>
      <c r="CK245" s="8"/>
      <c r="CL245" s="8"/>
      <c r="CM245" s="8"/>
      <c r="CN245" s="8"/>
    </row>
    <row r="246" spans="7:92" x14ac:dyDescent="0.35">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8"/>
      <c r="BT246" s="8"/>
      <c r="BU246" s="8"/>
      <c r="BV246" s="8"/>
      <c r="BW246" s="8"/>
      <c r="BX246" s="8"/>
      <c r="BY246" s="8"/>
      <c r="BZ246" s="8"/>
      <c r="CA246" s="8"/>
      <c r="CB246" s="8"/>
      <c r="CC246" s="8"/>
      <c r="CD246" s="8"/>
      <c r="CE246" s="8"/>
      <c r="CF246" s="8"/>
      <c r="CG246" s="8"/>
      <c r="CH246" s="8"/>
      <c r="CI246" s="8"/>
      <c r="CJ246" s="8"/>
      <c r="CK246" s="8"/>
      <c r="CL246" s="8"/>
      <c r="CM246" s="8"/>
      <c r="CN246" s="8"/>
    </row>
    <row r="247" spans="7:92" x14ac:dyDescent="0.35">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c r="BU247" s="8"/>
      <c r="BV247" s="8"/>
      <c r="BW247" s="8"/>
      <c r="BX247" s="8"/>
      <c r="BY247" s="8"/>
      <c r="BZ247" s="8"/>
      <c r="CA247" s="8"/>
      <c r="CB247" s="8"/>
      <c r="CC247" s="8"/>
      <c r="CD247" s="8"/>
      <c r="CE247" s="8"/>
      <c r="CF247" s="8"/>
      <c r="CG247" s="8"/>
      <c r="CH247" s="8"/>
      <c r="CI247" s="8"/>
      <c r="CJ247" s="8"/>
      <c r="CK247" s="8"/>
      <c r="CL247" s="8"/>
      <c r="CM247" s="8"/>
      <c r="CN247" s="8"/>
    </row>
    <row r="248" spans="7:92" x14ac:dyDescent="0.35">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c r="BP248" s="8"/>
      <c r="BQ248" s="8"/>
      <c r="BR248" s="8"/>
      <c r="BS248" s="8"/>
      <c r="BT248" s="8"/>
      <c r="BU248" s="8"/>
      <c r="BV248" s="8"/>
      <c r="BW248" s="8"/>
      <c r="BX248" s="8"/>
      <c r="BY248" s="8"/>
      <c r="BZ248" s="8"/>
      <c r="CA248" s="8"/>
      <c r="CB248" s="8"/>
      <c r="CC248" s="8"/>
      <c r="CD248" s="8"/>
      <c r="CE248" s="8"/>
      <c r="CF248" s="8"/>
      <c r="CG248" s="8"/>
      <c r="CH248" s="8"/>
      <c r="CI248" s="8"/>
      <c r="CJ248" s="8"/>
      <c r="CK248" s="8"/>
      <c r="CL248" s="8"/>
      <c r="CM248" s="8"/>
      <c r="CN248" s="8"/>
    </row>
    <row r="249" spans="7:92" x14ac:dyDescent="0.35">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c r="BP249" s="8"/>
      <c r="BQ249" s="8"/>
      <c r="BR249" s="8"/>
      <c r="BS249" s="8"/>
      <c r="BT249" s="8"/>
      <c r="BU249" s="8"/>
      <c r="BV249" s="8"/>
      <c r="BW249" s="8"/>
      <c r="BX249" s="8"/>
      <c r="BY249" s="8"/>
      <c r="BZ249" s="8"/>
      <c r="CA249" s="8"/>
      <c r="CB249" s="8"/>
      <c r="CC249" s="8"/>
      <c r="CD249" s="8"/>
      <c r="CE249" s="8"/>
      <c r="CF249" s="8"/>
      <c r="CG249" s="8"/>
      <c r="CH249" s="8"/>
      <c r="CI249" s="8"/>
      <c r="CJ249" s="8"/>
      <c r="CK249" s="8"/>
      <c r="CL249" s="8"/>
      <c r="CM249" s="8"/>
      <c r="CN249" s="8"/>
    </row>
    <row r="250" spans="7:92" x14ac:dyDescent="0.35">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c r="BP250" s="8"/>
      <c r="BQ250" s="8"/>
      <c r="BR250" s="8"/>
      <c r="BS250" s="8"/>
      <c r="BT250" s="8"/>
      <c r="BU250" s="8"/>
      <c r="BV250" s="8"/>
      <c r="BW250" s="8"/>
      <c r="BX250" s="8"/>
      <c r="BY250" s="8"/>
      <c r="BZ250" s="8"/>
      <c r="CA250" s="8"/>
      <c r="CB250" s="8"/>
      <c r="CC250" s="8"/>
      <c r="CD250" s="8"/>
      <c r="CE250" s="8"/>
      <c r="CF250" s="8"/>
      <c r="CG250" s="8"/>
      <c r="CH250" s="8"/>
      <c r="CI250" s="8"/>
      <c r="CJ250" s="8"/>
      <c r="CK250" s="8"/>
      <c r="CL250" s="8"/>
      <c r="CM250" s="8"/>
      <c r="CN250" s="8"/>
    </row>
    <row r="251" spans="7:92" x14ac:dyDescent="0.35">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c r="BP251" s="8"/>
      <c r="BQ251" s="8"/>
      <c r="BR251" s="8"/>
      <c r="BS251" s="8"/>
      <c r="BT251" s="8"/>
      <c r="BU251" s="8"/>
      <c r="BV251" s="8"/>
      <c r="BW251" s="8"/>
      <c r="BX251" s="8"/>
      <c r="BY251" s="8"/>
      <c r="BZ251" s="8"/>
      <c r="CA251" s="8"/>
      <c r="CB251" s="8"/>
      <c r="CC251" s="8"/>
      <c r="CD251" s="8"/>
      <c r="CE251" s="8"/>
      <c r="CF251" s="8"/>
      <c r="CG251" s="8"/>
      <c r="CH251" s="8"/>
      <c r="CI251" s="8"/>
      <c r="CJ251" s="8"/>
      <c r="CK251" s="8"/>
      <c r="CL251" s="8"/>
      <c r="CM251" s="8"/>
      <c r="CN251" s="8"/>
    </row>
    <row r="252" spans="7:92" x14ac:dyDescent="0.35">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c r="BP252" s="8"/>
      <c r="BQ252" s="8"/>
      <c r="BR252" s="8"/>
      <c r="BS252" s="8"/>
      <c r="BT252" s="8"/>
      <c r="BU252" s="8"/>
      <c r="BV252" s="8"/>
      <c r="BW252" s="8"/>
      <c r="BX252" s="8"/>
      <c r="BY252" s="8"/>
      <c r="BZ252" s="8"/>
      <c r="CA252" s="8"/>
      <c r="CB252" s="8"/>
      <c r="CC252" s="8"/>
      <c r="CD252" s="8"/>
      <c r="CE252" s="8"/>
      <c r="CF252" s="8"/>
      <c r="CG252" s="8"/>
      <c r="CH252" s="8"/>
      <c r="CI252" s="8"/>
      <c r="CJ252" s="8"/>
      <c r="CK252" s="8"/>
      <c r="CL252" s="8"/>
      <c r="CM252" s="8"/>
      <c r="CN252" s="8"/>
    </row>
    <row r="253" spans="7:92" x14ac:dyDescent="0.35">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c r="BP253" s="8"/>
      <c r="BQ253" s="8"/>
      <c r="BR253" s="8"/>
      <c r="BS253" s="8"/>
      <c r="BT253" s="8"/>
      <c r="BU253" s="8"/>
      <c r="BV253" s="8"/>
      <c r="BW253" s="8"/>
      <c r="BX253" s="8"/>
      <c r="BY253" s="8"/>
      <c r="BZ253" s="8"/>
      <c r="CA253" s="8"/>
      <c r="CB253" s="8"/>
      <c r="CC253" s="8"/>
      <c r="CD253" s="8"/>
      <c r="CE253" s="8"/>
      <c r="CF253" s="8"/>
      <c r="CG253" s="8"/>
      <c r="CH253" s="8"/>
      <c r="CI253" s="8"/>
      <c r="CJ253" s="8"/>
      <c r="CK253" s="8"/>
      <c r="CL253" s="8"/>
      <c r="CM253" s="8"/>
      <c r="CN253" s="8"/>
    </row>
    <row r="254" spans="7:92" x14ac:dyDescent="0.35">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c r="BP254" s="8"/>
      <c r="BQ254" s="8"/>
      <c r="BR254" s="8"/>
      <c r="BS254" s="8"/>
      <c r="BT254" s="8"/>
      <c r="BU254" s="8"/>
      <c r="BV254" s="8"/>
      <c r="BW254" s="8"/>
      <c r="BX254" s="8"/>
      <c r="BY254" s="8"/>
      <c r="BZ254" s="8"/>
      <c r="CA254" s="8"/>
      <c r="CB254" s="8"/>
      <c r="CC254" s="8"/>
      <c r="CD254" s="8"/>
      <c r="CE254" s="8"/>
      <c r="CF254" s="8"/>
      <c r="CG254" s="8"/>
      <c r="CH254" s="8"/>
      <c r="CI254" s="8"/>
      <c r="CJ254" s="8"/>
      <c r="CK254" s="8"/>
      <c r="CL254" s="8"/>
      <c r="CM254" s="8"/>
      <c r="CN254" s="8"/>
    </row>
    <row r="255" spans="7:92" x14ac:dyDescent="0.35">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c r="BP255" s="8"/>
      <c r="BQ255" s="8"/>
      <c r="BR255" s="8"/>
      <c r="BS255" s="8"/>
      <c r="BT255" s="8"/>
      <c r="BU255" s="8"/>
      <c r="BV255" s="8"/>
      <c r="BW255" s="8"/>
      <c r="BX255" s="8"/>
      <c r="BY255" s="8"/>
      <c r="BZ255" s="8"/>
      <c r="CA255" s="8"/>
      <c r="CB255" s="8"/>
      <c r="CC255" s="8"/>
      <c r="CD255" s="8"/>
      <c r="CE255" s="8"/>
      <c r="CF255" s="8"/>
      <c r="CG255" s="8"/>
      <c r="CH255" s="8"/>
      <c r="CI255" s="8"/>
      <c r="CJ255" s="8"/>
      <c r="CK255" s="8"/>
      <c r="CL255" s="8"/>
      <c r="CM255" s="8"/>
      <c r="CN255" s="8"/>
    </row>
    <row r="256" spans="7:92" x14ac:dyDescent="0.35">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c r="BP256" s="8"/>
      <c r="BQ256" s="8"/>
      <c r="BR256" s="8"/>
      <c r="BS256" s="8"/>
      <c r="BT256" s="8"/>
      <c r="BU256" s="8"/>
      <c r="BV256" s="8"/>
      <c r="BW256" s="8"/>
      <c r="BX256" s="8"/>
      <c r="BY256" s="8"/>
      <c r="BZ256" s="8"/>
      <c r="CA256" s="8"/>
      <c r="CB256" s="8"/>
      <c r="CC256" s="8"/>
      <c r="CD256" s="8"/>
      <c r="CE256" s="8"/>
      <c r="CF256" s="8"/>
      <c r="CG256" s="8"/>
      <c r="CH256" s="8"/>
      <c r="CI256" s="8"/>
      <c r="CJ256" s="8"/>
      <c r="CK256" s="8"/>
      <c r="CL256" s="8"/>
      <c r="CM256" s="8"/>
      <c r="CN256" s="8"/>
    </row>
    <row r="257" spans="7:92" x14ac:dyDescent="0.35">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c r="BP257" s="8"/>
      <c r="BQ257" s="8"/>
      <c r="BR257" s="8"/>
      <c r="BS257" s="8"/>
      <c r="BT257" s="8"/>
      <c r="BU257" s="8"/>
      <c r="BV257" s="8"/>
      <c r="BW257" s="8"/>
      <c r="BX257" s="8"/>
      <c r="BY257" s="8"/>
      <c r="BZ257" s="8"/>
      <c r="CA257" s="8"/>
      <c r="CB257" s="8"/>
      <c r="CC257" s="8"/>
      <c r="CD257" s="8"/>
      <c r="CE257" s="8"/>
      <c r="CF257" s="8"/>
      <c r="CG257" s="8"/>
      <c r="CH257" s="8"/>
      <c r="CI257" s="8"/>
      <c r="CJ257" s="8"/>
      <c r="CK257" s="8"/>
      <c r="CL257" s="8"/>
      <c r="CM257" s="8"/>
      <c r="CN257" s="8"/>
    </row>
    <row r="258" spans="7:92" x14ac:dyDescent="0.35">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8"/>
      <c r="BM258" s="8"/>
      <c r="BN258" s="8"/>
      <c r="BO258" s="8"/>
      <c r="BP258" s="8"/>
      <c r="BQ258" s="8"/>
      <c r="BR258" s="8"/>
      <c r="BS258" s="8"/>
      <c r="BT258" s="8"/>
      <c r="BU258" s="8"/>
      <c r="BV258" s="8"/>
      <c r="BW258" s="8"/>
      <c r="BX258" s="8"/>
      <c r="BY258" s="8"/>
      <c r="BZ258" s="8"/>
      <c r="CA258" s="8"/>
      <c r="CB258" s="8"/>
      <c r="CC258" s="8"/>
      <c r="CD258" s="8"/>
      <c r="CE258" s="8"/>
      <c r="CF258" s="8"/>
      <c r="CG258" s="8"/>
      <c r="CH258" s="8"/>
      <c r="CI258" s="8"/>
      <c r="CJ258" s="8"/>
      <c r="CK258" s="8"/>
      <c r="CL258" s="8"/>
      <c r="CM258" s="8"/>
      <c r="CN258" s="8"/>
    </row>
    <row r="259" spans="7:92" x14ac:dyDescent="0.35">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c r="BP259" s="8"/>
      <c r="BQ259" s="8"/>
      <c r="BR259" s="8"/>
      <c r="BS259" s="8"/>
      <c r="BT259" s="8"/>
      <c r="BU259" s="8"/>
      <c r="BV259" s="8"/>
      <c r="BW259" s="8"/>
      <c r="BX259" s="8"/>
      <c r="BY259" s="8"/>
      <c r="BZ259" s="8"/>
      <c r="CA259" s="8"/>
      <c r="CB259" s="8"/>
      <c r="CC259" s="8"/>
      <c r="CD259" s="8"/>
      <c r="CE259" s="8"/>
      <c r="CF259" s="8"/>
      <c r="CG259" s="8"/>
      <c r="CH259" s="8"/>
      <c r="CI259" s="8"/>
      <c r="CJ259" s="8"/>
      <c r="CK259" s="8"/>
      <c r="CL259" s="8"/>
      <c r="CM259" s="8"/>
      <c r="CN259" s="8"/>
    </row>
    <row r="260" spans="7:92" x14ac:dyDescent="0.35">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c r="BP260" s="8"/>
      <c r="BQ260" s="8"/>
      <c r="BR260" s="8"/>
      <c r="BS260" s="8"/>
      <c r="BT260" s="8"/>
      <c r="BU260" s="8"/>
      <c r="BV260" s="8"/>
      <c r="BW260" s="8"/>
      <c r="BX260" s="8"/>
      <c r="BY260" s="8"/>
      <c r="BZ260" s="8"/>
      <c r="CA260" s="8"/>
      <c r="CB260" s="8"/>
      <c r="CC260" s="8"/>
      <c r="CD260" s="8"/>
      <c r="CE260" s="8"/>
      <c r="CF260" s="8"/>
      <c r="CG260" s="8"/>
      <c r="CH260" s="8"/>
      <c r="CI260" s="8"/>
      <c r="CJ260" s="8"/>
      <c r="CK260" s="8"/>
      <c r="CL260" s="8"/>
      <c r="CM260" s="8"/>
      <c r="CN260" s="8"/>
    </row>
    <row r="261" spans="7:92" x14ac:dyDescent="0.35">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c r="BP261" s="8"/>
      <c r="BQ261" s="8"/>
      <c r="BR261" s="8"/>
      <c r="BS261" s="8"/>
      <c r="BT261" s="8"/>
      <c r="BU261" s="8"/>
      <c r="BV261" s="8"/>
      <c r="BW261" s="8"/>
      <c r="BX261" s="8"/>
      <c r="BY261" s="8"/>
      <c r="BZ261" s="8"/>
      <c r="CA261" s="8"/>
      <c r="CB261" s="8"/>
      <c r="CC261" s="8"/>
      <c r="CD261" s="8"/>
      <c r="CE261" s="8"/>
      <c r="CF261" s="8"/>
      <c r="CG261" s="8"/>
      <c r="CH261" s="8"/>
      <c r="CI261" s="8"/>
      <c r="CJ261" s="8"/>
      <c r="CK261" s="8"/>
      <c r="CL261" s="8"/>
      <c r="CM261" s="8"/>
      <c r="CN261" s="8"/>
    </row>
    <row r="262" spans="7:92" x14ac:dyDescent="0.35">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c r="BP262" s="8"/>
      <c r="BQ262" s="8"/>
      <c r="BR262" s="8"/>
      <c r="BS262" s="8"/>
      <c r="BT262" s="8"/>
      <c r="BU262" s="8"/>
      <c r="BV262" s="8"/>
      <c r="BW262" s="8"/>
      <c r="BX262" s="8"/>
      <c r="BY262" s="8"/>
      <c r="BZ262" s="8"/>
      <c r="CA262" s="8"/>
      <c r="CB262" s="8"/>
      <c r="CC262" s="8"/>
      <c r="CD262" s="8"/>
      <c r="CE262" s="8"/>
      <c r="CF262" s="8"/>
      <c r="CG262" s="8"/>
      <c r="CH262" s="8"/>
      <c r="CI262" s="8"/>
      <c r="CJ262" s="8"/>
      <c r="CK262" s="8"/>
      <c r="CL262" s="8"/>
      <c r="CM262" s="8"/>
      <c r="CN262" s="8"/>
    </row>
    <row r="263" spans="7:92" x14ac:dyDescent="0.35">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c r="BP263" s="8"/>
      <c r="BQ263" s="8"/>
      <c r="BR263" s="8"/>
      <c r="BS263" s="8"/>
      <c r="BT263" s="8"/>
      <c r="BU263" s="8"/>
      <c r="BV263" s="8"/>
      <c r="BW263" s="8"/>
      <c r="BX263" s="8"/>
      <c r="BY263" s="8"/>
      <c r="BZ263" s="8"/>
      <c r="CA263" s="8"/>
      <c r="CB263" s="8"/>
      <c r="CC263" s="8"/>
      <c r="CD263" s="8"/>
      <c r="CE263" s="8"/>
      <c r="CF263" s="8"/>
      <c r="CG263" s="8"/>
      <c r="CH263" s="8"/>
      <c r="CI263" s="8"/>
      <c r="CJ263" s="8"/>
      <c r="CK263" s="8"/>
      <c r="CL263" s="8"/>
      <c r="CM263" s="8"/>
      <c r="CN263" s="8"/>
    </row>
    <row r="264" spans="7:92" x14ac:dyDescent="0.35">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c r="BP264" s="8"/>
      <c r="BQ264" s="8"/>
      <c r="BR264" s="8"/>
      <c r="BS264" s="8"/>
      <c r="BT264" s="8"/>
      <c r="BU264" s="8"/>
      <c r="BV264" s="8"/>
      <c r="BW264" s="8"/>
      <c r="BX264" s="8"/>
      <c r="BY264" s="8"/>
      <c r="BZ264" s="8"/>
      <c r="CA264" s="8"/>
      <c r="CB264" s="8"/>
      <c r="CC264" s="8"/>
      <c r="CD264" s="8"/>
      <c r="CE264" s="8"/>
      <c r="CF264" s="8"/>
      <c r="CG264" s="8"/>
      <c r="CH264" s="8"/>
      <c r="CI264" s="8"/>
      <c r="CJ264" s="8"/>
      <c r="CK264" s="8"/>
      <c r="CL264" s="8"/>
      <c r="CM264" s="8"/>
      <c r="CN264" s="8"/>
    </row>
    <row r="265" spans="7:92" x14ac:dyDescent="0.35">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c r="BP265" s="8"/>
      <c r="BQ265" s="8"/>
      <c r="BR265" s="8"/>
      <c r="BS265" s="8"/>
      <c r="BT265" s="8"/>
      <c r="BU265" s="8"/>
      <c r="BV265" s="8"/>
      <c r="BW265" s="8"/>
      <c r="BX265" s="8"/>
      <c r="BY265" s="8"/>
      <c r="BZ265" s="8"/>
      <c r="CA265" s="8"/>
      <c r="CB265" s="8"/>
      <c r="CC265" s="8"/>
      <c r="CD265" s="8"/>
      <c r="CE265" s="8"/>
      <c r="CF265" s="8"/>
      <c r="CG265" s="8"/>
      <c r="CH265" s="8"/>
      <c r="CI265" s="8"/>
      <c r="CJ265" s="8"/>
      <c r="CK265" s="8"/>
      <c r="CL265" s="8"/>
      <c r="CM265" s="8"/>
      <c r="CN265" s="8"/>
    </row>
    <row r="266" spans="7:92" x14ac:dyDescent="0.35">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c r="BP266" s="8"/>
      <c r="BQ266" s="8"/>
      <c r="BR266" s="8"/>
      <c r="BS266" s="8"/>
      <c r="BT266" s="8"/>
      <c r="BU266" s="8"/>
      <c r="BV266" s="8"/>
      <c r="BW266" s="8"/>
      <c r="BX266" s="8"/>
      <c r="BY266" s="8"/>
      <c r="BZ266" s="8"/>
      <c r="CA266" s="8"/>
      <c r="CB266" s="8"/>
      <c r="CC266" s="8"/>
      <c r="CD266" s="8"/>
      <c r="CE266" s="8"/>
      <c r="CF266" s="8"/>
      <c r="CG266" s="8"/>
      <c r="CH266" s="8"/>
      <c r="CI266" s="8"/>
      <c r="CJ266" s="8"/>
      <c r="CK266" s="8"/>
      <c r="CL266" s="8"/>
      <c r="CM266" s="8"/>
      <c r="CN266" s="8"/>
    </row>
    <row r="267" spans="7:92" x14ac:dyDescent="0.35">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c r="BP267" s="8"/>
      <c r="BQ267" s="8"/>
      <c r="BR267" s="8"/>
      <c r="BS267" s="8"/>
      <c r="BT267" s="8"/>
      <c r="BU267" s="8"/>
      <c r="BV267" s="8"/>
      <c r="BW267" s="8"/>
      <c r="BX267" s="8"/>
      <c r="BY267" s="8"/>
      <c r="BZ267" s="8"/>
      <c r="CA267" s="8"/>
      <c r="CB267" s="8"/>
      <c r="CC267" s="8"/>
      <c r="CD267" s="8"/>
      <c r="CE267" s="8"/>
      <c r="CF267" s="8"/>
      <c r="CG267" s="8"/>
      <c r="CH267" s="8"/>
      <c r="CI267" s="8"/>
      <c r="CJ267" s="8"/>
      <c r="CK267" s="8"/>
      <c r="CL267" s="8"/>
      <c r="CM267" s="8"/>
      <c r="CN267" s="8"/>
    </row>
    <row r="268" spans="7:92" x14ac:dyDescent="0.35">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c r="BP268" s="8"/>
      <c r="BQ268" s="8"/>
      <c r="BR268" s="8"/>
      <c r="BS268" s="8"/>
      <c r="BT268" s="8"/>
      <c r="BU268" s="8"/>
      <c r="BV268" s="8"/>
      <c r="BW268" s="8"/>
      <c r="BX268" s="8"/>
      <c r="BY268" s="8"/>
      <c r="BZ268" s="8"/>
      <c r="CA268" s="8"/>
      <c r="CB268" s="8"/>
      <c r="CC268" s="8"/>
      <c r="CD268" s="8"/>
      <c r="CE268" s="8"/>
      <c r="CF268" s="8"/>
      <c r="CG268" s="8"/>
      <c r="CH268" s="8"/>
      <c r="CI268" s="8"/>
      <c r="CJ268" s="8"/>
      <c r="CK268" s="8"/>
      <c r="CL268" s="8"/>
      <c r="CM268" s="8"/>
      <c r="CN268" s="8"/>
    </row>
    <row r="269" spans="7:92" x14ac:dyDescent="0.35">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c r="BP269" s="8"/>
      <c r="BQ269" s="8"/>
      <c r="BR269" s="8"/>
      <c r="BS269" s="8"/>
      <c r="BT269" s="8"/>
      <c r="BU269" s="8"/>
      <c r="BV269" s="8"/>
      <c r="BW269" s="8"/>
      <c r="BX269" s="8"/>
      <c r="BY269" s="8"/>
      <c r="BZ269" s="8"/>
      <c r="CA269" s="8"/>
      <c r="CB269" s="8"/>
      <c r="CC269" s="8"/>
      <c r="CD269" s="8"/>
      <c r="CE269" s="8"/>
      <c r="CF269" s="8"/>
      <c r="CG269" s="8"/>
      <c r="CH269" s="8"/>
      <c r="CI269" s="8"/>
      <c r="CJ269" s="8"/>
      <c r="CK269" s="8"/>
      <c r="CL269" s="8"/>
      <c r="CM269" s="8"/>
      <c r="CN269" s="8"/>
    </row>
    <row r="270" spans="7:92" x14ac:dyDescent="0.35">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c r="BP270" s="8"/>
      <c r="BQ270" s="8"/>
      <c r="BR270" s="8"/>
      <c r="BS270" s="8"/>
      <c r="BT270" s="8"/>
      <c r="BU270" s="8"/>
      <c r="BV270" s="8"/>
      <c r="BW270" s="8"/>
      <c r="BX270" s="8"/>
      <c r="BY270" s="8"/>
      <c r="BZ270" s="8"/>
      <c r="CA270" s="8"/>
      <c r="CB270" s="8"/>
      <c r="CC270" s="8"/>
      <c r="CD270" s="8"/>
      <c r="CE270" s="8"/>
      <c r="CF270" s="8"/>
      <c r="CG270" s="8"/>
      <c r="CH270" s="8"/>
      <c r="CI270" s="8"/>
      <c r="CJ270" s="8"/>
      <c r="CK270" s="8"/>
      <c r="CL270" s="8"/>
      <c r="CM270" s="8"/>
      <c r="CN270" s="8"/>
    </row>
    <row r="271" spans="7:92" x14ac:dyDescent="0.35">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c r="BP271" s="8"/>
      <c r="BQ271" s="8"/>
      <c r="BR271" s="8"/>
      <c r="BS271" s="8"/>
      <c r="BT271" s="8"/>
      <c r="BU271" s="8"/>
      <c r="BV271" s="8"/>
      <c r="BW271" s="8"/>
      <c r="BX271" s="8"/>
      <c r="BY271" s="8"/>
      <c r="BZ271" s="8"/>
      <c r="CA271" s="8"/>
      <c r="CB271" s="8"/>
      <c r="CC271" s="8"/>
      <c r="CD271" s="8"/>
      <c r="CE271" s="8"/>
      <c r="CF271" s="8"/>
      <c r="CG271" s="8"/>
      <c r="CH271" s="8"/>
      <c r="CI271" s="8"/>
      <c r="CJ271" s="8"/>
      <c r="CK271" s="8"/>
      <c r="CL271" s="8"/>
      <c r="CM271" s="8"/>
      <c r="CN271" s="8"/>
    </row>
    <row r="272" spans="7:92" x14ac:dyDescent="0.35">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c r="BP272" s="8"/>
      <c r="BQ272" s="8"/>
      <c r="BR272" s="8"/>
      <c r="BS272" s="8"/>
      <c r="BT272" s="8"/>
      <c r="BU272" s="8"/>
      <c r="BV272" s="8"/>
      <c r="BW272" s="8"/>
      <c r="BX272" s="8"/>
      <c r="BY272" s="8"/>
      <c r="BZ272" s="8"/>
      <c r="CA272" s="8"/>
      <c r="CB272" s="8"/>
      <c r="CC272" s="8"/>
      <c r="CD272" s="8"/>
      <c r="CE272" s="8"/>
      <c r="CF272" s="8"/>
      <c r="CG272" s="8"/>
      <c r="CH272" s="8"/>
      <c r="CI272" s="8"/>
      <c r="CJ272" s="8"/>
      <c r="CK272" s="8"/>
      <c r="CL272" s="8"/>
      <c r="CM272" s="8"/>
      <c r="CN272" s="8"/>
    </row>
    <row r="273" spans="7:92" x14ac:dyDescent="0.35">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c r="BP273" s="8"/>
      <c r="BQ273" s="8"/>
      <c r="BR273" s="8"/>
      <c r="BS273" s="8"/>
      <c r="BT273" s="8"/>
      <c r="BU273" s="8"/>
      <c r="BV273" s="8"/>
      <c r="BW273" s="8"/>
      <c r="BX273" s="8"/>
      <c r="BY273" s="8"/>
      <c r="BZ273" s="8"/>
      <c r="CA273" s="8"/>
      <c r="CB273" s="8"/>
      <c r="CC273" s="8"/>
      <c r="CD273" s="8"/>
      <c r="CE273" s="8"/>
      <c r="CF273" s="8"/>
      <c r="CG273" s="8"/>
      <c r="CH273" s="8"/>
      <c r="CI273" s="8"/>
      <c r="CJ273" s="8"/>
      <c r="CK273" s="8"/>
      <c r="CL273" s="8"/>
      <c r="CM273" s="8"/>
      <c r="CN273" s="8"/>
    </row>
    <row r="274" spans="7:92" x14ac:dyDescent="0.35">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c r="BP274" s="8"/>
      <c r="BQ274" s="8"/>
      <c r="BR274" s="8"/>
      <c r="BS274" s="8"/>
      <c r="BT274" s="8"/>
      <c r="BU274" s="8"/>
      <c r="BV274" s="8"/>
      <c r="BW274" s="8"/>
      <c r="BX274" s="8"/>
      <c r="BY274" s="8"/>
      <c r="BZ274" s="8"/>
      <c r="CA274" s="8"/>
      <c r="CB274" s="8"/>
      <c r="CC274" s="8"/>
      <c r="CD274" s="8"/>
      <c r="CE274" s="8"/>
      <c r="CF274" s="8"/>
      <c r="CG274" s="8"/>
      <c r="CH274" s="8"/>
      <c r="CI274" s="8"/>
      <c r="CJ274" s="8"/>
      <c r="CK274" s="8"/>
      <c r="CL274" s="8"/>
      <c r="CM274" s="8"/>
      <c r="CN274" s="8"/>
    </row>
    <row r="275" spans="7:92" x14ac:dyDescent="0.35">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c r="BP275" s="8"/>
      <c r="BQ275" s="8"/>
      <c r="BR275" s="8"/>
      <c r="BS275" s="8"/>
      <c r="BT275" s="8"/>
      <c r="BU275" s="8"/>
      <c r="BV275" s="8"/>
      <c r="BW275" s="8"/>
      <c r="BX275" s="8"/>
      <c r="BY275" s="8"/>
      <c r="BZ275" s="8"/>
      <c r="CA275" s="8"/>
      <c r="CB275" s="8"/>
      <c r="CC275" s="8"/>
      <c r="CD275" s="8"/>
      <c r="CE275" s="8"/>
      <c r="CF275" s="8"/>
      <c r="CG275" s="8"/>
      <c r="CH275" s="8"/>
      <c r="CI275" s="8"/>
      <c r="CJ275" s="8"/>
      <c r="CK275" s="8"/>
      <c r="CL275" s="8"/>
      <c r="CM275" s="8"/>
      <c r="CN275" s="8"/>
    </row>
    <row r="276" spans="7:92" x14ac:dyDescent="0.35">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c r="BP276" s="8"/>
      <c r="BQ276" s="8"/>
      <c r="BR276" s="8"/>
      <c r="BS276" s="8"/>
      <c r="BT276" s="8"/>
      <c r="BU276" s="8"/>
      <c r="BV276" s="8"/>
      <c r="BW276" s="8"/>
      <c r="BX276" s="8"/>
      <c r="BY276" s="8"/>
      <c r="BZ276" s="8"/>
      <c r="CA276" s="8"/>
      <c r="CB276" s="8"/>
      <c r="CC276" s="8"/>
      <c r="CD276" s="8"/>
      <c r="CE276" s="8"/>
      <c r="CF276" s="8"/>
      <c r="CG276" s="8"/>
      <c r="CH276" s="8"/>
      <c r="CI276" s="8"/>
      <c r="CJ276" s="8"/>
      <c r="CK276" s="8"/>
      <c r="CL276" s="8"/>
      <c r="CM276" s="8"/>
      <c r="CN276" s="8"/>
    </row>
    <row r="277" spans="7:92" x14ac:dyDescent="0.35">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c r="BP277" s="8"/>
      <c r="BQ277" s="8"/>
      <c r="BR277" s="8"/>
      <c r="BS277" s="8"/>
      <c r="BT277" s="8"/>
      <c r="BU277" s="8"/>
      <c r="BV277" s="8"/>
      <c r="BW277" s="8"/>
      <c r="BX277" s="8"/>
      <c r="BY277" s="8"/>
      <c r="BZ277" s="8"/>
      <c r="CA277" s="8"/>
      <c r="CB277" s="8"/>
      <c r="CC277" s="8"/>
      <c r="CD277" s="8"/>
      <c r="CE277" s="8"/>
      <c r="CF277" s="8"/>
      <c r="CG277" s="8"/>
      <c r="CH277" s="8"/>
      <c r="CI277" s="8"/>
      <c r="CJ277" s="8"/>
      <c r="CK277" s="8"/>
      <c r="CL277" s="8"/>
      <c r="CM277" s="8"/>
      <c r="CN277" s="8"/>
    </row>
    <row r="278" spans="7:92" x14ac:dyDescent="0.35">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c r="BP278" s="8"/>
      <c r="BQ278" s="8"/>
      <c r="BR278" s="8"/>
      <c r="BS278" s="8"/>
      <c r="BT278" s="8"/>
      <c r="BU278" s="8"/>
      <c r="BV278" s="8"/>
      <c r="BW278" s="8"/>
      <c r="BX278" s="8"/>
      <c r="BY278" s="8"/>
      <c r="BZ278" s="8"/>
      <c r="CA278" s="8"/>
      <c r="CB278" s="8"/>
      <c r="CC278" s="8"/>
      <c r="CD278" s="8"/>
      <c r="CE278" s="8"/>
      <c r="CF278" s="8"/>
      <c r="CG278" s="8"/>
      <c r="CH278" s="8"/>
      <c r="CI278" s="8"/>
      <c r="CJ278" s="8"/>
      <c r="CK278" s="8"/>
      <c r="CL278" s="8"/>
      <c r="CM278" s="8"/>
      <c r="CN278" s="8"/>
    </row>
    <row r="279" spans="7:92" x14ac:dyDescent="0.35">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c r="BP279" s="8"/>
      <c r="BQ279" s="8"/>
      <c r="BR279" s="8"/>
      <c r="BS279" s="8"/>
      <c r="BT279" s="8"/>
      <c r="BU279" s="8"/>
      <c r="BV279" s="8"/>
      <c r="BW279" s="8"/>
      <c r="BX279" s="8"/>
      <c r="BY279" s="8"/>
      <c r="BZ279" s="8"/>
      <c r="CA279" s="8"/>
      <c r="CB279" s="8"/>
      <c r="CC279" s="8"/>
      <c r="CD279" s="8"/>
      <c r="CE279" s="8"/>
      <c r="CF279" s="8"/>
      <c r="CG279" s="8"/>
      <c r="CH279" s="8"/>
      <c r="CI279" s="8"/>
      <c r="CJ279" s="8"/>
      <c r="CK279" s="8"/>
      <c r="CL279" s="8"/>
      <c r="CM279" s="8"/>
      <c r="CN279" s="8"/>
    </row>
    <row r="280" spans="7:92" x14ac:dyDescent="0.35">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c r="BP280" s="8"/>
      <c r="BQ280" s="8"/>
      <c r="BR280" s="8"/>
      <c r="BS280" s="8"/>
      <c r="BT280" s="8"/>
      <c r="BU280" s="8"/>
      <c r="BV280" s="8"/>
      <c r="BW280" s="8"/>
      <c r="BX280" s="8"/>
      <c r="BY280" s="8"/>
      <c r="BZ280" s="8"/>
      <c r="CA280" s="8"/>
      <c r="CB280" s="8"/>
      <c r="CC280" s="8"/>
      <c r="CD280" s="8"/>
      <c r="CE280" s="8"/>
      <c r="CF280" s="8"/>
      <c r="CG280" s="8"/>
      <c r="CH280" s="8"/>
      <c r="CI280" s="8"/>
      <c r="CJ280" s="8"/>
      <c r="CK280" s="8"/>
      <c r="CL280" s="8"/>
      <c r="CM280" s="8"/>
      <c r="CN280" s="8"/>
    </row>
    <row r="281" spans="7:92" x14ac:dyDescent="0.35">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c r="BP281" s="8"/>
      <c r="BQ281" s="8"/>
      <c r="BR281" s="8"/>
      <c r="BS281" s="8"/>
      <c r="BT281" s="8"/>
      <c r="BU281" s="8"/>
      <c r="BV281" s="8"/>
      <c r="BW281" s="8"/>
      <c r="BX281" s="8"/>
      <c r="BY281" s="8"/>
      <c r="BZ281" s="8"/>
      <c r="CA281" s="8"/>
      <c r="CB281" s="8"/>
      <c r="CC281" s="8"/>
      <c r="CD281" s="8"/>
      <c r="CE281" s="8"/>
      <c r="CF281" s="8"/>
      <c r="CG281" s="8"/>
      <c r="CH281" s="8"/>
      <c r="CI281" s="8"/>
      <c r="CJ281" s="8"/>
      <c r="CK281" s="8"/>
      <c r="CL281" s="8"/>
      <c r="CM281" s="8"/>
      <c r="CN281" s="8"/>
    </row>
    <row r="282" spans="7:92" x14ac:dyDescent="0.35">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c r="BP282" s="8"/>
      <c r="BQ282" s="8"/>
      <c r="BR282" s="8"/>
      <c r="BS282" s="8"/>
      <c r="BT282" s="8"/>
      <c r="BU282" s="8"/>
      <c r="BV282" s="8"/>
      <c r="BW282" s="8"/>
      <c r="BX282" s="8"/>
      <c r="BY282" s="8"/>
      <c r="BZ282" s="8"/>
      <c r="CA282" s="8"/>
      <c r="CB282" s="8"/>
      <c r="CC282" s="8"/>
      <c r="CD282" s="8"/>
      <c r="CE282" s="8"/>
      <c r="CF282" s="8"/>
      <c r="CG282" s="8"/>
      <c r="CH282" s="8"/>
      <c r="CI282" s="8"/>
      <c r="CJ282" s="8"/>
      <c r="CK282" s="8"/>
      <c r="CL282" s="8"/>
      <c r="CM282" s="8"/>
      <c r="CN282" s="8"/>
    </row>
    <row r="283" spans="7:92" x14ac:dyDescent="0.35">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c r="BP283" s="8"/>
      <c r="BQ283" s="8"/>
      <c r="BR283" s="8"/>
      <c r="BS283" s="8"/>
      <c r="BT283" s="8"/>
      <c r="BU283" s="8"/>
      <c r="BV283" s="8"/>
      <c r="BW283" s="8"/>
      <c r="BX283" s="8"/>
      <c r="BY283" s="8"/>
      <c r="BZ283" s="8"/>
      <c r="CA283" s="8"/>
      <c r="CB283" s="8"/>
      <c r="CC283" s="8"/>
      <c r="CD283" s="8"/>
      <c r="CE283" s="8"/>
      <c r="CF283" s="8"/>
      <c r="CG283" s="8"/>
      <c r="CH283" s="8"/>
      <c r="CI283" s="8"/>
      <c r="CJ283" s="8"/>
      <c r="CK283" s="8"/>
      <c r="CL283" s="8"/>
      <c r="CM283" s="8"/>
      <c r="CN283" s="8"/>
    </row>
    <row r="284" spans="7:92" x14ac:dyDescent="0.35">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c r="BP284" s="8"/>
      <c r="BQ284" s="8"/>
      <c r="BR284" s="8"/>
      <c r="BS284" s="8"/>
      <c r="BT284" s="8"/>
      <c r="BU284" s="8"/>
      <c r="BV284" s="8"/>
      <c r="BW284" s="8"/>
      <c r="BX284" s="8"/>
      <c r="BY284" s="8"/>
      <c r="BZ284" s="8"/>
      <c r="CA284" s="8"/>
      <c r="CB284" s="8"/>
      <c r="CC284" s="8"/>
      <c r="CD284" s="8"/>
      <c r="CE284" s="8"/>
      <c r="CF284" s="8"/>
      <c r="CG284" s="8"/>
      <c r="CH284" s="8"/>
      <c r="CI284" s="8"/>
      <c r="CJ284" s="8"/>
      <c r="CK284" s="8"/>
      <c r="CL284" s="8"/>
      <c r="CM284" s="8"/>
      <c r="CN284" s="8"/>
    </row>
    <row r="285" spans="7:92" x14ac:dyDescent="0.35">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c r="BP285" s="8"/>
      <c r="BQ285" s="8"/>
      <c r="BR285" s="8"/>
      <c r="BS285" s="8"/>
      <c r="BT285" s="8"/>
      <c r="BU285" s="8"/>
      <c r="BV285" s="8"/>
      <c r="BW285" s="8"/>
      <c r="BX285" s="8"/>
      <c r="BY285" s="8"/>
      <c r="BZ285" s="8"/>
      <c r="CA285" s="8"/>
      <c r="CB285" s="8"/>
      <c r="CC285" s="8"/>
      <c r="CD285" s="8"/>
      <c r="CE285" s="8"/>
      <c r="CF285" s="8"/>
      <c r="CG285" s="8"/>
      <c r="CH285" s="8"/>
      <c r="CI285" s="8"/>
      <c r="CJ285" s="8"/>
      <c r="CK285" s="8"/>
      <c r="CL285" s="8"/>
      <c r="CM285" s="8"/>
      <c r="CN285" s="8"/>
    </row>
    <row r="286" spans="7:92" x14ac:dyDescent="0.35">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c r="BP286" s="8"/>
      <c r="BQ286" s="8"/>
      <c r="BR286" s="8"/>
      <c r="BS286" s="8"/>
      <c r="BT286" s="8"/>
      <c r="BU286" s="8"/>
      <c r="BV286" s="8"/>
      <c r="BW286" s="8"/>
      <c r="BX286" s="8"/>
      <c r="BY286" s="8"/>
      <c r="BZ286" s="8"/>
      <c r="CA286" s="8"/>
      <c r="CB286" s="8"/>
      <c r="CC286" s="8"/>
      <c r="CD286" s="8"/>
      <c r="CE286" s="8"/>
      <c r="CF286" s="8"/>
      <c r="CG286" s="8"/>
      <c r="CH286" s="8"/>
      <c r="CI286" s="8"/>
      <c r="CJ286" s="8"/>
      <c r="CK286" s="8"/>
      <c r="CL286" s="8"/>
      <c r="CM286" s="8"/>
      <c r="CN286" s="8"/>
    </row>
    <row r="287" spans="7:92" x14ac:dyDescent="0.35">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c r="BP287" s="8"/>
      <c r="BQ287" s="8"/>
      <c r="BR287" s="8"/>
      <c r="BS287" s="8"/>
      <c r="BT287" s="8"/>
      <c r="BU287" s="8"/>
      <c r="BV287" s="8"/>
      <c r="BW287" s="8"/>
      <c r="BX287" s="8"/>
      <c r="BY287" s="8"/>
      <c r="BZ287" s="8"/>
      <c r="CA287" s="8"/>
      <c r="CB287" s="8"/>
      <c r="CC287" s="8"/>
      <c r="CD287" s="8"/>
      <c r="CE287" s="8"/>
      <c r="CF287" s="8"/>
      <c r="CG287" s="8"/>
      <c r="CH287" s="8"/>
      <c r="CI287" s="8"/>
      <c r="CJ287" s="8"/>
      <c r="CK287" s="8"/>
      <c r="CL287" s="8"/>
      <c r="CM287" s="8"/>
      <c r="CN287" s="8"/>
    </row>
    <row r="288" spans="7:92" x14ac:dyDescent="0.35">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c r="BP288" s="8"/>
      <c r="BQ288" s="8"/>
      <c r="BR288" s="8"/>
      <c r="BS288" s="8"/>
      <c r="BT288" s="8"/>
      <c r="BU288" s="8"/>
      <c r="BV288" s="8"/>
      <c r="BW288" s="8"/>
      <c r="BX288" s="8"/>
      <c r="BY288" s="8"/>
      <c r="BZ288" s="8"/>
      <c r="CA288" s="8"/>
      <c r="CB288" s="8"/>
      <c r="CC288" s="8"/>
      <c r="CD288" s="8"/>
      <c r="CE288" s="8"/>
      <c r="CF288" s="8"/>
      <c r="CG288" s="8"/>
      <c r="CH288" s="8"/>
      <c r="CI288" s="8"/>
      <c r="CJ288" s="8"/>
      <c r="CK288" s="8"/>
      <c r="CL288" s="8"/>
      <c r="CM288" s="8"/>
      <c r="CN288" s="8"/>
    </row>
    <row r="289" spans="7:92" x14ac:dyDescent="0.35">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c r="BP289" s="8"/>
      <c r="BQ289" s="8"/>
      <c r="BR289" s="8"/>
      <c r="BS289" s="8"/>
      <c r="BT289" s="8"/>
      <c r="BU289" s="8"/>
      <c r="BV289" s="8"/>
      <c r="BW289" s="8"/>
      <c r="BX289" s="8"/>
      <c r="BY289" s="8"/>
      <c r="BZ289" s="8"/>
      <c r="CA289" s="8"/>
      <c r="CB289" s="8"/>
      <c r="CC289" s="8"/>
      <c r="CD289" s="8"/>
      <c r="CE289" s="8"/>
      <c r="CF289" s="8"/>
      <c r="CG289" s="8"/>
      <c r="CH289" s="8"/>
      <c r="CI289" s="8"/>
      <c r="CJ289" s="8"/>
      <c r="CK289" s="8"/>
      <c r="CL289" s="8"/>
      <c r="CM289" s="8"/>
      <c r="CN289" s="8"/>
    </row>
    <row r="290" spans="7:92" x14ac:dyDescent="0.35">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c r="BP290" s="8"/>
      <c r="BQ290" s="8"/>
      <c r="BR290" s="8"/>
      <c r="BS290" s="8"/>
      <c r="BT290" s="8"/>
      <c r="BU290" s="8"/>
      <c r="BV290" s="8"/>
      <c r="BW290" s="8"/>
      <c r="BX290" s="8"/>
      <c r="BY290" s="8"/>
      <c r="BZ290" s="8"/>
      <c r="CA290" s="8"/>
      <c r="CB290" s="8"/>
      <c r="CC290" s="8"/>
      <c r="CD290" s="8"/>
      <c r="CE290" s="8"/>
      <c r="CF290" s="8"/>
      <c r="CG290" s="8"/>
      <c r="CH290" s="8"/>
      <c r="CI290" s="8"/>
      <c r="CJ290" s="8"/>
      <c r="CK290" s="8"/>
      <c r="CL290" s="8"/>
      <c r="CM290" s="8"/>
      <c r="CN290" s="8"/>
    </row>
    <row r="291" spans="7:92" x14ac:dyDescent="0.35">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c r="BP291" s="8"/>
      <c r="BQ291" s="8"/>
      <c r="BR291" s="8"/>
      <c r="BS291" s="8"/>
      <c r="BT291" s="8"/>
      <c r="BU291" s="8"/>
      <c r="BV291" s="8"/>
      <c r="BW291" s="8"/>
      <c r="BX291" s="8"/>
      <c r="BY291" s="8"/>
      <c r="BZ291" s="8"/>
      <c r="CA291" s="8"/>
      <c r="CB291" s="8"/>
      <c r="CC291" s="8"/>
      <c r="CD291" s="8"/>
      <c r="CE291" s="8"/>
      <c r="CF291" s="8"/>
      <c r="CG291" s="8"/>
      <c r="CH291" s="8"/>
      <c r="CI291" s="8"/>
      <c r="CJ291" s="8"/>
      <c r="CK291" s="8"/>
      <c r="CL291" s="8"/>
      <c r="CM291" s="8"/>
      <c r="CN291" s="8"/>
    </row>
    <row r="292" spans="7:92" x14ac:dyDescent="0.35">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c r="BP292" s="8"/>
      <c r="BQ292" s="8"/>
      <c r="BR292" s="8"/>
      <c r="BS292" s="8"/>
      <c r="BT292" s="8"/>
      <c r="BU292" s="8"/>
      <c r="BV292" s="8"/>
      <c r="BW292" s="8"/>
      <c r="BX292" s="8"/>
      <c r="BY292" s="8"/>
      <c r="BZ292" s="8"/>
      <c r="CA292" s="8"/>
      <c r="CB292" s="8"/>
      <c r="CC292" s="8"/>
      <c r="CD292" s="8"/>
      <c r="CE292" s="8"/>
      <c r="CF292" s="8"/>
      <c r="CG292" s="8"/>
      <c r="CH292" s="8"/>
      <c r="CI292" s="8"/>
      <c r="CJ292" s="8"/>
      <c r="CK292" s="8"/>
      <c r="CL292" s="8"/>
      <c r="CM292" s="8"/>
      <c r="CN292" s="8"/>
    </row>
    <row r="293" spans="7:92" x14ac:dyDescent="0.35">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c r="BP293" s="8"/>
      <c r="BQ293" s="8"/>
      <c r="BR293" s="8"/>
      <c r="BS293" s="8"/>
      <c r="BT293" s="8"/>
      <c r="BU293" s="8"/>
      <c r="BV293" s="8"/>
      <c r="BW293" s="8"/>
      <c r="BX293" s="8"/>
      <c r="BY293" s="8"/>
      <c r="BZ293" s="8"/>
      <c r="CA293" s="8"/>
      <c r="CB293" s="8"/>
      <c r="CC293" s="8"/>
      <c r="CD293" s="8"/>
      <c r="CE293" s="8"/>
      <c r="CF293" s="8"/>
      <c r="CG293" s="8"/>
      <c r="CH293" s="8"/>
      <c r="CI293" s="8"/>
      <c r="CJ293" s="8"/>
      <c r="CK293" s="8"/>
      <c r="CL293" s="8"/>
      <c r="CM293" s="8"/>
      <c r="CN293" s="8"/>
    </row>
    <row r="294" spans="7:92" x14ac:dyDescent="0.35">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c r="BP294" s="8"/>
      <c r="BQ294" s="8"/>
      <c r="BR294" s="8"/>
      <c r="BS294" s="8"/>
      <c r="BT294" s="8"/>
      <c r="BU294" s="8"/>
      <c r="BV294" s="8"/>
      <c r="BW294" s="8"/>
      <c r="BX294" s="8"/>
      <c r="BY294" s="8"/>
      <c r="BZ294" s="8"/>
      <c r="CA294" s="8"/>
      <c r="CB294" s="8"/>
      <c r="CC294" s="8"/>
      <c r="CD294" s="8"/>
      <c r="CE294" s="8"/>
      <c r="CF294" s="8"/>
      <c r="CG294" s="8"/>
      <c r="CH294" s="8"/>
      <c r="CI294" s="8"/>
      <c r="CJ294" s="8"/>
      <c r="CK294" s="8"/>
      <c r="CL294" s="8"/>
      <c r="CM294" s="8"/>
      <c r="CN294" s="8"/>
    </row>
    <row r="295" spans="7:92" x14ac:dyDescent="0.35">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c r="BP295" s="8"/>
      <c r="BQ295" s="8"/>
      <c r="BR295" s="8"/>
      <c r="BS295" s="8"/>
      <c r="BT295" s="8"/>
      <c r="BU295" s="8"/>
      <c r="BV295" s="8"/>
      <c r="BW295" s="8"/>
      <c r="BX295" s="8"/>
      <c r="BY295" s="8"/>
      <c r="BZ295" s="8"/>
      <c r="CA295" s="8"/>
      <c r="CB295" s="8"/>
      <c r="CC295" s="8"/>
      <c r="CD295" s="8"/>
      <c r="CE295" s="8"/>
      <c r="CF295" s="8"/>
      <c r="CG295" s="8"/>
      <c r="CH295" s="8"/>
      <c r="CI295" s="8"/>
      <c r="CJ295" s="8"/>
      <c r="CK295" s="8"/>
      <c r="CL295" s="8"/>
      <c r="CM295" s="8"/>
      <c r="CN295" s="8"/>
    </row>
    <row r="296" spans="7:92" x14ac:dyDescent="0.35">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c r="BP296" s="8"/>
      <c r="BQ296" s="8"/>
      <c r="BR296" s="8"/>
      <c r="BS296" s="8"/>
      <c r="BT296" s="8"/>
      <c r="BU296" s="8"/>
      <c r="BV296" s="8"/>
      <c r="BW296" s="8"/>
      <c r="BX296" s="8"/>
      <c r="BY296" s="8"/>
      <c r="BZ296" s="8"/>
      <c r="CA296" s="8"/>
      <c r="CB296" s="8"/>
      <c r="CC296" s="8"/>
      <c r="CD296" s="8"/>
      <c r="CE296" s="8"/>
      <c r="CF296" s="8"/>
      <c r="CG296" s="8"/>
      <c r="CH296" s="8"/>
      <c r="CI296" s="8"/>
      <c r="CJ296" s="8"/>
      <c r="CK296" s="8"/>
      <c r="CL296" s="8"/>
      <c r="CM296" s="8"/>
      <c r="CN296" s="8"/>
    </row>
    <row r="297" spans="7:92" x14ac:dyDescent="0.35">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c r="BP297" s="8"/>
      <c r="BQ297" s="8"/>
      <c r="BR297" s="8"/>
      <c r="BS297" s="8"/>
      <c r="BT297" s="8"/>
      <c r="BU297" s="8"/>
      <c r="BV297" s="8"/>
      <c r="BW297" s="8"/>
      <c r="BX297" s="8"/>
      <c r="BY297" s="8"/>
      <c r="BZ297" s="8"/>
      <c r="CA297" s="8"/>
      <c r="CB297" s="8"/>
      <c r="CC297" s="8"/>
      <c r="CD297" s="8"/>
      <c r="CE297" s="8"/>
      <c r="CF297" s="8"/>
      <c r="CG297" s="8"/>
      <c r="CH297" s="8"/>
      <c r="CI297" s="8"/>
      <c r="CJ297" s="8"/>
      <c r="CK297" s="8"/>
      <c r="CL297" s="8"/>
      <c r="CM297" s="8"/>
      <c r="CN297" s="8"/>
    </row>
    <row r="298" spans="7:92" x14ac:dyDescent="0.35">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c r="BP298" s="8"/>
      <c r="BQ298" s="8"/>
      <c r="BR298" s="8"/>
      <c r="BS298" s="8"/>
      <c r="BT298" s="8"/>
      <c r="BU298" s="8"/>
      <c r="BV298" s="8"/>
      <c r="BW298" s="8"/>
      <c r="BX298" s="8"/>
      <c r="BY298" s="8"/>
      <c r="BZ298" s="8"/>
      <c r="CA298" s="8"/>
      <c r="CB298" s="8"/>
      <c r="CC298" s="8"/>
      <c r="CD298" s="8"/>
      <c r="CE298" s="8"/>
      <c r="CF298" s="8"/>
      <c r="CG298" s="8"/>
      <c r="CH298" s="8"/>
      <c r="CI298" s="8"/>
      <c r="CJ298" s="8"/>
      <c r="CK298" s="8"/>
      <c r="CL298" s="8"/>
      <c r="CM298" s="8"/>
      <c r="CN298" s="8"/>
    </row>
    <row r="299" spans="7:92" x14ac:dyDescent="0.35">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c r="BP299" s="8"/>
      <c r="BQ299" s="8"/>
      <c r="BR299" s="8"/>
      <c r="BS299" s="8"/>
      <c r="BT299" s="8"/>
      <c r="BU299" s="8"/>
      <c r="BV299" s="8"/>
      <c r="BW299" s="8"/>
      <c r="BX299" s="8"/>
      <c r="BY299" s="8"/>
      <c r="BZ299" s="8"/>
      <c r="CA299" s="8"/>
      <c r="CB299" s="8"/>
      <c r="CC299" s="8"/>
      <c r="CD299" s="8"/>
      <c r="CE299" s="8"/>
      <c r="CF299" s="8"/>
      <c r="CG299" s="8"/>
      <c r="CH299" s="8"/>
      <c r="CI299" s="8"/>
      <c r="CJ299" s="8"/>
      <c r="CK299" s="8"/>
      <c r="CL299" s="8"/>
      <c r="CM299" s="8"/>
      <c r="CN299" s="8"/>
    </row>
    <row r="300" spans="7:92" x14ac:dyDescent="0.35">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c r="BP300" s="8"/>
      <c r="BQ300" s="8"/>
      <c r="BR300" s="8"/>
      <c r="BS300" s="8"/>
      <c r="BT300" s="8"/>
      <c r="BU300" s="8"/>
      <c r="BV300" s="8"/>
      <c r="BW300" s="8"/>
      <c r="BX300" s="8"/>
      <c r="BY300" s="8"/>
      <c r="BZ300" s="8"/>
      <c r="CA300" s="8"/>
      <c r="CB300" s="8"/>
      <c r="CC300" s="8"/>
      <c r="CD300" s="8"/>
      <c r="CE300" s="8"/>
      <c r="CF300" s="8"/>
      <c r="CG300" s="8"/>
      <c r="CH300" s="8"/>
      <c r="CI300" s="8"/>
      <c r="CJ300" s="8"/>
      <c r="CK300" s="8"/>
      <c r="CL300" s="8"/>
      <c r="CM300" s="8"/>
      <c r="CN300" s="8"/>
    </row>
    <row r="301" spans="7:92" x14ac:dyDescent="0.35">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c r="BP301" s="8"/>
      <c r="BQ301" s="8"/>
      <c r="BR301" s="8"/>
      <c r="BS301" s="8"/>
      <c r="BT301" s="8"/>
      <c r="BU301" s="8"/>
      <c r="BV301" s="8"/>
      <c r="BW301" s="8"/>
      <c r="BX301" s="8"/>
      <c r="BY301" s="8"/>
      <c r="BZ301" s="8"/>
      <c r="CA301" s="8"/>
      <c r="CB301" s="8"/>
      <c r="CC301" s="8"/>
      <c r="CD301" s="8"/>
      <c r="CE301" s="8"/>
      <c r="CF301" s="8"/>
      <c r="CG301" s="8"/>
      <c r="CH301" s="8"/>
      <c r="CI301" s="8"/>
      <c r="CJ301" s="8"/>
      <c r="CK301" s="8"/>
      <c r="CL301" s="8"/>
      <c r="CM301" s="8"/>
      <c r="CN301" s="8"/>
    </row>
    <row r="302" spans="7:92" x14ac:dyDescent="0.35">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c r="BP302" s="8"/>
      <c r="BQ302" s="8"/>
      <c r="BR302" s="8"/>
      <c r="BS302" s="8"/>
      <c r="BT302" s="8"/>
      <c r="BU302" s="8"/>
      <c r="BV302" s="8"/>
      <c r="BW302" s="8"/>
      <c r="BX302" s="8"/>
      <c r="BY302" s="8"/>
      <c r="BZ302" s="8"/>
      <c r="CA302" s="8"/>
      <c r="CB302" s="8"/>
      <c r="CC302" s="8"/>
      <c r="CD302" s="8"/>
      <c r="CE302" s="8"/>
      <c r="CF302" s="8"/>
      <c r="CG302" s="8"/>
      <c r="CH302" s="8"/>
      <c r="CI302" s="8"/>
      <c r="CJ302" s="8"/>
      <c r="CK302" s="8"/>
      <c r="CL302" s="8"/>
      <c r="CM302" s="8"/>
      <c r="CN302" s="8"/>
    </row>
    <row r="303" spans="7:92" x14ac:dyDescent="0.35">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c r="BP303" s="8"/>
      <c r="BQ303" s="8"/>
      <c r="BR303" s="8"/>
      <c r="BS303" s="8"/>
      <c r="BT303" s="8"/>
      <c r="BU303" s="8"/>
      <c r="BV303" s="8"/>
      <c r="BW303" s="8"/>
      <c r="BX303" s="8"/>
      <c r="BY303" s="8"/>
      <c r="BZ303" s="8"/>
      <c r="CA303" s="8"/>
      <c r="CB303" s="8"/>
      <c r="CC303" s="8"/>
      <c r="CD303" s="8"/>
      <c r="CE303" s="8"/>
      <c r="CF303" s="8"/>
      <c r="CG303" s="8"/>
      <c r="CH303" s="8"/>
      <c r="CI303" s="8"/>
      <c r="CJ303" s="8"/>
      <c r="CK303" s="8"/>
      <c r="CL303" s="8"/>
      <c r="CM303" s="8"/>
      <c r="CN303" s="8"/>
    </row>
    <row r="304" spans="7:92" x14ac:dyDescent="0.35">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c r="BP304" s="8"/>
      <c r="BQ304" s="8"/>
      <c r="BR304" s="8"/>
      <c r="BS304" s="8"/>
      <c r="BT304" s="8"/>
      <c r="BU304" s="8"/>
      <c r="BV304" s="8"/>
      <c r="BW304" s="8"/>
      <c r="BX304" s="8"/>
      <c r="BY304" s="8"/>
      <c r="BZ304" s="8"/>
      <c r="CA304" s="8"/>
      <c r="CB304" s="8"/>
      <c r="CC304" s="8"/>
      <c r="CD304" s="8"/>
      <c r="CE304" s="8"/>
      <c r="CF304" s="8"/>
      <c r="CG304" s="8"/>
      <c r="CH304" s="8"/>
      <c r="CI304" s="8"/>
      <c r="CJ304" s="8"/>
      <c r="CK304" s="8"/>
      <c r="CL304" s="8"/>
      <c r="CM304" s="8"/>
      <c r="CN304" s="8"/>
    </row>
    <row r="305" spans="7:92" x14ac:dyDescent="0.35">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c r="BP305" s="8"/>
      <c r="BQ305" s="8"/>
      <c r="BR305" s="8"/>
      <c r="BS305" s="8"/>
      <c r="BT305" s="8"/>
      <c r="BU305" s="8"/>
      <c r="BV305" s="8"/>
      <c r="BW305" s="8"/>
      <c r="BX305" s="8"/>
      <c r="BY305" s="8"/>
      <c r="BZ305" s="8"/>
      <c r="CA305" s="8"/>
      <c r="CB305" s="8"/>
      <c r="CC305" s="8"/>
      <c r="CD305" s="8"/>
      <c r="CE305" s="8"/>
      <c r="CF305" s="8"/>
      <c r="CG305" s="8"/>
      <c r="CH305" s="8"/>
      <c r="CI305" s="8"/>
      <c r="CJ305" s="8"/>
      <c r="CK305" s="8"/>
      <c r="CL305" s="8"/>
      <c r="CM305" s="8"/>
      <c r="CN305" s="8"/>
    </row>
    <row r="306" spans="7:92" x14ac:dyDescent="0.35">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c r="BP306" s="8"/>
      <c r="BQ306" s="8"/>
      <c r="BR306" s="8"/>
      <c r="BS306" s="8"/>
      <c r="BT306" s="8"/>
      <c r="BU306" s="8"/>
      <c r="BV306" s="8"/>
      <c r="BW306" s="8"/>
      <c r="BX306" s="8"/>
      <c r="BY306" s="8"/>
      <c r="BZ306" s="8"/>
      <c r="CA306" s="8"/>
      <c r="CB306" s="8"/>
      <c r="CC306" s="8"/>
      <c r="CD306" s="8"/>
      <c r="CE306" s="8"/>
      <c r="CF306" s="8"/>
      <c r="CG306" s="8"/>
      <c r="CH306" s="8"/>
      <c r="CI306" s="8"/>
      <c r="CJ306" s="8"/>
      <c r="CK306" s="8"/>
      <c r="CL306" s="8"/>
      <c r="CM306" s="8"/>
      <c r="CN306" s="8"/>
    </row>
    <row r="307" spans="7:92" x14ac:dyDescent="0.35">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8"/>
      <c r="BN307" s="8"/>
      <c r="BO307" s="8"/>
      <c r="BP307" s="8"/>
      <c r="BQ307" s="8"/>
      <c r="BR307" s="8"/>
      <c r="BS307" s="8"/>
      <c r="BT307" s="8"/>
      <c r="BU307" s="8"/>
      <c r="BV307" s="8"/>
      <c r="BW307" s="8"/>
      <c r="BX307" s="8"/>
      <c r="BY307" s="8"/>
      <c r="BZ307" s="8"/>
      <c r="CA307" s="8"/>
      <c r="CB307" s="8"/>
      <c r="CC307" s="8"/>
      <c r="CD307" s="8"/>
      <c r="CE307" s="8"/>
      <c r="CF307" s="8"/>
      <c r="CG307" s="8"/>
      <c r="CH307" s="8"/>
      <c r="CI307" s="8"/>
      <c r="CJ307" s="8"/>
      <c r="CK307" s="8"/>
      <c r="CL307" s="8"/>
      <c r="CM307" s="8"/>
      <c r="CN307" s="8"/>
    </row>
    <row r="308" spans="7:92" x14ac:dyDescent="0.35">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c r="BP308" s="8"/>
      <c r="BQ308" s="8"/>
      <c r="BR308" s="8"/>
      <c r="BS308" s="8"/>
      <c r="BT308" s="8"/>
      <c r="BU308" s="8"/>
      <c r="BV308" s="8"/>
      <c r="BW308" s="8"/>
      <c r="BX308" s="8"/>
      <c r="BY308" s="8"/>
      <c r="BZ308" s="8"/>
      <c r="CA308" s="8"/>
      <c r="CB308" s="8"/>
      <c r="CC308" s="8"/>
      <c r="CD308" s="8"/>
      <c r="CE308" s="8"/>
      <c r="CF308" s="8"/>
      <c r="CG308" s="8"/>
      <c r="CH308" s="8"/>
      <c r="CI308" s="8"/>
      <c r="CJ308" s="8"/>
      <c r="CK308" s="8"/>
      <c r="CL308" s="8"/>
      <c r="CM308" s="8"/>
      <c r="CN308" s="8"/>
    </row>
    <row r="309" spans="7:92" x14ac:dyDescent="0.35">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8"/>
      <c r="BP309" s="8"/>
      <c r="BQ309" s="8"/>
      <c r="BR309" s="8"/>
      <c r="BS309" s="8"/>
      <c r="BT309" s="8"/>
      <c r="BU309" s="8"/>
      <c r="BV309" s="8"/>
      <c r="BW309" s="8"/>
      <c r="BX309" s="8"/>
      <c r="BY309" s="8"/>
      <c r="BZ309" s="8"/>
      <c r="CA309" s="8"/>
      <c r="CB309" s="8"/>
      <c r="CC309" s="8"/>
      <c r="CD309" s="8"/>
      <c r="CE309" s="8"/>
      <c r="CF309" s="8"/>
      <c r="CG309" s="8"/>
      <c r="CH309" s="8"/>
      <c r="CI309" s="8"/>
      <c r="CJ309" s="8"/>
      <c r="CK309" s="8"/>
      <c r="CL309" s="8"/>
      <c r="CM309" s="8"/>
      <c r="CN309" s="8"/>
    </row>
    <row r="310" spans="7:92" x14ac:dyDescent="0.35">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8"/>
      <c r="BM310" s="8"/>
      <c r="BN310" s="8"/>
      <c r="BO310" s="8"/>
      <c r="BP310" s="8"/>
      <c r="BQ310" s="8"/>
      <c r="BR310" s="8"/>
      <c r="BS310" s="8"/>
      <c r="BT310" s="8"/>
      <c r="BU310" s="8"/>
      <c r="BV310" s="8"/>
      <c r="BW310" s="8"/>
      <c r="BX310" s="8"/>
      <c r="BY310" s="8"/>
      <c r="BZ310" s="8"/>
      <c r="CA310" s="8"/>
      <c r="CB310" s="8"/>
      <c r="CC310" s="8"/>
      <c r="CD310" s="8"/>
      <c r="CE310" s="8"/>
      <c r="CF310" s="8"/>
      <c r="CG310" s="8"/>
      <c r="CH310" s="8"/>
      <c r="CI310" s="8"/>
      <c r="CJ310" s="8"/>
      <c r="CK310" s="8"/>
      <c r="CL310" s="8"/>
      <c r="CM310" s="8"/>
      <c r="CN310" s="8"/>
    </row>
    <row r="311" spans="7:92" x14ac:dyDescent="0.35">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c r="BP311" s="8"/>
      <c r="BQ311" s="8"/>
      <c r="BR311" s="8"/>
      <c r="BS311" s="8"/>
      <c r="BT311" s="8"/>
      <c r="BU311" s="8"/>
      <c r="BV311" s="8"/>
      <c r="BW311" s="8"/>
      <c r="BX311" s="8"/>
      <c r="BY311" s="8"/>
      <c r="BZ311" s="8"/>
      <c r="CA311" s="8"/>
      <c r="CB311" s="8"/>
      <c r="CC311" s="8"/>
      <c r="CD311" s="8"/>
      <c r="CE311" s="8"/>
      <c r="CF311" s="8"/>
      <c r="CG311" s="8"/>
      <c r="CH311" s="8"/>
      <c r="CI311" s="8"/>
      <c r="CJ311" s="8"/>
      <c r="CK311" s="8"/>
      <c r="CL311" s="8"/>
      <c r="CM311" s="8"/>
      <c r="CN311" s="8"/>
    </row>
    <row r="312" spans="7:92" x14ac:dyDescent="0.35">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8"/>
      <c r="BM312" s="8"/>
      <c r="BN312" s="8"/>
      <c r="BO312" s="8"/>
      <c r="BP312" s="8"/>
      <c r="BQ312" s="8"/>
      <c r="BR312" s="8"/>
      <c r="BS312" s="8"/>
      <c r="BT312" s="8"/>
      <c r="BU312" s="8"/>
      <c r="BV312" s="8"/>
      <c r="BW312" s="8"/>
      <c r="BX312" s="8"/>
      <c r="BY312" s="8"/>
      <c r="BZ312" s="8"/>
      <c r="CA312" s="8"/>
      <c r="CB312" s="8"/>
      <c r="CC312" s="8"/>
      <c r="CD312" s="8"/>
      <c r="CE312" s="8"/>
      <c r="CF312" s="8"/>
      <c r="CG312" s="8"/>
      <c r="CH312" s="8"/>
      <c r="CI312" s="8"/>
      <c r="CJ312" s="8"/>
      <c r="CK312" s="8"/>
      <c r="CL312" s="8"/>
      <c r="CM312" s="8"/>
      <c r="CN312" s="8"/>
    </row>
    <row r="313" spans="7:92" x14ac:dyDescent="0.35">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c r="BO313" s="8"/>
      <c r="BP313" s="8"/>
      <c r="BQ313" s="8"/>
      <c r="BR313" s="8"/>
      <c r="BS313" s="8"/>
      <c r="BT313" s="8"/>
      <c r="BU313" s="8"/>
      <c r="BV313" s="8"/>
      <c r="BW313" s="8"/>
      <c r="BX313" s="8"/>
      <c r="BY313" s="8"/>
      <c r="BZ313" s="8"/>
      <c r="CA313" s="8"/>
      <c r="CB313" s="8"/>
      <c r="CC313" s="8"/>
      <c r="CD313" s="8"/>
      <c r="CE313" s="8"/>
      <c r="CF313" s="8"/>
      <c r="CG313" s="8"/>
      <c r="CH313" s="8"/>
      <c r="CI313" s="8"/>
      <c r="CJ313" s="8"/>
      <c r="CK313" s="8"/>
      <c r="CL313" s="8"/>
      <c r="CM313" s="8"/>
      <c r="CN313" s="8"/>
    </row>
    <row r="314" spans="7:92" x14ac:dyDescent="0.35">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8"/>
      <c r="BM314" s="8"/>
      <c r="BN314" s="8"/>
      <c r="BO314" s="8"/>
      <c r="BP314" s="8"/>
      <c r="BQ314" s="8"/>
      <c r="BR314" s="8"/>
      <c r="BS314" s="8"/>
      <c r="BT314" s="8"/>
      <c r="BU314" s="8"/>
      <c r="BV314" s="8"/>
      <c r="BW314" s="8"/>
      <c r="BX314" s="8"/>
      <c r="BY314" s="8"/>
      <c r="BZ314" s="8"/>
      <c r="CA314" s="8"/>
      <c r="CB314" s="8"/>
      <c r="CC314" s="8"/>
      <c r="CD314" s="8"/>
      <c r="CE314" s="8"/>
      <c r="CF314" s="8"/>
      <c r="CG314" s="8"/>
      <c r="CH314" s="8"/>
      <c r="CI314" s="8"/>
      <c r="CJ314" s="8"/>
      <c r="CK314" s="8"/>
      <c r="CL314" s="8"/>
      <c r="CM314" s="8"/>
      <c r="CN314" s="8"/>
    </row>
    <row r="315" spans="7:92" x14ac:dyDescent="0.35">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c r="BJ315" s="8"/>
      <c r="BK315" s="8"/>
      <c r="BL315" s="8"/>
      <c r="BM315" s="8"/>
      <c r="BN315" s="8"/>
      <c r="BO315" s="8"/>
      <c r="BP315" s="8"/>
      <c r="BQ315" s="8"/>
      <c r="BR315" s="8"/>
      <c r="BS315" s="8"/>
      <c r="BT315" s="8"/>
      <c r="BU315" s="8"/>
      <c r="BV315" s="8"/>
      <c r="BW315" s="8"/>
      <c r="BX315" s="8"/>
      <c r="BY315" s="8"/>
      <c r="BZ315" s="8"/>
      <c r="CA315" s="8"/>
      <c r="CB315" s="8"/>
      <c r="CC315" s="8"/>
      <c r="CD315" s="8"/>
      <c r="CE315" s="8"/>
      <c r="CF315" s="8"/>
      <c r="CG315" s="8"/>
      <c r="CH315" s="8"/>
      <c r="CI315" s="8"/>
      <c r="CJ315" s="8"/>
      <c r="CK315" s="8"/>
      <c r="CL315" s="8"/>
      <c r="CM315" s="8"/>
      <c r="CN315" s="8"/>
    </row>
    <row r="316" spans="7:92" x14ac:dyDescent="0.35">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c r="BL316" s="8"/>
      <c r="BM316" s="8"/>
      <c r="BN316" s="8"/>
      <c r="BO316" s="8"/>
      <c r="BP316" s="8"/>
      <c r="BQ316" s="8"/>
      <c r="BR316" s="8"/>
      <c r="BS316" s="8"/>
      <c r="BT316" s="8"/>
      <c r="BU316" s="8"/>
      <c r="BV316" s="8"/>
      <c r="BW316" s="8"/>
      <c r="BX316" s="8"/>
      <c r="BY316" s="8"/>
      <c r="BZ316" s="8"/>
      <c r="CA316" s="8"/>
      <c r="CB316" s="8"/>
      <c r="CC316" s="8"/>
      <c r="CD316" s="8"/>
      <c r="CE316" s="8"/>
      <c r="CF316" s="8"/>
      <c r="CG316" s="8"/>
      <c r="CH316" s="8"/>
      <c r="CI316" s="8"/>
      <c r="CJ316" s="8"/>
      <c r="CK316" s="8"/>
      <c r="CL316" s="8"/>
      <c r="CM316" s="8"/>
      <c r="CN316" s="8"/>
    </row>
    <row r="317" spans="7:92" x14ac:dyDescent="0.35">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8"/>
      <c r="BM317" s="8"/>
      <c r="BN317" s="8"/>
      <c r="BO317" s="8"/>
      <c r="BP317" s="8"/>
      <c r="BQ317" s="8"/>
      <c r="BR317" s="8"/>
      <c r="BS317" s="8"/>
      <c r="BT317" s="8"/>
      <c r="BU317" s="8"/>
      <c r="BV317" s="8"/>
      <c r="BW317" s="8"/>
      <c r="BX317" s="8"/>
      <c r="BY317" s="8"/>
      <c r="BZ317" s="8"/>
      <c r="CA317" s="8"/>
      <c r="CB317" s="8"/>
      <c r="CC317" s="8"/>
      <c r="CD317" s="8"/>
      <c r="CE317" s="8"/>
      <c r="CF317" s="8"/>
      <c r="CG317" s="8"/>
      <c r="CH317" s="8"/>
      <c r="CI317" s="8"/>
      <c r="CJ317" s="8"/>
      <c r="CK317" s="8"/>
      <c r="CL317" s="8"/>
      <c r="CM317" s="8"/>
      <c r="CN317" s="8"/>
    </row>
    <row r="318" spans="7:92" x14ac:dyDescent="0.35">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c r="BJ318" s="8"/>
      <c r="BK318" s="8"/>
      <c r="BL318" s="8"/>
      <c r="BM318" s="8"/>
      <c r="BN318" s="8"/>
      <c r="BO318" s="8"/>
      <c r="BP318" s="8"/>
      <c r="BQ318" s="8"/>
      <c r="BR318" s="8"/>
      <c r="BS318" s="8"/>
      <c r="BT318" s="8"/>
      <c r="BU318" s="8"/>
      <c r="BV318" s="8"/>
      <c r="BW318" s="8"/>
      <c r="BX318" s="8"/>
      <c r="BY318" s="8"/>
      <c r="BZ318" s="8"/>
      <c r="CA318" s="8"/>
      <c r="CB318" s="8"/>
      <c r="CC318" s="8"/>
      <c r="CD318" s="8"/>
      <c r="CE318" s="8"/>
      <c r="CF318" s="8"/>
      <c r="CG318" s="8"/>
      <c r="CH318" s="8"/>
      <c r="CI318" s="8"/>
      <c r="CJ318" s="8"/>
      <c r="CK318" s="8"/>
      <c r="CL318" s="8"/>
      <c r="CM318" s="8"/>
      <c r="CN318" s="8"/>
    </row>
    <row r="319" spans="7:92" x14ac:dyDescent="0.35">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c r="BG319" s="8"/>
      <c r="BH319" s="8"/>
      <c r="BI319" s="8"/>
      <c r="BJ319" s="8"/>
      <c r="BK319" s="8"/>
      <c r="BL319" s="8"/>
      <c r="BM319" s="8"/>
      <c r="BN319" s="8"/>
      <c r="BO319" s="8"/>
      <c r="BP319" s="8"/>
      <c r="BQ319" s="8"/>
      <c r="BR319" s="8"/>
      <c r="BS319" s="8"/>
      <c r="BT319" s="8"/>
      <c r="BU319" s="8"/>
      <c r="BV319" s="8"/>
      <c r="BW319" s="8"/>
      <c r="BX319" s="8"/>
      <c r="BY319" s="8"/>
      <c r="BZ319" s="8"/>
      <c r="CA319" s="8"/>
      <c r="CB319" s="8"/>
      <c r="CC319" s="8"/>
      <c r="CD319" s="8"/>
      <c r="CE319" s="8"/>
      <c r="CF319" s="8"/>
      <c r="CG319" s="8"/>
      <c r="CH319" s="8"/>
      <c r="CI319" s="8"/>
      <c r="CJ319" s="8"/>
      <c r="CK319" s="8"/>
      <c r="CL319" s="8"/>
      <c r="CM319" s="8"/>
      <c r="CN319" s="8"/>
    </row>
    <row r="320" spans="7:92" x14ac:dyDescent="0.35">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c r="BH320" s="8"/>
      <c r="BI320" s="8"/>
      <c r="BJ320" s="8"/>
      <c r="BK320" s="8"/>
      <c r="BL320" s="8"/>
      <c r="BM320" s="8"/>
      <c r="BN320" s="8"/>
      <c r="BO320" s="8"/>
      <c r="BP320" s="8"/>
      <c r="BQ320" s="8"/>
      <c r="BR320" s="8"/>
      <c r="BS320" s="8"/>
      <c r="BT320" s="8"/>
      <c r="BU320" s="8"/>
      <c r="BV320" s="8"/>
      <c r="BW320" s="8"/>
      <c r="BX320" s="8"/>
      <c r="BY320" s="8"/>
      <c r="BZ320" s="8"/>
      <c r="CA320" s="8"/>
      <c r="CB320" s="8"/>
      <c r="CC320" s="8"/>
      <c r="CD320" s="8"/>
      <c r="CE320" s="8"/>
      <c r="CF320" s="8"/>
      <c r="CG320" s="8"/>
      <c r="CH320" s="8"/>
      <c r="CI320" s="8"/>
      <c r="CJ320" s="8"/>
      <c r="CK320" s="8"/>
      <c r="CL320" s="8"/>
      <c r="CM320" s="8"/>
      <c r="CN320" s="8"/>
    </row>
    <row r="321" spans="7:92" x14ac:dyDescent="0.35">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8"/>
      <c r="BM321" s="8"/>
      <c r="BN321" s="8"/>
      <c r="BO321" s="8"/>
      <c r="BP321" s="8"/>
      <c r="BQ321" s="8"/>
      <c r="BR321" s="8"/>
      <c r="BS321" s="8"/>
      <c r="BT321" s="8"/>
      <c r="BU321" s="8"/>
      <c r="BV321" s="8"/>
      <c r="BW321" s="8"/>
      <c r="BX321" s="8"/>
      <c r="BY321" s="8"/>
      <c r="BZ321" s="8"/>
      <c r="CA321" s="8"/>
      <c r="CB321" s="8"/>
      <c r="CC321" s="8"/>
      <c r="CD321" s="8"/>
      <c r="CE321" s="8"/>
      <c r="CF321" s="8"/>
      <c r="CG321" s="8"/>
      <c r="CH321" s="8"/>
      <c r="CI321" s="8"/>
      <c r="CJ321" s="8"/>
      <c r="CK321" s="8"/>
      <c r="CL321" s="8"/>
      <c r="CM321" s="8"/>
      <c r="CN321" s="8"/>
    </row>
    <row r="322" spans="7:92" x14ac:dyDescent="0.35">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c r="BJ322" s="8"/>
      <c r="BK322" s="8"/>
      <c r="BL322" s="8"/>
      <c r="BM322" s="8"/>
      <c r="BN322" s="8"/>
      <c r="BO322" s="8"/>
      <c r="BP322" s="8"/>
      <c r="BQ322" s="8"/>
      <c r="BR322" s="8"/>
      <c r="BS322" s="8"/>
      <c r="BT322" s="8"/>
      <c r="BU322" s="8"/>
      <c r="BV322" s="8"/>
      <c r="BW322" s="8"/>
      <c r="BX322" s="8"/>
      <c r="BY322" s="8"/>
      <c r="BZ322" s="8"/>
      <c r="CA322" s="8"/>
      <c r="CB322" s="8"/>
      <c r="CC322" s="8"/>
      <c r="CD322" s="8"/>
      <c r="CE322" s="8"/>
      <c r="CF322" s="8"/>
      <c r="CG322" s="8"/>
      <c r="CH322" s="8"/>
      <c r="CI322" s="8"/>
      <c r="CJ322" s="8"/>
      <c r="CK322" s="8"/>
      <c r="CL322" s="8"/>
      <c r="CM322" s="8"/>
      <c r="CN322" s="8"/>
    </row>
    <row r="323" spans="7:92" x14ac:dyDescent="0.35">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c r="BP323" s="8"/>
      <c r="BQ323" s="8"/>
      <c r="BR323" s="8"/>
      <c r="BS323" s="8"/>
      <c r="BT323" s="8"/>
      <c r="BU323" s="8"/>
      <c r="BV323" s="8"/>
      <c r="BW323" s="8"/>
      <c r="BX323" s="8"/>
      <c r="BY323" s="8"/>
      <c r="BZ323" s="8"/>
      <c r="CA323" s="8"/>
      <c r="CB323" s="8"/>
      <c r="CC323" s="8"/>
      <c r="CD323" s="8"/>
      <c r="CE323" s="8"/>
      <c r="CF323" s="8"/>
      <c r="CG323" s="8"/>
      <c r="CH323" s="8"/>
      <c r="CI323" s="8"/>
      <c r="CJ323" s="8"/>
      <c r="CK323" s="8"/>
      <c r="CL323" s="8"/>
      <c r="CM323" s="8"/>
      <c r="CN323" s="8"/>
    </row>
    <row r="324" spans="7:92" x14ac:dyDescent="0.35">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8"/>
      <c r="BM324" s="8"/>
      <c r="BN324" s="8"/>
      <c r="BO324" s="8"/>
      <c r="BP324" s="8"/>
      <c r="BQ324" s="8"/>
      <c r="BR324" s="8"/>
      <c r="BS324" s="8"/>
      <c r="BT324" s="8"/>
      <c r="BU324" s="8"/>
      <c r="BV324" s="8"/>
      <c r="BW324" s="8"/>
      <c r="BX324" s="8"/>
      <c r="BY324" s="8"/>
      <c r="BZ324" s="8"/>
      <c r="CA324" s="8"/>
      <c r="CB324" s="8"/>
      <c r="CC324" s="8"/>
      <c r="CD324" s="8"/>
      <c r="CE324" s="8"/>
      <c r="CF324" s="8"/>
      <c r="CG324" s="8"/>
      <c r="CH324" s="8"/>
      <c r="CI324" s="8"/>
      <c r="CJ324" s="8"/>
      <c r="CK324" s="8"/>
      <c r="CL324" s="8"/>
      <c r="CM324" s="8"/>
      <c r="CN324" s="8"/>
    </row>
    <row r="325" spans="7:92" x14ac:dyDescent="0.35">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8"/>
      <c r="BQ325" s="8"/>
      <c r="BR325" s="8"/>
      <c r="BS325" s="8"/>
      <c r="BT325" s="8"/>
      <c r="BU325" s="8"/>
      <c r="BV325" s="8"/>
      <c r="BW325" s="8"/>
      <c r="BX325" s="8"/>
      <c r="BY325" s="8"/>
      <c r="BZ325" s="8"/>
      <c r="CA325" s="8"/>
      <c r="CB325" s="8"/>
      <c r="CC325" s="8"/>
      <c r="CD325" s="8"/>
      <c r="CE325" s="8"/>
      <c r="CF325" s="8"/>
      <c r="CG325" s="8"/>
      <c r="CH325" s="8"/>
      <c r="CI325" s="8"/>
      <c r="CJ325" s="8"/>
      <c r="CK325" s="8"/>
      <c r="CL325" s="8"/>
      <c r="CM325" s="8"/>
      <c r="CN325" s="8"/>
    </row>
    <row r="326" spans="7:92" x14ac:dyDescent="0.35">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c r="BP326" s="8"/>
      <c r="BQ326" s="8"/>
      <c r="BR326" s="8"/>
      <c r="BS326" s="8"/>
      <c r="BT326" s="8"/>
      <c r="BU326" s="8"/>
      <c r="BV326" s="8"/>
      <c r="BW326" s="8"/>
      <c r="BX326" s="8"/>
      <c r="BY326" s="8"/>
      <c r="BZ326" s="8"/>
      <c r="CA326" s="8"/>
      <c r="CB326" s="8"/>
      <c r="CC326" s="8"/>
      <c r="CD326" s="8"/>
      <c r="CE326" s="8"/>
      <c r="CF326" s="8"/>
      <c r="CG326" s="8"/>
      <c r="CH326" s="8"/>
      <c r="CI326" s="8"/>
      <c r="CJ326" s="8"/>
      <c r="CK326" s="8"/>
      <c r="CL326" s="8"/>
      <c r="CM326" s="8"/>
      <c r="CN326" s="8"/>
    </row>
    <row r="327" spans="7:92" x14ac:dyDescent="0.35">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c r="BQ327" s="8"/>
      <c r="BR327" s="8"/>
      <c r="BS327" s="8"/>
      <c r="BT327" s="8"/>
      <c r="BU327" s="8"/>
      <c r="BV327" s="8"/>
      <c r="BW327" s="8"/>
      <c r="BX327" s="8"/>
      <c r="BY327" s="8"/>
      <c r="BZ327" s="8"/>
      <c r="CA327" s="8"/>
      <c r="CB327" s="8"/>
      <c r="CC327" s="8"/>
      <c r="CD327" s="8"/>
      <c r="CE327" s="8"/>
      <c r="CF327" s="8"/>
      <c r="CG327" s="8"/>
      <c r="CH327" s="8"/>
      <c r="CI327" s="8"/>
      <c r="CJ327" s="8"/>
      <c r="CK327" s="8"/>
      <c r="CL327" s="8"/>
      <c r="CM327" s="8"/>
      <c r="CN327" s="8"/>
    </row>
    <row r="328" spans="7:92" x14ac:dyDescent="0.35">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c r="BQ328" s="8"/>
      <c r="BR328" s="8"/>
      <c r="BS328" s="8"/>
      <c r="BT328" s="8"/>
      <c r="BU328" s="8"/>
      <c r="BV328" s="8"/>
      <c r="BW328" s="8"/>
      <c r="BX328" s="8"/>
      <c r="BY328" s="8"/>
      <c r="BZ328" s="8"/>
      <c r="CA328" s="8"/>
      <c r="CB328" s="8"/>
      <c r="CC328" s="8"/>
      <c r="CD328" s="8"/>
      <c r="CE328" s="8"/>
      <c r="CF328" s="8"/>
      <c r="CG328" s="8"/>
      <c r="CH328" s="8"/>
      <c r="CI328" s="8"/>
      <c r="CJ328" s="8"/>
      <c r="CK328" s="8"/>
      <c r="CL328" s="8"/>
      <c r="CM328" s="8"/>
      <c r="CN328" s="8"/>
    </row>
    <row r="329" spans="7:92" x14ac:dyDescent="0.35">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c r="BQ329" s="8"/>
      <c r="BR329" s="8"/>
      <c r="BS329" s="8"/>
      <c r="BT329" s="8"/>
      <c r="BU329" s="8"/>
      <c r="BV329" s="8"/>
      <c r="BW329" s="8"/>
      <c r="BX329" s="8"/>
      <c r="BY329" s="8"/>
      <c r="BZ329" s="8"/>
      <c r="CA329" s="8"/>
      <c r="CB329" s="8"/>
      <c r="CC329" s="8"/>
      <c r="CD329" s="8"/>
      <c r="CE329" s="8"/>
      <c r="CF329" s="8"/>
      <c r="CG329" s="8"/>
      <c r="CH329" s="8"/>
      <c r="CI329" s="8"/>
      <c r="CJ329" s="8"/>
      <c r="CK329" s="8"/>
      <c r="CL329" s="8"/>
      <c r="CM329" s="8"/>
      <c r="CN329" s="8"/>
    </row>
    <row r="330" spans="7:92" x14ac:dyDescent="0.35">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c r="BQ330" s="8"/>
      <c r="BR330" s="8"/>
      <c r="BS330" s="8"/>
      <c r="BT330" s="8"/>
      <c r="BU330" s="8"/>
      <c r="BV330" s="8"/>
      <c r="BW330" s="8"/>
      <c r="BX330" s="8"/>
      <c r="BY330" s="8"/>
      <c r="BZ330" s="8"/>
      <c r="CA330" s="8"/>
      <c r="CB330" s="8"/>
      <c r="CC330" s="8"/>
      <c r="CD330" s="8"/>
      <c r="CE330" s="8"/>
      <c r="CF330" s="8"/>
      <c r="CG330" s="8"/>
      <c r="CH330" s="8"/>
      <c r="CI330" s="8"/>
      <c r="CJ330" s="8"/>
      <c r="CK330" s="8"/>
      <c r="CL330" s="8"/>
      <c r="CM330" s="8"/>
      <c r="CN330" s="8"/>
    </row>
    <row r="331" spans="7:92" x14ac:dyDescent="0.35">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c r="BQ331" s="8"/>
      <c r="BR331" s="8"/>
      <c r="BS331" s="8"/>
      <c r="BT331" s="8"/>
      <c r="BU331" s="8"/>
      <c r="BV331" s="8"/>
      <c r="BW331" s="8"/>
      <c r="BX331" s="8"/>
      <c r="BY331" s="8"/>
      <c r="BZ331" s="8"/>
      <c r="CA331" s="8"/>
      <c r="CB331" s="8"/>
      <c r="CC331" s="8"/>
      <c r="CD331" s="8"/>
      <c r="CE331" s="8"/>
      <c r="CF331" s="8"/>
      <c r="CG331" s="8"/>
      <c r="CH331" s="8"/>
      <c r="CI331" s="8"/>
      <c r="CJ331" s="8"/>
      <c r="CK331" s="8"/>
      <c r="CL331" s="8"/>
      <c r="CM331" s="8"/>
      <c r="CN331" s="8"/>
    </row>
    <row r="332" spans="7:92" x14ac:dyDescent="0.35">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c r="BQ332" s="8"/>
      <c r="BR332" s="8"/>
      <c r="BS332" s="8"/>
      <c r="BT332" s="8"/>
      <c r="BU332" s="8"/>
      <c r="BV332" s="8"/>
      <c r="BW332" s="8"/>
      <c r="BX332" s="8"/>
      <c r="BY332" s="8"/>
      <c r="BZ332" s="8"/>
      <c r="CA332" s="8"/>
      <c r="CB332" s="8"/>
      <c r="CC332" s="8"/>
      <c r="CD332" s="8"/>
      <c r="CE332" s="8"/>
      <c r="CF332" s="8"/>
      <c r="CG332" s="8"/>
      <c r="CH332" s="8"/>
      <c r="CI332" s="8"/>
      <c r="CJ332" s="8"/>
      <c r="CK332" s="8"/>
      <c r="CL332" s="8"/>
      <c r="CM332" s="8"/>
      <c r="CN332" s="8"/>
    </row>
    <row r="333" spans="7:92" x14ac:dyDescent="0.35">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c r="BQ333" s="8"/>
      <c r="BR333" s="8"/>
      <c r="BS333" s="8"/>
      <c r="BT333" s="8"/>
      <c r="BU333" s="8"/>
      <c r="BV333" s="8"/>
      <c r="BW333" s="8"/>
      <c r="BX333" s="8"/>
      <c r="BY333" s="8"/>
      <c r="BZ333" s="8"/>
      <c r="CA333" s="8"/>
      <c r="CB333" s="8"/>
      <c r="CC333" s="8"/>
      <c r="CD333" s="8"/>
      <c r="CE333" s="8"/>
      <c r="CF333" s="8"/>
      <c r="CG333" s="8"/>
      <c r="CH333" s="8"/>
      <c r="CI333" s="8"/>
      <c r="CJ333" s="8"/>
      <c r="CK333" s="8"/>
      <c r="CL333" s="8"/>
      <c r="CM333" s="8"/>
      <c r="CN333" s="8"/>
    </row>
    <row r="334" spans="7:92" x14ac:dyDescent="0.35">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c r="BQ334" s="8"/>
      <c r="BR334" s="8"/>
      <c r="BS334" s="8"/>
      <c r="BT334" s="8"/>
      <c r="BU334" s="8"/>
      <c r="BV334" s="8"/>
      <c r="BW334" s="8"/>
      <c r="BX334" s="8"/>
      <c r="BY334" s="8"/>
      <c r="BZ334" s="8"/>
      <c r="CA334" s="8"/>
      <c r="CB334" s="8"/>
      <c r="CC334" s="8"/>
      <c r="CD334" s="8"/>
      <c r="CE334" s="8"/>
      <c r="CF334" s="8"/>
      <c r="CG334" s="8"/>
      <c r="CH334" s="8"/>
      <c r="CI334" s="8"/>
      <c r="CJ334" s="8"/>
      <c r="CK334" s="8"/>
      <c r="CL334" s="8"/>
      <c r="CM334" s="8"/>
      <c r="CN334" s="8"/>
    </row>
    <row r="335" spans="7:92" x14ac:dyDescent="0.35">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c r="BQ335" s="8"/>
      <c r="BR335" s="8"/>
      <c r="BS335" s="8"/>
      <c r="BT335" s="8"/>
      <c r="BU335" s="8"/>
      <c r="BV335" s="8"/>
      <c r="BW335" s="8"/>
      <c r="BX335" s="8"/>
      <c r="BY335" s="8"/>
      <c r="BZ335" s="8"/>
      <c r="CA335" s="8"/>
      <c r="CB335" s="8"/>
      <c r="CC335" s="8"/>
      <c r="CD335" s="8"/>
      <c r="CE335" s="8"/>
      <c r="CF335" s="8"/>
      <c r="CG335" s="8"/>
      <c r="CH335" s="8"/>
      <c r="CI335" s="8"/>
      <c r="CJ335" s="8"/>
      <c r="CK335" s="8"/>
      <c r="CL335" s="8"/>
      <c r="CM335" s="8"/>
      <c r="CN335" s="8"/>
    </row>
    <row r="336" spans="7:92" x14ac:dyDescent="0.35">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c r="BQ336" s="8"/>
      <c r="BR336" s="8"/>
      <c r="BS336" s="8"/>
      <c r="BT336" s="8"/>
      <c r="BU336" s="8"/>
      <c r="BV336" s="8"/>
      <c r="BW336" s="8"/>
      <c r="BX336" s="8"/>
      <c r="BY336" s="8"/>
      <c r="BZ336" s="8"/>
      <c r="CA336" s="8"/>
      <c r="CB336" s="8"/>
      <c r="CC336" s="8"/>
      <c r="CD336" s="8"/>
      <c r="CE336" s="8"/>
      <c r="CF336" s="8"/>
      <c r="CG336" s="8"/>
      <c r="CH336" s="8"/>
      <c r="CI336" s="8"/>
      <c r="CJ336" s="8"/>
      <c r="CK336" s="8"/>
      <c r="CL336" s="8"/>
      <c r="CM336" s="8"/>
      <c r="CN336" s="8"/>
    </row>
    <row r="337" spans="7:92" x14ac:dyDescent="0.35">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c r="BQ337" s="8"/>
      <c r="BR337" s="8"/>
      <c r="BS337" s="8"/>
      <c r="BT337" s="8"/>
      <c r="BU337" s="8"/>
      <c r="BV337" s="8"/>
      <c r="BW337" s="8"/>
      <c r="BX337" s="8"/>
      <c r="BY337" s="8"/>
      <c r="BZ337" s="8"/>
      <c r="CA337" s="8"/>
      <c r="CB337" s="8"/>
      <c r="CC337" s="8"/>
      <c r="CD337" s="8"/>
      <c r="CE337" s="8"/>
      <c r="CF337" s="8"/>
      <c r="CG337" s="8"/>
      <c r="CH337" s="8"/>
      <c r="CI337" s="8"/>
      <c r="CJ337" s="8"/>
      <c r="CK337" s="8"/>
      <c r="CL337" s="8"/>
      <c r="CM337" s="8"/>
      <c r="CN337" s="8"/>
    </row>
    <row r="338" spans="7:92" x14ac:dyDescent="0.35">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c r="BQ338" s="8"/>
      <c r="BR338" s="8"/>
      <c r="BS338" s="8"/>
      <c r="BT338" s="8"/>
      <c r="BU338" s="8"/>
      <c r="BV338" s="8"/>
      <c r="BW338" s="8"/>
      <c r="BX338" s="8"/>
      <c r="BY338" s="8"/>
      <c r="BZ338" s="8"/>
      <c r="CA338" s="8"/>
      <c r="CB338" s="8"/>
      <c r="CC338" s="8"/>
      <c r="CD338" s="8"/>
      <c r="CE338" s="8"/>
      <c r="CF338" s="8"/>
      <c r="CG338" s="8"/>
      <c r="CH338" s="8"/>
      <c r="CI338" s="8"/>
      <c r="CJ338" s="8"/>
      <c r="CK338" s="8"/>
      <c r="CL338" s="8"/>
      <c r="CM338" s="8"/>
      <c r="CN338" s="8"/>
    </row>
    <row r="339" spans="7:92" x14ac:dyDescent="0.35">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c r="BQ339" s="8"/>
      <c r="BR339" s="8"/>
      <c r="BS339" s="8"/>
      <c r="BT339" s="8"/>
      <c r="BU339" s="8"/>
      <c r="BV339" s="8"/>
      <c r="BW339" s="8"/>
      <c r="BX339" s="8"/>
      <c r="BY339" s="8"/>
      <c r="BZ339" s="8"/>
      <c r="CA339" s="8"/>
      <c r="CB339" s="8"/>
      <c r="CC339" s="8"/>
      <c r="CD339" s="8"/>
      <c r="CE339" s="8"/>
      <c r="CF339" s="8"/>
      <c r="CG339" s="8"/>
      <c r="CH339" s="8"/>
      <c r="CI339" s="8"/>
      <c r="CJ339" s="8"/>
      <c r="CK339" s="8"/>
      <c r="CL339" s="8"/>
      <c r="CM339" s="8"/>
      <c r="CN339" s="8"/>
    </row>
    <row r="340" spans="7:92" x14ac:dyDescent="0.35">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c r="BQ340" s="8"/>
      <c r="BR340" s="8"/>
      <c r="BS340" s="8"/>
      <c r="BT340" s="8"/>
      <c r="BU340" s="8"/>
      <c r="BV340" s="8"/>
      <c r="BW340" s="8"/>
      <c r="BX340" s="8"/>
      <c r="BY340" s="8"/>
      <c r="BZ340" s="8"/>
      <c r="CA340" s="8"/>
      <c r="CB340" s="8"/>
      <c r="CC340" s="8"/>
      <c r="CD340" s="8"/>
      <c r="CE340" s="8"/>
      <c r="CF340" s="8"/>
      <c r="CG340" s="8"/>
      <c r="CH340" s="8"/>
      <c r="CI340" s="8"/>
      <c r="CJ340" s="8"/>
      <c r="CK340" s="8"/>
      <c r="CL340" s="8"/>
      <c r="CM340" s="8"/>
      <c r="CN340" s="8"/>
    </row>
    <row r="341" spans="7:92" x14ac:dyDescent="0.35">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c r="BQ341" s="8"/>
      <c r="BR341" s="8"/>
      <c r="BS341" s="8"/>
      <c r="BT341" s="8"/>
      <c r="BU341" s="8"/>
      <c r="BV341" s="8"/>
      <c r="BW341" s="8"/>
      <c r="BX341" s="8"/>
      <c r="BY341" s="8"/>
      <c r="BZ341" s="8"/>
      <c r="CA341" s="8"/>
      <c r="CB341" s="8"/>
      <c r="CC341" s="8"/>
      <c r="CD341" s="8"/>
      <c r="CE341" s="8"/>
      <c r="CF341" s="8"/>
      <c r="CG341" s="8"/>
      <c r="CH341" s="8"/>
      <c r="CI341" s="8"/>
      <c r="CJ341" s="8"/>
      <c r="CK341" s="8"/>
      <c r="CL341" s="8"/>
      <c r="CM341" s="8"/>
      <c r="CN341" s="8"/>
    </row>
    <row r="342" spans="7:92" x14ac:dyDescent="0.35">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c r="BQ342" s="8"/>
      <c r="BR342" s="8"/>
      <c r="BS342" s="8"/>
      <c r="BT342" s="8"/>
      <c r="BU342" s="8"/>
      <c r="BV342" s="8"/>
      <c r="BW342" s="8"/>
      <c r="BX342" s="8"/>
      <c r="BY342" s="8"/>
      <c r="BZ342" s="8"/>
      <c r="CA342" s="8"/>
      <c r="CB342" s="8"/>
      <c r="CC342" s="8"/>
      <c r="CD342" s="8"/>
      <c r="CE342" s="8"/>
      <c r="CF342" s="8"/>
      <c r="CG342" s="8"/>
      <c r="CH342" s="8"/>
      <c r="CI342" s="8"/>
      <c r="CJ342" s="8"/>
      <c r="CK342" s="8"/>
      <c r="CL342" s="8"/>
      <c r="CM342" s="8"/>
      <c r="CN342" s="8"/>
    </row>
    <row r="343" spans="7:92" x14ac:dyDescent="0.35">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c r="BQ343" s="8"/>
      <c r="BR343" s="8"/>
      <c r="BS343" s="8"/>
      <c r="BT343" s="8"/>
      <c r="BU343" s="8"/>
      <c r="BV343" s="8"/>
      <c r="BW343" s="8"/>
      <c r="BX343" s="8"/>
      <c r="BY343" s="8"/>
      <c r="BZ343" s="8"/>
      <c r="CA343" s="8"/>
      <c r="CB343" s="8"/>
      <c r="CC343" s="8"/>
      <c r="CD343" s="8"/>
      <c r="CE343" s="8"/>
      <c r="CF343" s="8"/>
      <c r="CG343" s="8"/>
      <c r="CH343" s="8"/>
      <c r="CI343" s="8"/>
      <c r="CJ343" s="8"/>
      <c r="CK343" s="8"/>
      <c r="CL343" s="8"/>
      <c r="CM343" s="8"/>
      <c r="CN343" s="8"/>
    </row>
    <row r="344" spans="7:92" x14ac:dyDescent="0.35">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8"/>
      <c r="BR344" s="8"/>
      <c r="BS344" s="8"/>
      <c r="BT344" s="8"/>
      <c r="BU344" s="8"/>
      <c r="BV344" s="8"/>
      <c r="BW344" s="8"/>
      <c r="BX344" s="8"/>
      <c r="BY344" s="8"/>
      <c r="BZ344" s="8"/>
      <c r="CA344" s="8"/>
      <c r="CB344" s="8"/>
      <c r="CC344" s="8"/>
      <c r="CD344" s="8"/>
      <c r="CE344" s="8"/>
      <c r="CF344" s="8"/>
      <c r="CG344" s="8"/>
      <c r="CH344" s="8"/>
      <c r="CI344" s="8"/>
      <c r="CJ344" s="8"/>
      <c r="CK344" s="8"/>
      <c r="CL344" s="8"/>
      <c r="CM344" s="8"/>
      <c r="CN344" s="8"/>
    </row>
    <row r="345" spans="7:92" x14ac:dyDescent="0.35">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8"/>
      <c r="BT345" s="8"/>
      <c r="BU345" s="8"/>
      <c r="BV345" s="8"/>
      <c r="BW345" s="8"/>
      <c r="BX345" s="8"/>
      <c r="BY345" s="8"/>
      <c r="BZ345" s="8"/>
      <c r="CA345" s="8"/>
      <c r="CB345" s="8"/>
      <c r="CC345" s="8"/>
      <c r="CD345" s="8"/>
      <c r="CE345" s="8"/>
      <c r="CF345" s="8"/>
      <c r="CG345" s="8"/>
      <c r="CH345" s="8"/>
      <c r="CI345" s="8"/>
      <c r="CJ345" s="8"/>
      <c r="CK345" s="8"/>
      <c r="CL345" s="8"/>
      <c r="CM345" s="8"/>
      <c r="CN345" s="8"/>
    </row>
    <row r="346" spans="7:92" x14ac:dyDescent="0.35">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c r="BQ346" s="8"/>
      <c r="BR346" s="8"/>
      <c r="BS346" s="8"/>
      <c r="BT346" s="8"/>
      <c r="BU346" s="8"/>
      <c r="BV346" s="8"/>
      <c r="BW346" s="8"/>
      <c r="BX346" s="8"/>
      <c r="BY346" s="8"/>
      <c r="BZ346" s="8"/>
      <c r="CA346" s="8"/>
      <c r="CB346" s="8"/>
      <c r="CC346" s="8"/>
      <c r="CD346" s="8"/>
      <c r="CE346" s="8"/>
      <c r="CF346" s="8"/>
      <c r="CG346" s="8"/>
      <c r="CH346" s="8"/>
      <c r="CI346" s="8"/>
      <c r="CJ346" s="8"/>
      <c r="CK346" s="8"/>
      <c r="CL346" s="8"/>
      <c r="CM346" s="8"/>
      <c r="CN346" s="8"/>
    </row>
    <row r="347" spans="7:92" x14ac:dyDescent="0.35">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c r="BQ347" s="8"/>
      <c r="BR347" s="8"/>
      <c r="BS347" s="8"/>
      <c r="BT347" s="8"/>
      <c r="BU347" s="8"/>
      <c r="BV347" s="8"/>
      <c r="BW347" s="8"/>
      <c r="BX347" s="8"/>
      <c r="BY347" s="8"/>
      <c r="BZ347" s="8"/>
      <c r="CA347" s="8"/>
      <c r="CB347" s="8"/>
      <c r="CC347" s="8"/>
      <c r="CD347" s="8"/>
      <c r="CE347" s="8"/>
      <c r="CF347" s="8"/>
      <c r="CG347" s="8"/>
      <c r="CH347" s="8"/>
      <c r="CI347" s="8"/>
      <c r="CJ347" s="8"/>
      <c r="CK347" s="8"/>
      <c r="CL347" s="8"/>
      <c r="CM347" s="8"/>
      <c r="CN347" s="8"/>
    </row>
    <row r="348" spans="7:92" x14ac:dyDescent="0.35">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c r="BQ348" s="8"/>
      <c r="BR348" s="8"/>
      <c r="BS348" s="8"/>
      <c r="BT348" s="8"/>
      <c r="BU348" s="8"/>
      <c r="BV348" s="8"/>
      <c r="BW348" s="8"/>
      <c r="BX348" s="8"/>
      <c r="BY348" s="8"/>
      <c r="BZ348" s="8"/>
      <c r="CA348" s="8"/>
      <c r="CB348" s="8"/>
      <c r="CC348" s="8"/>
      <c r="CD348" s="8"/>
      <c r="CE348" s="8"/>
      <c r="CF348" s="8"/>
      <c r="CG348" s="8"/>
      <c r="CH348" s="8"/>
      <c r="CI348" s="8"/>
      <c r="CJ348" s="8"/>
      <c r="CK348" s="8"/>
      <c r="CL348" s="8"/>
      <c r="CM348" s="8"/>
      <c r="CN348" s="8"/>
    </row>
    <row r="349" spans="7:92" x14ac:dyDescent="0.35">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c r="BQ349" s="8"/>
      <c r="BR349" s="8"/>
      <c r="BS349" s="8"/>
      <c r="BT349" s="8"/>
      <c r="BU349" s="8"/>
      <c r="BV349" s="8"/>
      <c r="BW349" s="8"/>
      <c r="BX349" s="8"/>
      <c r="BY349" s="8"/>
      <c r="BZ349" s="8"/>
      <c r="CA349" s="8"/>
      <c r="CB349" s="8"/>
      <c r="CC349" s="8"/>
      <c r="CD349" s="8"/>
      <c r="CE349" s="8"/>
      <c r="CF349" s="8"/>
      <c r="CG349" s="8"/>
      <c r="CH349" s="8"/>
      <c r="CI349" s="8"/>
      <c r="CJ349" s="8"/>
      <c r="CK349" s="8"/>
      <c r="CL349" s="8"/>
      <c r="CM349" s="8"/>
      <c r="CN349" s="8"/>
    </row>
    <row r="350" spans="7:92" x14ac:dyDescent="0.35">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c r="BQ350" s="8"/>
      <c r="BR350" s="8"/>
      <c r="BS350" s="8"/>
      <c r="BT350" s="8"/>
      <c r="BU350" s="8"/>
      <c r="BV350" s="8"/>
      <c r="BW350" s="8"/>
      <c r="BX350" s="8"/>
      <c r="BY350" s="8"/>
      <c r="BZ350" s="8"/>
      <c r="CA350" s="8"/>
      <c r="CB350" s="8"/>
      <c r="CC350" s="8"/>
      <c r="CD350" s="8"/>
      <c r="CE350" s="8"/>
      <c r="CF350" s="8"/>
      <c r="CG350" s="8"/>
      <c r="CH350" s="8"/>
      <c r="CI350" s="8"/>
      <c r="CJ350" s="8"/>
      <c r="CK350" s="8"/>
      <c r="CL350" s="8"/>
      <c r="CM350" s="8"/>
      <c r="CN350" s="8"/>
    </row>
    <row r="351" spans="7:92" x14ac:dyDescent="0.35">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c r="BQ351" s="8"/>
      <c r="BR351" s="8"/>
      <c r="BS351" s="8"/>
      <c r="BT351" s="8"/>
      <c r="BU351" s="8"/>
      <c r="BV351" s="8"/>
      <c r="BW351" s="8"/>
      <c r="BX351" s="8"/>
      <c r="BY351" s="8"/>
      <c r="BZ351" s="8"/>
      <c r="CA351" s="8"/>
      <c r="CB351" s="8"/>
      <c r="CC351" s="8"/>
      <c r="CD351" s="8"/>
      <c r="CE351" s="8"/>
      <c r="CF351" s="8"/>
      <c r="CG351" s="8"/>
      <c r="CH351" s="8"/>
      <c r="CI351" s="8"/>
      <c r="CJ351" s="8"/>
      <c r="CK351" s="8"/>
      <c r="CL351" s="8"/>
      <c r="CM351" s="8"/>
      <c r="CN351" s="8"/>
    </row>
    <row r="352" spans="7:92" x14ac:dyDescent="0.35">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c r="BQ352" s="8"/>
      <c r="BR352" s="8"/>
      <c r="BS352" s="8"/>
      <c r="BT352" s="8"/>
      <c r="BU352" s="8"/>
      <c r="BV352" s="8"/>
      <c r="BW352" s="8"/>
      <c r="BX352" s="8"/>
      <c r="BY352" s="8"/>
      <c r="BZ352" s="8"/>
      <c r="CA352" s="8"/>
      <c r="CB352" s="8"/>
      <c r="CC352" s="8"/>
      <c r="CD352" s="8"/>
      <c r="CE352" s="8"/>
      <c r="CF352" s="8"/>
      <c r="CG352" s="8"/>
      <c r="CH352" s="8"/>
      <c r="CI352" s="8"/>
      <c r="CJ352" s="8"/>
      <c r="CK352" s="8"/>
      <c r="CL352" s="8"/>
      <c r="CM352" s="8"/>
      <c r="CN352" s="8"/>
    </row>
    <row r="353" spans="7:92" x14ac:dyDescent="0.35">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c r="BQ353" s="8"/>
      <c r="BR353" s="8"/>
      <c r="BS353" s="8"/>
      <c r="BT353" s="8"/>
      <c r="BU353" s="8"/>
      <c r="BV353" s="8"/>
      <c r="BW353" s="8"/>
      <c r="BX353" s="8"/>
      <c r="BY353" s="8"/>
      <c r="BZ353" s="8"/>
      <c r="CA353" s="8"/>
      <c r="CB353" s="8"/>
      <c r="CC353" s="8"/>
      <c r="CD353" s="8"/>
      <c r="CE353" s="8"/>
      <c r="CF353" s="8"/>
      <c r="CG353" s="8"/>
      <c r="CH353" s="8"/>
      <c r="CI353" s="8"/>
      <c r="CJ353" s="8"/>
      <c r="CK353" s="8"/>
      <c r="CL353" s="8"/>
      <c r="CM353" s="8"/>
      <c r="CN353" s="8"/>
    </row>
    <row r="354" spans="7:92" x14ac:dyDescent="0.35">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c r="BQ354" s="8"/>
      <c r="BR354" s="8"/>
      <c r="BS354" s="8"/>
      <c r="BT354" s="8"/>
      <c r="BU354" s="8"/>
      <c r="BV354" s="8"/>
      <c r="BW354" s="8"/>
      <c r="BX354" s="8"/>
      <c r="BY354" s="8"/>
      <c r="BZ354" s="8"/>
      <c r="CA354" s="8"/>
      <c r="CB354" s="8"/>
      <c r="CC354" s="8"/>
      <c r="CD354" s="8"/>
      <c r="CE354" s="8"/>
      <c r="CF354" s="8"/>
      <c r="CG354" s="8"/>
      <c r="CH354" s="8"/>
      <c r="CI354" s="8"/>
      <c r="CJ354" s="8"/>
      <c r="CK354" s="8"/>
      <c r="CL354" s="8"/>
      <c r="CM354" s="8"/>
      <c r="CN354" s="8"/>
    </row>
    <row r="355" spans="7:92" x14ac:dyDescent="0.35">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8"/>
      <c r="BT355" s="8"/>
      <c r="BU355" s="8"/>
      <c r="BV355" s="8"/>
      <c r="BW355" s="8"/>
      <c r="BX355" s="8"/>
      <c r="BY355" s="8"/>
      <c r="BZ355" s="8"/>
      <c r="CA355" s="8"/>
      <c r="CB355" s="8"/>
      <c r="CC355" s="8"/>
      <c r="CD355" s="8"/>
      <c r="CE355" s="8"/>
      <c r="CF355" s="8"/>
      <c r="CG355" s="8"/>
      <c r="CH355" s="8"/>
      <c r="CI355" s="8"/>
      <c r="CJ355" s="8"/>
      <c r="CK355" s="8"/>
      <c r="CL355" s="8"/>
      <c r="CM355" s="8"/>
      <c r="CN355" s="8"/>
    </row>
    <row r="356" spans="7:92" x14ac:dyDescent="0.35">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c r="BQ356" s="8"/>
      <c r="BR356" s="8"/>
      <c r="BS356" s="8"/>
      <c r="BT356" s="8"/>
      <c r="BU356" s="8"/>
      <c r="BV356" s="8"/>
      <c r="BW356" s="8"/>
      <c r="BX356" s="8"/>
      <c r="BY356" s="8"/>
      <c r="BZ356" s="8"/>
      <c r="CA356" s="8"/>
      <c r="CB356" s="8"/>
      <c r="CC356" s="8"/>
      <c r="CD356" s="8"/>
      <c r="CE356" s="8"/>
      <c r="CF356" s="8"/>
      <c r="CG356" s="8"/>
      <c r="CH356" s="8"/>
      <c r="CI356" s="8"/>
      <c r="CJ356" s="8"/>
      <c r="CK356" s="8"/>
      <c r="CL356" s="8"/>
      <c r="CM356" s="8"/>
      <c r="CN356" s="8"/>
    </row>
    <row r="357" spans="7:92" x14ac:dyDescent="0.35">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c r="BQ357" s="8"/>
      <c r="BR357" s="8"/>
      <c r="BS357" s="8"/>
      <c r="BT357" s="8"/>
      <c r="BU357" s="8"/>
      <c r="BV357" s="8"/>
      <c r="BW357" s="8"/>
      <c r="BX357" s="8"/>
      <c r="BY357" s="8"/>
      <c r="BZ357" s="8"/>
      <c r="CA357" s="8"/>
      <c r="CB357" s="8"/>
      <c r="CC357" s="8"/>
      <c r="CD357" s="8"/>
      <c r="CE357" s="8"/>
      <c r="CF357" s="8"/>
      <c r="CG357" s="8"/>
      <c r="CH357" s="8"/>
      <c r="CI357" s="8"/>
      <c r="CJ357" s="8"/>
      <c r="CK357" s="8"/>
      <c r="CL357" s="8"/>
      <c r="CM357" s="8"/>
      <c r="CN357" s="8"/>
    </row>
    <row r="358" spans="7:92" x14ac:dyDescent="0.35">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c r="BQ358" s="8"/>
      <c r="BR358" s="8"/>
      <c r="BS358" s="8"/>
      <c r="BT358" s="8"/>
      <c r="BU358" s="8"/>
      <c r="BV358" s="8"/>
      <c r="BW358" s="8"/>
      <c r="BX358" s="8"/>
      <c r="BY358" s="8"/>
      <c r="BZ358" s="8"/>
      <c r="CA358" s="8"/>
      <c r="CB358" s="8"/>
      <c r="CC358" s="8"/>
      <c r="CD358" s="8"/>
      <c r="CE358" s="8"/>
      <c r="CF358" s="8"/>
      <c r="CG358" s="8"/>
      <c r="CH358" s="8"/>
      <c r="CI358" s="8"/>
      <c r="CJ358" s="8"/>
      <c r="CK358" s="8"/>
      <c r="CL358" s="8"/>
      <c r="CM358" s="8"/>
      <c r="CN358" s="8"/>
    </row>
    <row r="359" spans="7:92" x14ac:dyDescent="0.35">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c r="BQ359" s="8"/>
      <c r="BR359" s="8"/>
      <c r="BS359" s="8"/>
      <c r="BT359" s="8"/>
      <c r="BU359" s="8"/>
      <c r="BV359" s="8"/>
      <c r="BW359" s="8"/>
      <c r="BX359" s="8"/>
      <c r="BY359" s="8"/>
      <c r="BZ359" s="8"/>
      <c r="CA359" s="8"/>
      <c r="CB359" s="8"/>
      <c r="CC359" s="8"/>
      <c r="CD359" s="8"/>
      <c r="CE359" s="8"/>
      <c r="CF359" s="8"/>
      <c r="CG359" s="8"/>
      <c r="CH359" s="8"/>
      <c r="CI359" s="8"/>
      <c r="CJ359" s="8"/>
      <c r="CK359" s="8"/>
      <c r="CL359" s="8"/>
      <c r="CM359" s="8"/>
      <c r="CN359" s="8"/>
    </row>
    <row r="360" spans="7:92" x14ac:dyDescent="0.35">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c r="BQ360" s="8"/>
      <c r="BR360" s="8"/>
      <c r="BS360" s="8"/>
      <c r="BT360" s="8"/>
      <c r="BU360" s="8"/>
      <c r="BV360" s="8"/>
      <c r="BW360" s="8"/>
      <c r="BX360" s="8"/>
      <c r="BY360" s="8"/>
      <c r="BZ360" s="8"/>
      <c r="CA360" s="8"/>
      <c r="CB360" s="8"/>
      <c r="CC360" s="8"/>
      <c r="CD360" s="8"/>
      <c r="CE360" s="8"/>
      <c r="CF360" s="8"/>
      <c r="CG360" s="8"/>
      <c r="CH360" s="8"/>
      <c r="CI360" s="8"/>
      <c r="CJ360" s="8"/>
      <c r="CK360" s="8"/>
      <c r="CL360" s="8"/>
      <c r="CM360" s="8"/>
      <c r="CN360" s="8"/>
    </row>
    <row r="361" spans="7:92" x14ac:dyDescent="0.35">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c r="BQ361" s="8"/>
      <c r="BR361" s="8"/>
      <c r="BS361" s="8"/>
      <c r="BT361" s="8"/>
      <c r="BU361" s="8"/>
      <c r="BV361" s="8"/>
      <c r="BW361" s="8"/>
      <c r="BX361" s="8"/>
      <c r="BY361" s="8"/>
      <c r="BZ361" s="8"/>
      <c r="CA361" s="8"/>
      <c r="CB361" s="8"/>
      <c r="CC361" s="8"/>
      <c r="CD361" s="8"/>
      <c r="CE361" s="8"/>
      <c r="CF361" s="8"/>
      <c r="CG361" s="8"/>
      <c r="CH361" s="8"/>
      <c r="CI361" s="8"/>
      <c r="CJ361" s="8"/>
      <c r="CK361" s="8"/>
      <c r="CL361" s="8"/>
      <c r="CM361" s="8"/>
      <c r="CN361" s="8"/>
    </row>
    <row r="362" spans="7:92" x14ac:dyDescent="0.35">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c r="BQ362" s="8"/>
      <c r="BR362" s="8"/>
      <c r="BS362" s="8"/>
      <c r="BT362" s="8"/>
      <c r="BU362" s="8"/>
      <c r="BV362" s="8"/>
      <c r="BW362" s="8"/>
      <c r="BX362" s="8"/>
      <c r="BY362" s="8"/>
      <c r="BZ362" s="8"/>
      <c r="CA362" s="8"/>
      <c r="CB362" s="8"/>
      <c r="CC362" s="8"/>
      <c r="CD362" s="8"/>
      <c r="CE362" s="8"/>
      <c r="CF362" s="8"/>
      <c r="CG362" s="8"/>
      <c r="CH362" s="8"/>
      <c r="CI362" s="8"/>
      <c r="CJ362" s="8"/>
      <c r="CK362" s="8"/>
      <c r="CL362" s="8"/>
      <c r="CM362" s="8"/>
      <c r="CN362" s="8"/>
    </row>
    <row r="363" spans="7:92" x14ac:dyDescent="0.35">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c r="BQ363" s="8"/>
      <c r="BR363" s="8"/>
      <c r="BS363" s="8"/>
      <c r="BT363" s="8"/>
      <c r="BU363" s="8"/>
      <c r="BV363" s="8"/>
      <c r="BW363" s="8"/>
      <c r="BX363" s="8"/>
      <c r="BY363" s="8"/>
      <c r="BZ363" s="8"/>
      <c r="CA363" s="8"/>
      <c r="CB363" s="8"/>
      <c r="CC363" s="8"/>
      <c r="CD363" s="8"/>
      <c r="CE363" s="8"/>
      <c r="CF363" s="8"/>
      <c r="CG363" s="8"/>
      <c r="CH363" s="8"/>
      <c r="CI363" s="8"/>
      <c r="CJ363" s="8"/>
      <c r="CK363" s="8"/>
      <c r="CL363" s="8"/>
      <c r="CM363" s="8"/>
      <c r="CN363" s="8"/>
    </row>
    <row r="364" spans="7:92" x14ac:dyDescent="0.35">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c r="BQ364" s="8"/>
      <c r="BR364" s="8"/>
      <c r="BS364" s="8"/>
      <c r="BT364" s="8"/>
      <c r="BU364" s="8"/>
      <c r="BV364" s="8"/>
      <c r="BW364" s="8"/>
      <c r="BX364" s="8"/>
      <c r="BY364" s="8"/>
      <c r="BZ364" s="8"/>
      <c r="CA364" s="8"/>
      <c r="CB364" s="8"/>
      <c r="CC364" s="8"/>
      <c r="CD364" s="8"/>
      <c r="CE364" s="8"/>
      <c r="CF364" s="8"/>
      <c r="CG364" s="8"/>
      <c r="CH364" s="8"/>
      <c r="CI364" s="8"/>
      <c r="CJ364" s="8"/>
      <c r="CK364" s="8"/>
      <c r="CL364" s="8"/>
      <c r="CM364" s="8"/>
      <c r="CN364" s="8"/>
    </row>
    <row r="365" spans="7:92" x14ac:dyDescent="0.35">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c r="BQ365" s="8"/>
      <c r="BR365" s="8"/>
      <c r="BS365" s="8"/>
      <c r="BT365" s="8"/>
      <c r="BU365" s="8"/>
      <c r="BV365" s="8"/>
      <c r="BW365" s="8"/>
      <c r="BX365" s="8"/>
      <c r="BY365" s="8"/>
      <c r="BZ365" s="8"/>
      <c r="CA365" s="8"/>
      <c r="CB365" s="8"/>
      <c r="CC365" s="8"/>
      <c r="CD365" s="8"/>
      <c r="CE365" s="8"/>
      <c r="CF365" s="8"/>
      <c r="CG365" s="8"/>
      <c r="CH365" s="8"/>
      <c r="CI365" s="8"/>
      <c r="CJ365" s="8"/>
      <c r="CK365" s="8"/>
      <c r="CL365" s="8"/>
      <c r="CM365" s="8"/>
      <c r="CN365" s="8"/>
    </row>
    <row r="366" spans="7:92" x14ac:dyDescent="0.35">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c r="BP366" s="8"/>
      <c r="BQ366" s="8"/>
      <c r="BR366" s="8"/>
      <c r="BS366" s="8"/>
      <c r="BT366" s="8"/>
      <c r="BU366" s="8"/>
      <c r="BV366" s="8"/>
      <c r="BW366" s="8"/>
      <c r="BX366" s="8"/>
      <c r="BY366" s="8"/>
      <c r="BZ366" s="8"/>
      <c r="CA366" s="8"/>
      <c r="CB366" s="8"/>
      <c r="CC366" s="8"/>
      <c r="CD366" s="8"/>
      <c r="CE366" s="8"/>
      <c r="CF366" s="8"/>
      <c r="CG366" s="8"/>
      <c r="CH366" s="8"/>
      <c r="CI366" s="8"/>
      <c r="CJ366" s="8"/>
      <c r="CK366" s="8"/>
      <c r="CL366" s="8"/>
      <c r="CM366" s="8"/>
      <c r="CN366" s="8"/>
    </row>
    <row r="367" spans="7:92" x14ac:dyDescent="0.35">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c r="BP367" s="8"/>
      <c r="BQ367" s="8"/>
      <c r="BR367" s="8"/>
      <c r="BS367" s="8"/>
      <c r="BT367" s="8"/>
      <c r="BU367" s="8"/>
      <c r="BV367" s="8"/>
      <c r="BW367" s="8"/>
      <c r="BX367" s="8"/>
      <c r="BY367" s="8"/>
      <c r="BZ367" s="8"/>
      <c r="CA367" s="8"/>
      <c r="CB367" s="8"/>
      <c r="CC367" s="8"/>
      <c r="CD367" s="8"/>
      <c r="CE367" s="8"/>
      <c r="CF367" s="8"/>
      <c r="CG367" s="8"/>
      <c r="CH367" s="8"/>
      <c r="CI367" s="8"/>
      <c r="CJ367" s="8"/>
      <c r="CK367" s="8"/>
      <c r="CL367" s="8"/>
      <c r="CM367" s="8"/>
      <c r="CN367" s="8"/>
    </row>
    <row r="368" spans="7:92" x14ac:dyDescent="0.35">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c r="BQ368" s="8"/>
      <c r="BR368" s="8"/>
      <c r="BS368" s="8"/>
      <c r="BT368" s="8"/>
      <c r="BU368" s="8"/>
      <c r="BV368" s="8"/>
      <c r="BW368" s="8"/>
      <c r="BX368" s="8"/>
      <c r="BY368" s="8"/>
      <c r="BZ368" s="8"/>
      <c r="CA368" s="8"/>
      <c r="CB368" s="8"/>
      <c r="CC368" s="8"/>
      <c r="CD368" s="8"/>
      <c r="CE368" s="8"/>
      <c r="CF368" s="8"/>
      <c r="CG368" s="8"/>
      <c r="CH368" s="8"/>
      <c r="CI368" s="8"/>
      <c r="CJ368" s="8"/>
      <c r="CK368" s="8"/>
      <c r="CL368" s="8"/>
      <c r="CM368" s="8"/>
      <c r="CN368" s="8"/>
    </row>
    <row r="369" spans="7:92" x14ac:dyDescent="0.35">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c r="BQ369" s="8"/>
      <c r="BR369" s="8"/>
      <c r="BS369" s="8"/>
      <c r="BT369" s="8"/>
      <c r="BU369" s="8"/>
      <c r="BV369" s="8"/>
      <c r="BW369" s="8"/>
      <c r="BX369" s="8"/>
      <c r="BY369" s="8"/>
      <c r="BZ369" s="8"/>
      <c r="CA369" s="8"/>
      <c r="CB369" s="8"/>
      <c r="CC369" s="8"/>
      <c r="CD369" s="8"/>
      <c r="CE369" s="8"/>
      <c r="CF369" s="8"/>
      <c r="CG369" s="8"/>
      <c r="CH369" s="8"/>
      <c r="CI369" s="8"/>
      <c r="CJ369" s="8"/>
      <c r="CK369" s="8"/>
      <c r="CL369" s="8"/>
      <c r="CM369" s="8"/>
      <c r="CN369" s="8"/>
    </row>
    <row r="370" spans="7:92" x14ac:dyDescent="0.35">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c r="BQ370" s="8"/>
      <c r="BR370" s="8"/>
      <c r="BS370" s="8"/>
      <c r="BT370" s="8"/>
      <c r="BU370" s="8"/>
      <c r="BV370" s="8"/>
      <c r="BW370" s="8"/>
      <c r="BX370" s="8"/>
      <c r="BY370" s="8"/>
      <c r="BZ370" s="8"/>
      <c r="CA370" s="8"/>
      <c r="CB370" s="8"/>
      <c r="CC370" s="8"/>
      <c r="CD370" s="8"/>
      <c r="CE370" s="8"/>
      <c r="CF370" s="8"/>
      <c r="CG370" s="8"/>
      <c r="CH370" s="8"/>
      <c r="CI370" s="8"/>
      <c r="CJ370" s="8"/>
      <c r="CK370" s="8"/>
      <c r="CL370" s="8"/>
      <c r="CM370" s="8"/>
      <c r="CN370" s="8"/>
    </row>
    <row r="371" spans="7:92" x14ac:dyDescent="0.35">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c r="BQ371" s="8"/>
      <c r="BR371" s="8"/>
      <c r="BS371" s="8"/>
      <c r="BT371" s="8"/>
      <c r="BU371" s="8"/>
      <c r="BV371" s="8"/>
      <c r="BW371" s="8"/>
      <c r="BX371" s="8"/>
      <c r="BY371" s="8"/>
      <c r="BZ371" s="8"/>
      <c r="CA371" s="8"/>
      <c r="CB371" s="8"/>
      <c r="CC371" s="8"/>
      <c r="CD371" s="8"/>
      <c r="CE371" s="8"/>
      <c r="CF371" s="8"/>
      <c r="CG371" s="8"/>
      <c r="CH371" s="8"/>
      <c r="CI371" s="8"/>
      <c r="CJ371" s="8"/>
      <c r="CK371" s="8"/>
      <c r="CL371" s="8"/>
      <c r="CM371" s="8"/>
      <c r="CN371" s="8"/>
    </row>
    <row r="372" spans="7:92" x14ac:dyDescent="0.35">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c r="BQ372" s="8"/>
      <c r="BR372" s="8"/>
      <c r="BS372" s="8"/>
      <c r="BT372" s="8"/>
      <c r="BU372" s="8"/>
      <c r="BV372" s="8"/>
      <c r="BW372" s="8"/>
      <c r="BX372" s="8"/>
      <c r="BY372" s="8"/>
      <c r="BZ372" s="8"/>
      <c r="CA372" s="8"/>
      <c r="CB372" s="8"/>
      <c r="CC372" s="8"/>
      <c r="CD372" s="8"/>
      <c r="CE372" s="8"/>
      <c r="CF372" s="8"/>
      <c r="CG372" s="8"/>
      <c r="CH372" s="8"/>
      <c r="CI372" s="8"/>
      <c r="CJ372" s="8"/>
      <c r="CK372" s="8"/>
      <c r="CL372" s="8"/>
      <c r="CM372" s="8"/>
      <c r="CN372" s="8"/>
    </row>
    <row r="373" spans="7:92" x14ac:dyDescent="0.35">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c r="BP373" s="8"/>
      <c r="BQ373" s="8"/>
      <c r="BR373" s="8"/>
      <c r="BS373" s="8"/>
      <c r="BT373" s="8"/>
      <c r="BU373" s="8"/>
      <c r="BV373" s="8"/>
      <c r="BW373" s="8"/>
      <c r="BX373" s="8"/>
      <c r="BY373" s="8"/>
      <c r="BZ373" s="8"/>
      <c r="CA373" s="8"/>
      <c r="CB373" s="8"/>
      <c r="CC373" s="8"/>
      <c r="CD373" s="8"/>
      <c r="CE373" s="8"/>
      <c r="CF373" s="8"/>
      <c r="CG373" s="8"/>
      <c r="CH373" s="8"/>
      <c r="CI373" s="8"/>
      <c r="CJ373" s="8"/>
      <c r="CK373" s="8"/>
      <c r="CL373" s="8"/>
      <c r="CM373" s="8"/>
      <c r="CN373" s="8"/>
    </row>
    <row r="374" spans="7:92" x14ac:dyDescent="0.35">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c r="BQ374" s="8"/>
      <c r="BR374" s="8"/>
      <c r="BS374" s="8"/>
      <c r="BT374" s="8"/>
      <c r="BU374" s="8"/>
      <c r="BV374" s="8"/>
      <c r="BW374" s="8"/>
      <c r="BX374" s="8"/>
      <c r="BY374" s="8"/>
      <c r="BZ374" s="8"/>
      <c r="CA374" s="8"/>
      <c r="CB374" s="8"/>
      <c r="CC374" s="8"/>
      <c r="CD374" s="8"/>
      <c r="CE374" s="8"/>
      <c r="CF374" s="8"/>
      <c r="CG374" s="8"/>
      <c r="CH374" s="8"/>
      <c r="CI374" s="8"/>
      <c r="CJ374" s="8"/>
      <c r="CK374" s="8"/>
      <c r="CL374" s="8"/>
      <c r="CM374" s="8"/>
      <c r="CN374" s="8"/>
    </row>
    <row r="375" spans="7:92" x14ac:dyDescent="0.35">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c r="BQ375" s="8"/>
      <c r="BR375" s="8"/>
      <c r="BS375" s="8"/>
      <c r="BT375" s="8"/>
      <c r="BU375" s="8"/>
      <c r="BV375" s="8"/>
      <c r="BW375" s="8"/>
      <c r="BX375" s="8"/>
      <c r="BY375" s="8"/>
      <c r="BZ375" s="8"/>
      <c r="CA375" s="8"/>
      <c r="CB375" s="8"/>
      <c r="CC375" s="8"/>
      <c r="CD375" s="8"/>
      <c r="CE375" s="8"/>
      <c r="CF375" s="8"/>
      <c r="CG375" s="8"/>
      <c r="CH375" s="8"/>
      <c r="CI375" s="8"/>
      <c r="CJ375" s="8"/>
      <c r="CK375" s="8"/>
      <c r="CL375" s="8"/>
      <c r="CM375" s="8"/>
      <c r="CN375" s="8"/>
    </row>
    <row r="376" spans="7:92" x14ac:dyDescent="0.35">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c r="BP376" s="8"/>
      <c r="BQ376" s="8"/>
      <c r="BR376" s="8"/>
      <c r="BS376" s="8"/>
      <c r="BT376" s="8"/>
      <c r="BU376" s="8"/>
      <c r="BV376" s="8"/>
      <c r="BW376" s="8"/>
      <c r="BX376" s="8"/>
      <c r="BY376" s="8"/>
      <c r="BZ376" s="8"/>
      <c r="CA376" s="8"/>
      <c r="CB376" s="8"/>
      <c r="CC376" s="8"/>
      <c r="CD376" s="8"/>
      <c r="CE376" s="8"/>
      <c r="CF376" s="8"/>
      <c r="CG376" s="8"/>
      <c r="CH376" s="8"/>
      <c r="CI376" s="8"/>
      <c r="CJ376" s="8"/>
      <c r="CK376" s="8"/>
      <c r="CL376" s="8"/>
      <c r="CM376" s="8"/>
      <c r="CN376" s="8"/>
    </row>
    <row r="377" spans="7:92" x14ac:dyDescent="0.35">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c r="BP377" s="8"/>
      <c r="BQ377" s="8"/>
      <c r="BR377" s="8"/>
      <c r="BS377" s="8"/>
      <c r="BT377" s="8"/>
      <c r="BU377" s="8"/>
      <c r="BV377" s="8"/>
      <c r="BW377" s="8"/>
      <c r="BX377" s="8"/>
      <c r="BY377" s="8"/>
      <c r="BZ377" s="8"/>
      <c r="CA377" s="8"/>
      <c r="CB377" s="8"/>
      <c r="CC377" s="8"/>
      <c r="CD377" s="8"/>
      <c r="CE377" s="8"/>
      <c r="CF377" s="8"/>
      <c r="CG377" s="8"/>
      <c r="CH377" s="8"/>
      <c r="CI377" s="8"/>
      <c r="CJ377" s="8"/>
      <c r="CK377" s="8"/>
      <c r="CL377" s="8"/>
      <c r="CM377" s="8"/>
      <c r="CN377" s="8"/>
    </row>
    <row r="378" spans="7:92" x14ac:dyDescent="0.35">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c r="BP378" s="8"/>
      <c r="BQ378" s="8"/>
      <c r="BR378" s="8"/>
      <c r="BS378" s="8"/>
      <c r="BT378" s="8"/>
      <c r="BU378" s="8"/>
      <c r="BV378" s="8"/>
      <c r="BW378" s="8"/>
      <c r="BX378" s="8"/>
      <c r="BY378" s="8"/>
      <c r="BZ378" s="8"/>
      <c r="CA378" s="8"/>
      <c r="CB378" s="8"/>
      <c r="CC378" s="8"/>
      <c r="CD378" s="8"/>
      <c r="CE378" s="8"/>
      <c r="CF378" s="8"/>
      <c r="CG378" s="8"/>
      <c r="CH378" s="8"/>
      <c r="CI378" s="8"/>
      <c r="CJ378" s="8"/>
      <c r="CK378" s="8"/>
      <c r="CL378" s="8"/>
      <c r="CM378" s="8"/>
      <c r="CN378" s="8"/>
    </row>
    <row r="379" spans="7:92" x14ac:dyDescent="0.35">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c r="BP379" s="8"/>
      <c r="BQ379" s="8"/>
      <c r="BR379" s="8"/>
      <c r="BS379" s="8"/>
      <c r="BT379" s="8"/>
      <c r="BU379" s="8"/>
      <c r="BV379" s="8"/>
      <c r="BW379" s="8"/>
      <c r="BX379" s="8"/>
      <c r="BY379" s="8"/>
      <c r="BZ379" s="8"/>
      <c r="CA379" s="8"/>
      <c r="CB379" s="8"/>
      <c r="CC379" s="8"/>
      <c r="CD379" s="8"/>
      <c r="CE379" s="8"/>
      <c r="CF379" s="8"/>
      <c r="CG379" s="8"/>
      <c r="CH379" s="8"/>
      <c r="CI379" s="8"/>
      <c r="CJ379" s="8"/>
      <c r="CK379" s="8"/>
      <c r="CL379" s="8"/>
      <c r="CM379" s="8"/>
      <c r="CN379" s="8"/>
    </row>
    <row r="380" spans="7:92" x14ac:dyDescent="0.35">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c r="BP380" s="8"/>
      <c r="BQ380" s="8"/>
      <c r="BR380" s="8"/>
      <c r="BS380" s="8"/>
      <c r="BT380" s="8"/>
      <c r="BU380" s="8"/>
      <c r="BV380" s="8"/>
      <c r="BW380" s="8"/>
      <c r="BX380" s="8"/>
      <c r="BY380" s="8"/>
      <c r="BZ380" s="8"/>
      <c r="CA380" s="8"/>
      <c r="CB380" s="8"/>
      <c r="CC380" s="8"/>
      <c r="CD380" s="8"/>
      <c r="CE380" s="8"/>
      <c r="CF380" s="8"/>
      <c r="CG380" s="8"/>
      <c r="CH380" s="8"/>
      <c r="CI380" s="8"/>
      <c r="CJ380" s="8"/>
      <c r="CK380" s="8"/>
      <c r="CL380" s="8"/>
      <c r="CM380" s="8"/>
      <c r="CN380" s="8"/>
    </row>
    <row r="381" spans="7:92" x14ac:dyDescent="0.35">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c r="BP381" s="8"/>
      <c r="BQ381" s="8"/>
      <c r="BR381" s="8"/>
      <c r="BS381" s="8"/>
      <c r="BT381" s="8"/>
      <c r="BU381" s="8"/>
      <c r="BV381" s="8"/>
      <c r="BW381" s="8"/>
      <c r="BX381" s="8"/>
      <c r="BY381" s="8"/>
      <c r="BZ381" s="8"/>
      <c r="CA381" s="8"/>
      <c r="CB381" s="8"/>
      <c r="CC381" s="8"/>
      <c r="CD381" s="8"/>
      <c r="CE381" s="8"/>
      <c r="CF381" s="8"/>
      <c r="CG381" s="8"/>
      <c r="CH381" s="8"/>
      <c r="CI381" s="8"/>
      <c r="CJ381" s="8"/>
      <c r="CK381" s="8"/>
      <c r="CL381" s="8"/>
      <c r="CM381" s="8"/>
      <c r="CN381" s="8"/>
    </row>
    <row r="382" spans="7:92" x14ac:dyDescent="0.35">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c r="BP382" s="8"/>
      <c r="BQ382" s="8"/>
      <c r="BR382" s="8"/>
      <c r="BS382" s="8"/>
      <c r="BT382" s="8"/>
      <c r="BU382" s="8"/>
      <c r="BV382" s="8"/>
      <c r="BW382" s="8"/>
      <c r="BX382" s="8"/>
      <c r="BY382" s="8"/>
      <c r="BZ382" s="8"/>
      <c r="CA382" s="8"/>
      <c r="CB382" s="8"/>
      <c r="CC382" s="8"/>
      <c r="CD382" s="8"/>
      <c r="CE382" s="8"/>
      <c r="CF382" s="8"/>
      <c r="CG382" s="8"/>
      <c r="CH382" s="8"/>
      <c r="CI382" s="8"/>
      <c r="CJ382" s="8"/>
      <c r="CK382" s="8"/>
      <c r="CL382" s="8"/>
      <c r="CM382" s="8"/>
      <c r="CN382" s="8"/>
    </row>
    <row r="383" spans="7:92" x14ac:dyDescent="0.35">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c r="BP383" s="8"/>
      <c r="BQ383" s="8"/>
      <c r="BR383" s="8"/>
      <c r="BS383" s="8"/>
      <c r="BT383" s="8"/>
      <c r="BU383" s="8"/>
      <c r="BV383" s="8"/>
      <c r="BW383" s="8"/>
      <c r="BX383" s="8"/>
      <c r="BY383" s="8"/>
      <c r="BZ383" s="8"/>
      <c r="CA383" s="8"/>
      <c r="CB383" s="8"/>
      <c r="CC383" s="8"/>
      <c r="CD383" s="8"/>
      <c r="CE383" s="8"/>
      <c r="CF383" s="8"/>
      <c r="CG383" s="8"/>
      <c r="CH383" s="8"/>
      <c r="CI383" s="8"/>
      <c r="CJ383" s="8"/>
      <c r="CK383" s="8"/>
      <c r="CL383" s="8"/>
      <c r="CM383" s="8"/>
      <c r="CN383" s="8"/>
    </row>
    <row r="384" spans="7:92" x14ac:dyDescent="0.35">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c r="BP384" s="8"/>
      <c r="BQ384" s="8"/>
      <c r="BR384" s="8"/>
      <c r="BS384" s="8"/>
      <c r="BT384" s="8"/>
      <c r="BU384" s="8"/>
      <c r="BV384" s="8"/>
      <c r="BW384" s="8"/>
      <c r="BX384" s="8"/>
      <c r="BY384" s="8"/>
      <c r="BZ384" s="8"/>
      <c r="CA384" s="8"/>
      <c r="CB384" s="8"/>
      <c r="CC384" s="8"/>
      <c r="CD384" s="8"/>
      <c r="CE384" s="8"/>
      <c r="CF384" s="8"/>
      <c r="CG384" s="8"/>
      <c r="CH384" s="8"/>
      <c r="CI384" s="8"/>
      <c r="CJ384" s="8"/>
      <c r="CK384" s="8"/>
      <c r="CL384" s="8"/>
      <c r="CM384" s="8"/>
      <c r="CN384" s="8"/>
    </row>
    <row r="385" spans="7:92" x14ac:dyDescent="0.35">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c r="BP385" s="8"/>
      <c r="BQ385" s="8"/>
      <c r="BR385" s="8"/>
      <c r="BS385" s="8"/>
      <c r="BT385" s="8"/>
      <c r="BU385" s="8"/>
      <c r="BV385" s="8"/>
      <c r="BW385" s="8"/>
      <c r="BX385" s="8"/>
      <c r="BY385" s="8"/>
      <c r="BZ385" s="8"/>
      <c r="CA385" s="8"/>
      <c r="CB385" s="8"/>
      <c r="CC385" s="8"/>
      <c r="CD385" s="8"/>
      <c r="CE385" s="8"/>
      <c r="CF385" s="8"/>
      <c r="CG385" s="8"/>
      <c r="CH385" s="8"/>
      <c r="CI385" s="8"/>
      <c r="CJ385" s="8"/>
      <c r="CK385" s="8"/>
      <c r="CL385" s="8"/>
      <c r="CM385" s="8"/>
      <c r="CN385" s="8"/>
    </row>
    <row r="386" spans="7:92" x14ac:dyDescent="0.35">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8"/>
      <c r="BO386" s="8"/>
      <c r="BP386" s="8"/>
      <c r="BQ386" s="8"/>
      <c r="BR386" s="8"/>
      <c r="BS386" s="8"/>
      <c r="BT386" s="8"/>
      <c r="BU386" s="8"/>
      <c r="BV386" s="8"/>
      <c r="BW386" s="8"/>
      <c r="BX386" s="8"/>
      <c r="BY386" s="8"/>
      <c r="BZ386" s="8"/>
      <c r="CA386" s="8"/>
      <c r="CB386" s="8"/>
      <c r="CC386" s="8"/>
      <c r="CD386" s="8"/>
      <c r="CE386" s="8"/>
      <c r="CF386" s="8"/>
      <c r="CG386" s="8"/>
      <c r="CH386" s="8"/>
      <c r="CI386" s="8"/>
      <c r="CJ386" s="8"/>
      <c r="CK386" s="8"/>
      <c r="CL386" s="8"/>
      <c r="CM386" s="8"/>
      <c r="CN386" s="8"/>
    </row>
    <row r="387" spans="7:92" x14ac:dyDescent="0.35">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c r="BP387" s="8"/>
      <c r="BQ387" s="8"/>
      <c r="BR387" s="8"/>
      <c r="BS387" s="8"/>
      <c r="BT387" s="8"/>
      <c r="BU387" s="8"/>
      <c r="BV387" s="8"/>
      <c r="BW387" s="8"/>
      <c r="BX387" s="8"/>
      <c r="BY387" s="8"/>
      <c r="BZ387" s="8"/>
      <c r="CA387" s="8"/>
      <c r="CB387" s="8"/>
      <c r="CC387" s="8"/>
      <c r="CD387" s="8"/>
      <c r="CE387" s="8"/>
      <c r="CF387" s="8"/>
      <c r="CG387" s="8"/>
      <c r="CH387" s="8"/>
      <c r="CI387" s="8"/>
      <c r="CJ387" s="8"/>
      <c r="CK387" s="8"/>
      <c r="CL387" s="8"/>
      <c r="CM387" s="8"/>
      <c r="CN387" s="8"/>
    </row>
    <row r="388" spans="7:92" x14ac:dyDescent="0.35">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c r="BP388" s="8"/>
      <c r="BQ388" s="8"/>
      <c r="BR388" s="8"/>
      <c r="BS388" s="8"/>
      <c r="BT388" s="8"/>
      <c r="BU388" s="8"/>
      <c r="BV388" s="8"/>
      <c r="BW388" s="8"/>
      <c r="BX388" s="8"/>
      <c r="BY388" s="8"/>
      <c r="BZ388" s="8"/>
      <c r="CA388" s="8"/>
      <c r="CB388" s="8"/>
      <c r="CC388" s="8"/>
      <c r="CD388" s="8"/>
      <c r="CE388" s="8"/>
      <c r="CF388" s="8"/>
      <c r="CG388" s="8"/>
      <c r="CH388" s="8"/>
      <c r="CI388" s="8"/>
      <c r="CJ388" s="8"/>
      <c r="CK388" s="8"/>
      <c r="CL388" s="8"/>
      <c r="CM388" s="8"/>
      <c r="CN388" s="8"/>
    </row>
    <row r="389" spans="7:92" x14ac:dyDescent="0.35">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c r="BP389" s="8"/>
      <c r="BQ389" s="8"/>
      <c r="BR389" s="8"/>
      <c r="BS389" s="8"/>
      <c r="BT389" s="8"/>
      <c r="BU389" s="8"/>
      <c r="BV389" s="8"/>
      <c r="BW389" s="8"/>
      <c r="BX389" s="8"/>
      <c r="BY389" s="8"/>
      <c r="BZ389" s="8"/>
      <c r="CA389" s="8"/>
      <c r="CB389" s="8"/>
      <c r="CC389" s="8"/>
      <c r="CD389" s="8"/>
      <c r="CE389" s="8"/>
      <c r="CF389" s="8"/>
      <c r="CG389" s="8"/>
      <c r="CH389" s="8"/>
      <c r="CI389" s="8"/>
      <c r="CJ389" s="8"/>
      <c r="CK389" s="8"/>
      <c r="CL389" s="8"/>
      <c r="CM389" s="8"/>
      <c r="CN389" s="8"/>
    </row>
    <row r="390" spans="7:92" x14ac:dyDescent="0.35">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c r="BP390" s="8"/>
      <c r="BQ390" s="8"/>
      <c r="BR390" s="8"/>
      <c r="BS390" s="8"/>
      <c r="BT390" s="8"/>
      <c r="BU390" s="8"/>
      <c r="BV390" s="8"/>
      <c r="BW390" s="8"/>
      <c r="BX390" s="8"/>
      <c r="BY390" s="8"/>
      <c r="BZ390" s="8"/>
      <c r="CA390" s="8"/>
      <c r="CB390" s="8"/>
      <c r="CC390" s="8"/>
      <c r="CD390" s="8"/>
      <c r="CE390" s="8"/>
      <c r="CF390" s="8"/>
      <c r="CG390" s="8"/>
      <c r="CH390" s="8"/>
      <c r="CI390" s="8"/>
      <c r="CJ390" s="8"/>
      <c r="CK390" s="8"/>
      <c r="CL390" s="8"/>
      <c r="CM390" s="8"/>
      <c r="CN390" s="8"/>
    </row>
    <row r="391" spans="7:92" x14ac:dyDescent="0.35">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c r="BP391" s="8"/>
      <c r="BQ391" s="8"/>
      <c r="BR391" s="8"/>
      <c r="BS391" s="8"/>
      <c r="BT391" s="8"/>
      <c r="BU391" s="8"/>
      <c r="BV391" s="8"/>
      <c r="BW391" s="8"/>
      <c r="BX391" s="8"/>
      <c r="BY391" s="8"/>
      <c r="BZ391" s="8"/>
      <c r="CA391" s="8"/>
      <c r="CB391" s="8"/>
      <c r="CC391" s="8"/>
      <c r="CD391" s="8"/>
      <c r="CE391" s="8"/>
      <c r="CF391" s="8"/>
      <c r="CG391" s="8"/>
      <c r="CH391" s="8"/>
      <c r="CI391" s="8"/>
      <c r="CJ391" s="8"/>
      <c r="CK391" s="8"/>
      <c r="CL391" s="8"/>
      <c r="CM391" s="8"/>
      <c r="CN391" s="8"/>
    </row>
    <row r="392" spans="7:92" x14ac:dyDescent="0.35">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c r="BP392" s="8"/>
      <c r="BQ392" s="8"/>
      <c r="BR392" s="8"/>
      <c r="BS392" s="8"/>
      <c r="BT392" s="8"/>
      <c r="BU392" s="8"/>
      <c r="BV392" s="8"/>
      <c r="BW392" s="8"/>
      <c r="BX392" s="8"/>
      <c r="BY392" s="8"/>
      <c r="BZ392" s="8"/>
      <c r="CA392" s="8"/>
      <c r="CB392" s="8"/>
      <c r="CC392" s="8"/>
      <c r="CD392" s="8"/>
      <c r="CE392" s="8"/>
      <c r="CF392" s="8"/>
      <c r="CG392" s="8"/>
      <c r="CH392" s="8"/>
      <c r="CI392" s="8"/>
      <c r="CJ392" s="8"/>
      <c r="CK392" s="8"/>
      <c r="CL392" s="8"/>
      <c r="CM392" s="8"/>
      <c r="CN392" s="8"/>
    </row>
    <row r="393" spans="7:92" x14ac:dyDescent="0.35">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c r="BP393" s="8"/>
      <c r="BQ393" s="8"/>
      <c r="BR393" s="8"/>
      <c r="BS393" s="8"/>
      <c r="BT393" s="8"/>
      <c r="BU393" s="8"/>
      <c r="BV393" s="8"/>
      <c r="BW393" s="8"/>
      <c r="BX393" s="8"/>
      <c r="BY393" s="8"/>
      <c r="BZ393" s="8"/>
      <c r="CA393" s="8"/>
      <c r="CB393" s="8"/>
      <c r="CC393" s="8"/>
      <c r="CD393" s="8"/>
      <c r="CE393" s="8"/>
      <c r="CF393" s="8"/>
      <c r="CG393" s="8"/>
      <c r="CH393" s="8"/>
      <c r="CI393" s="8"/>
      <c r="CJ393" s="8"/>
      <c r="CK393" s="8"/>
      <c r="CL393" s="8"/>
      <c r="CM393" s="8"/>
      <c r="CN393" s="8"/>
    </row>
    <row r="394" spans="7:92" x14ac:dyDescent="0.35">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c r="BP394" s="8"/>
      <c r="BQ394" s="8"/>
      <c r="BR394" s="8"/>
      <c r="BS394" s="8"/>
      <c r="BT394" s="8"/>
      <c r="BU394" s="8"/>
      <c r="BV394" s="8"/>
      <c r="BW394" s="8"/>
      <c r="BX394" s="8"/>
      <c r="BY394" s="8"/>
      <c r="BZ394" s="8"/>
      <c r="CA394" s="8"/>
      <c r="CB394" s="8"/>
      <c r="CC394" s="8"/>
      <c r="CD394" s="8"/>
      <c r="CE394" s="8"/>
      <c r="CF394" s="8"/>
      <c r="CG394" s="8"/>
      <c r="CH394" s="8"/>
      <c r="CI394" s="8"/>
      <c r="CJ394" s="8"/>
      <c r="CK394" s="8"/>
      <c r="CL394" s="8"/>
      <c r="CM394" s="8"/>
      <c r="CN394" s="8"/>
    </row>
    <row r="395" spans="7:92" x14ac:dyDescent="0.35">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c r="BO395" s="8"/>
      <c r="BP395" s="8"/>
      <c r="BQ395" s="8"/>
      <c r="BR395" s="8"/>
      <c r="BS395" s="8"/>
      <c r="BT395" s="8"/>
      <c r="BU395" s="8"/>
      <c r="BV395" s="8"/>
      <c r="BW395" s="8"/>
      <c r="BX395" s="8"/>
      <c r="BY395" s="8"/>
      <c r="BZ395" s="8"/>
      <c r="CA395" s="8"/>
      <c r="CB395" s="8"/>
      <c r="CC395" s="8"/>
      <c r="CD395" s="8"/>
      <c r="CE395" s="8"/>
      <c r="CF395" s="8"/>
      <c r="CG395" s="8"/>
      <c r="CH395" s="8"/>
      <c r="CI395" s="8"/>
      <c r="CJ395" s="8"/>
      <c r="CK395" s="8"/>
      <c r="CL395" s="8"/>
      <c r="CM395" s="8"/>
      <c r="CN395" s="8"/>
    </row>
    <row r="396" spans="7:92" x14ac:dyDescent="0.35">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8"/>
      <c r="BP396" s="8"/>
      <c r="BQ396" s="8"/>
      <c r="BR396" s="8"/>
      <c r="BS396" s="8"/>
      <c r="BT396" s="8"/>
      <c r="BU396" s="8"/>
      <c r="BV396" s="8"/>
      <c r="BW396" s="8"/>
      <c r="BX396" s="8"/>
      <c r="BY396" s="8"/>
      <c r="BZ396" s="8"/>
      <c r="CA396" s="8"/>
      <c r="CB396" s="8"/>
      <c r="CC396" s="8"/>
      <c r="CD396" s="8"/>
      <c r="CE396" s="8"/>
      <c r="CF396" s="8"/>
      <c r="CG396" s="8"/>
      <c r="CH396" s="8"/>
      <c r="CI396" s="8"/>
      <c r="CJ396" s="8"/>
      <c r="CK396" s="8"/>
      <c r="CL396" s="8"/>
      <c r="CM396" s="8"/>
      <c r="CN396" s="8"/>
    </row>
    <row r="397" spans="7:92" x14ac:dyDescent="0.35">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8"/>
      <c r="BP397" s="8"/>
      <c r="BQ397" s="8"/>
      <c r="BR397" s="8"/>
      <c r="BS397" s="8"/>
      <c r="BT397" s="8"/>
      <c r="BU397" s="8"/>
      <c r="BV397" s="8"/>
      <c r="BW397" s="8"/>
      <c r="BX397" s="8"/>
      <c r="BY397" s="8"/>
      <c r="BZ397" s="8"/>
      <c r="CA397" s="8"/>
      <c r="CB397" s="8"/>
      <c r="CC397" s="8"/>
      <c r="CD397" s="8"/>
      <c r="CE397" s="8"/>
      <c r="CF397" s="8"/>
      <c r="CG397" s="8"/>
      <c r="CH397" s="8"/>
      <c r="CI397" s="8"/>
      <c r="CJ397" s="8"/>
      <c r="CK397" s="8"/>
      <c r="CL397" s="8"/>
      <c r="CM397" s="8"/>
      <c r="CN397" s="8"/>
    </row>
    <row r="398" spans="7:92" x14ac:dyDescent="0.35">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c r="BO398" s="8"/>
      <c r="BP398" s="8"/>
      <c r="BQ398" s="8"/>
      <c r="BR398" s="8"/>
      <c r="BS398" s="8"/>
      <c r="BT398" s="8"/>
      <c r="BU398" s="8"/>
      <c r="BV398" s="8"/>
      <c r="BW398" s="8"/>
      <c r="BX398" s="8"/>
      <c r="BY398" s="8"/>
      <c r="BZ398" s="8"/>
      <c r="CA398" s="8"/>
      <c r="CB398" s="8"/>
      <c r="CC398" s="8"/>
      <c r="CD398" s="8"/>
      <c r="CE398" s="8"/>
      <c r="CF398" s="8"/>
      <c r="CG398" s="8"/>
      <c r="CH398" s="8"/>
      <c r="CI398" s="8"/>
      <c r="CJ398" s="8"/>
      <c r="CK398" s="8"/>
      <c r="CL398" s="8"/>
      <c r="CM398" s="8"/>
      <c r="CN398" s="8"/>
    </row>
    <row r="399" spans="7:92" x14ac:dyDescent="0.35">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c r="BP399" s="8"/>
      <c r="BQ399" s="8"/>
      <c r="BR399" s="8"/>
      <c r="BS399" s="8"/>
      <c r="BT399" s="8"/>
      <c r="BU399" s="8"/>
      <c r="BV399" s="8"/>
      <c r="BW399" s="8"/>
      <c r="BX399" s="8"/>
      <c r="BY399" s="8"/>
      <c r="BZ399" s="8"/>
      <c r="CA399" s="8"/>
      <c r="CB399" s="8"/>
      <c r="CC399" s="8"/>
      <c r="CD399" s="8"/>
      <c r="CE399" s="8"/>
      <c r="CF399" s="8"/>
      <c r="CG399" s="8"/>
      <c r="CH399" s="8"/>
      <c r="CI399" s="8"/>
      <c r="CJ399" s="8"/>
      <c r="CK399" s="8"/>
      <c r="CL399" s="8"/>
      <c r="CM399" s="8"/>
      <c r="CN399" s="8"/>
    </row>
    <row r="400" spans="7:92" x14ac:dyDescent="0.35">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c r="BO400" s="8"/>
      <c r="BP400" s="8"/>
      <c r="BQ400" s="8"/>
      <c r="BR400" s="8"/>
      <c r="BS400" s="8"/>
      <c r="BT400" s="8"/>
      <c r="BU400" s="8"/>
      <c r="BV400" s="8"/>
      <c r="BW400" s="8"/>
      <c r="BX400" s="8"/>
      <c r="BY400" s="8"/>
      <c r="BZ400" s="8"/>
      <c r="CA400" s="8"/>
      <c r="CB400" s="8"/>
      <c r="CC400" s="8"/>
      <c r="CD400" s="8"/>
      <c r="CE400" s="8"/>
      <c r="CF400" s="8"/>
      <c r="CG400" s="8"/>
      <c r="CH400" s="8"/>
      <c r="CI400" s="8"/>
      <c r="CJ400" s="8"/>
      <c r="CK400" s="8"/>
      <c r="CL400" s="8"/>
      <c r="CM400" s="8"/>
      <c r="CN400" s="8"/>
    </row>
    <row r="401" spans="7:92" x14ac:dyDescent="0.35">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8"/>
      <c r="BP401" s="8"/>
      <c r="BQ401" s="8"/>
      <c r="BR401" s="8"/>
      <c r="BS401" s="8"/>
      <c r="BT401" s="8"/>
      <c r="BU401" s="8"/>
      <c r="BV401" s="8"/>
      <c r="BW401" s="8"/>
      <c r="BX401" s="8"/>
      <c r="BY401" s="8"/>
      <c r="BZ401" s="8"/>
      <c r="CA401" s="8"/>
      <c r="CB401" s="8"/>
      <c r="CC401" s="8"/>
      <c r="CD401" s="8"/>
      <c r="CE401" s="8"/>
      <c r="CF401" s="8"/>
      <c r="CG401" s="8"/>
      <c r="CH401" s="8"/>
      <c r="CI401" s="8"/>
      <c r="CJ401" s="8"/>
      <c r="CK401" s="8"/>
      <c r="CL401" s="8"/>
      <c r="CM401" s="8"/>
      <c r="CN401" s="8"/>
    </row>
    <row r="402" spans="7:92" x14ac:dyDescent="0.35">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c r="BO402" s="8"/>
      <c r="BP402" s="8"/>
      <c r="BQ402" s="8"/>
      <c r="BR402" s="8"/>
      <c r="BS402" s="8"/>
      <c r="BT402" s="8"/>
      <c r="BU402" s="8"/>
      <c r="BV402" s="8"/>
      <c r="BW402" s="8"/>
      <c r="BX402" s="8"/>
      <c r="BY402" s="8"/>
      <c r="BZ402" s="8"/>
      <c r="CA402" s="8"/>
      <c r="CB402" s="8"/>
      <c r="CC402" s="8"/>
      <c r="CD402" s="8"/>
      <c r="CE402" s="8"/>
      <c r="CF402" s="8"/>
      <c r="CG402" s="8"/>
      <c r="CH402" s="8"/>
      <c r="CI402" s="8"/>
      <c r="CJ402" s="8"/>
      <c r="CK402" s="8"/>
      <c r="CL402" s="8"/>
      <c r="CM402" s="8"/>
      <c r="CN402" s="8"/>
    </row>
    <row r="403" spans="7:92" x14ac:dyDescent="0.35">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c r="BP403" s="8"/>
      <c r="BQ403" s="8"/>
      <c r="BR403" s="8"/>
      <c r="BS403" s="8"/>
      <c r="BT403" s="8"/>
      <c r="BU403" s="8"/>
      <c r="BV403" s="8"/>
      <c r="BW403" s="8"/>
      <c r="BX403" s="8"/>
      <c r="BY403" s="8"/>
      <c r="BZ403" s="8"/>
      <c r="CA403" s="8"/>
      <c r="CB403" s="8"/>
      <c r="CC403" s="8"/>
      <c r="CD403" s="8"/>
      <c r="CE403" s="8"/>
      <c r="CF403" s="8"/>
      <c r="CG403" s="8"/>
      <c r="CH403" s="8"/>
      <c r="CI403" s="8"/>
      <c r="CJ403" s="8"/>
      <c r="CK403" s="8"/>
      <c r="CL403" s="8"/>
      <c r="CM403" s="8"/>
      <c r="CN403" s="8"/>
    </row>
    <row r="404" spans="7:92" x14ac:dyDescent="0.35">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c r="BP404" s="8"/>
      <c r="BQ404" s="8"/>
      <c r="BR404" s="8"/>
      <c r="BS404" s="8"/>
      <c r="BT404" s="8"/>
      <c r="BU404" s="8"/>
      <c r="BV404" s="8"/>
      <c r="BW404" s="8"/>
      <c r="BX404" s="8"/>
      <c r="BY404" s="8"/>
      <c r="BZ404" s="8"/>
      <c r="CA404" s="8"/>
      <c r="CB404" s="8"/>
      <c r="CC404" s="8"/>
      <c r="CD404" s="8"/>
      <c r="CE404" s="8"/>
      <c r="CF404" s="8"/>
      <c r="CG404" s="8"/>
      <c r="CH404" s="8"/>
      <c r="CI404" s="8"/>
      <c r="CJ404" s="8"/>
      <c r="CK404" s="8"/>
      <c r="CL404" s="8"/>
      <c r="CM404" s="8"/>
      <c r="CN404" s="8"/>
    </row>
    <row r="405" spans="7:92" x14ac:dyDescent="0.35">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8"/>
      <c r="BP405" s="8"/>
      <c r="BQ405" s="8"/>
      <c r="BR405" s="8"/>
      <c r="BS405" s="8"/>
      <c r="BT405" s="8"/>
      <c r="BU405" s="8"/>
      <c r="BV405" s="8"/>
      <c r="BW405" s="8"/>
      <c r="BX405" s="8"/>
      <c r="BY405" s="8"/>
      <c r="BZ405" s="8"/>
      <c r="CA405" s="8"/>
      <c r="CB405" s="8"/>
      <c r="CC405" s="8"/>
      <c r="CD405" s="8"/>
      <c r="CE405" s="8"/>
      <c r="CF405" s="8"/>
      <c r="CG405" s="8"/>
      <c r="CH405" s="8"/>
      <c r="CI405" s="8"/>
      <c r="CJ405" s="8"/>
      <c r="CK405" s="8"/>
      <c r="CL405" s="8"/>
      <c r="CM405" s="8"/>
      <c r="CN405" s="8"/>
    </row>
    <row r="406" spans="7:92" x14ac:dyDescent="0.35">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8"/>
      <c r="BO406" s="8"/>
      <c r="BP406" s="8"/>
      <c r="BQ406" s="8"/>
      <c r="BR406" s="8"/>
      <c r="BS406" s="8"/>
      <c r="BT406" s="8"/>
      <c r="BU406" s="8"/>
      <c r="BV406" s="8"/>
      <c r="BW406" s="8"/>
      <c r="BX406" s="8"/>
      <c r="BY406" s="8"/>
      <c r="BZ406" s="8"/>
      <c r="CA406" s="8"/>
      <c r="CB406" s="8"/>
      <c r="CC406" s="8"/>
      <c r="CD406" s="8"/>
      <c r="CE406" s="8"/>
      <c r="CF406" s="8"/>
      <c r="CG406" s="8"/>
      <c r="CH406" s="8"/>
      <c r="CI406" s="8"/>
      <c r="CJ406" s="8"/>
      <c r="CK406" s="8"/>
      <c r="CL406" s="8"/>
      <c r="CM406" s="8"/>
      <c r="CN406" s="8"/>
    </row>
    <row r="407" spans="7:92" x14ac:dyDescent="0.35">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c r="BN407" s="8"/>
      <c r="BO407" s="8"/>
      <c r="BP407" s="8"/>
      <c r="BQ407" s="8"/>
      <c r="BR407" s="8"/>
      <c r="BS407" s="8"/>
      <c r="BT407" s="8"/>
      <c r="BU407" s="8"/>
      <c r="BV407" s="8"/>
      <c r="BW407" s="8"/>
      <c r="BX407" s="8"/>
      <c r="BY407" s="8"/>
      <c r="BZ407" s="8"/>
      <c r="CA407" s="8"/>
      <c r="CB407" s="8"/>
      <c r="CC407" s="8"/>
      <c r="CD407" s="8"/>
      <c r="CE407" s="8"/>
      <c r="CF407" s="8"/>
      <c r="CG407" s="8"/>
      <c r="CH407" s="8"/>
      <c r="CI407" s="8"/>
      <c r="CJ407" s="8"/>
      <c r="CK407" s="8"/>
      <c r="CL407" s="8"/>
      <c r="CM407" s="8"/>
      <c r="CN407" s="8"/>
    </row>
    <row r="408" spans="7:92" x14ac:dyDescent="0.35">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8"/>
      <c r="BP408" s="8"/>
      <c r="BQ408" s="8"/>
      <c r="BR408" s="8"/>
      <c r="BS408" s="8"/>
      <c r="BT408" s="8"/>
      <c r="BU408" s="8"/>
      <c r="BV408" s="8"/>
      <c r="BW408" s="8"/>
      <c r="BX408" s="8"/>
      <c r="BY408" s="8"/>
      <c r="BZ408" s="8"/>
      <c r="CA408" s="8"/>
      <c r="CB408" s="8"/>
      <c r="CC408" s="8"/>
      <c r="CD408" s="8"/>
      <c r="CE408" s="8"/>
      <c r="CF408" s="8"/>
      <c r="CG408" s="8"/>
      <c r="CH408" s="8"/>
      <c r="CI408" s="8"/>
      <c r="CJ408" s="8"/>
      <c r="CK408" s="8"/>
      <c r="CL408" s="8"/>
      <c r="CM408" s="8"/>
      <c r="CN408" s="8"/>
    </row>
    <row r="409" spans="7:92" x14ac:dyDescent="0.35">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8"/>
      <c r="BP409" s="8"/>
      <c r="BQ409" s="8"/>
      <c r="BR409" s="8"/>
      <c r="BS409" s="8"/>
      <c r="BT409" s="8"/>
      <c r="BU409" s="8"/>
      <c r="BV409" s="8"/>
      <c r="BW409" s="8"/>
      <c r="BX409" s="8"/>
      <c r="BY409" s="8"/>
      <c r="BZ409" s="8"/>
      <c r="CA409" s="8"/>
      <c r="CB409" s="8"/>
      <c r="CC409" s="8"/>
      <c r="CD409" s="8"/>
      <c r="CE409" s="8"/>
      <c r="CF409" s="8"/>
      <c r="CG409" s="8"/>
      <c r="CH409" s="8"/>
      <c r="CI409" s="8"/>
      <c r="CJ409" s="8"/>
      <c r="CK409" s="8"/>
      <c r="CL409" s="8"/>
      <c r="CM409" s="8"/>
      <c r="CN409" s="8"/>
    </row>
    <row r="410" spans="7:92" x14ac:dyDescent="0.35">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c r="BO410" s="8"/>
      <c r="BP410" s="8"/>
      <c r="BQ410" s="8"/>
      <c r="BR410" s="8"/>
      <c r="BS410" s="8"/>
      <c r="BT410" s="8"/>
      <c r="BU410" s="8"/>
      <c r="BV410" s="8"/>
      <c r="BW410" s="8"/>
      <c r="BX410" s="8"/>
      <c r="BY410" s="8"/>
      <c r="BZ410" s="8"/>
      <c r="CA410" s="8"/>
      <c r="CB410" s="8"/>
      <c r="CC410" s="8"/>
      <c r="CD410" s="8"/>
      <c r="CE410" s="8"/>
      <c r="CF410" s="8"/>
      <c r="CG410" s="8"/>
      <c r="CH410" s="8"/>
      <c r="CI410" s="8"/>
      <c r="CJ410" s="8"/>
      <c r="CK410" s="8"/>
      <c r="CL410" s="8"/>
      <c r="CM410" s="8"/>
      <c r="CN410" s="8"/>
    </row>
    <row r="411" spans="7:92" x14ac:dyDescent="0.35">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c r="BQ411" s="8"/>
      <c r="BR411" s="8"/>
      <c r="BS411" s="8"/>
      <c r="BT411" s="8"/>
      <c r="BU411" s="8"/>
      <c r="BV411" s="8"/>
      <c r="BW411" s="8"/>
      <c r="BX411" s="8"/>
      <c r="BY411" s="8"/>
      <c r="BZ411" s="8"/>
      <c r="CA411" s="8"/>
      <c r="CB411" s="8"/>
      <c r="CC411" s="8"/>
      <c r="CD411" s="8"/>
      <c r="CE411" s="8"/>
      <c r="CF411" s="8"/>
      <c r="CG411" s="8"/>
      <c r="CH411" s="8"/>
      <c r="CI411" s="8"/>
      <c r="CJ411" s="8"/>
      <c r="CK411" s="8"/>
      <c r="CL411" s="8"/>
      <c r="CM411" s="8"/>
      <c r="CN411" s="8"/>
    </row>
    <row r="412" spans="7:92" x14ac:dyDescent="0.35">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c r="BO412" s="8"/>
      <c r="BP412" s="8"/>
      <c r="BQ412" s="8"/>
      <c r="BR412" s="8"/>
      <c r="BS412" s="8"/>
      <c r="BT412" s="8"/>
      <c r="BU412" s="8"/>
      <c r="BV412" s="8"/>
      <c r="BW412" s="8"/>
      <c r="BX412" s="8"/>
      <c r="BY412" s="8"/>
      <c r="BZ412" s="8"/>
      <c r="CA412" s="8"/>
      <c r="CB412" s="8"/>
      <c r="CC412" s="8"/>
      <c r="CD412" s="8"/>
      <c r="CE412" s="8"/>
      <c r="CF412" s="8"/>
      <c r="CG412" s="8"/>
      <c r="CH412" s="8"/>
      <c r="CI412" s="8"/>
      <c r="CJ412" s="8"/>
      <c r="CK412" s="8"/>
      <c r="CL412" s="8"/>
      <c r="CM412" s="8"/>
      <c r="CN412" s="8"/>
    </row>
    <row r="413" spans="7:92" x14ac:dyDescent="0.35">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8"/>
      <c r="BP413" s="8"/>
      <c r="BQ413" s="8"/>
      <c r="BR413" s="8"/>
      <c r="BS413" s="8"/>
      <c r="BT413" s="8"/>
      <c r="BU413" s="8"/>
      <c r="BV413" s="8"/>
      <c r="BW413" s="8"/>
      <c r="BX413" s="8"/>
      <c r="BY413" s="8"/>
      <c r="BZ413" s="8"/>
      <c r="CA413" s="8"/>
      <c r="CB413" s="8"/>
      <c r="CC413" s="8"/>
      <c r="CD413" s="8"/>
      <c r="CE413" s="8"/>
      <c r="CF413" s="8"/>
      <c r="CG413" s="8"/>
      <c r="CH413" s="8"/>
      <c r="CI413" s="8"/>
      <c r="CJ413" s="8"/>
      <c r="CK413" s="8"/>
      <c r="CL413" s="8"/>
      <c r="CM413" s="8"/>
      <c r="CN413" s="8"/>
    </row>
    <row r="414" spans="7:92" x14ac:dyDescent="0.35">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8"/>
      <c r="BO414" s="8"/>
      <c r="BP414" s="8"/>
      <c r="BQ414" s="8"/>
      <c r="BR414" s="8"/>
      <c r="BS414" s="8"/>
      <c r="BT414" s="8"/>
      <c r="BU414" s="8"/>
      <c r="BV414" s="8"/>
      <c r="BW414" s="8"/>
      <c r="BX414" s="8"/>
      <c r="BY414" s="8"/>
      <c r="BZ414" s="8"/>
      <c r="CA414" s="8"/>
      <c r="CB414" s="8"/>
      <c r="CC414" s="8"/>
      <c r="CD414" s="8"/>
      <c r="CE414" s="8"/>
      <c r="CF414" s="8"/>
      <c r="CG414" s="8"/>
      <c r="CH414" s="8"/>
      <c r="CI414" s="8"/>
      <c r="CJ414" s="8"/>
      <c r="CK414" s="8"/>
      <c r="CL414" s="8"/>
      <c r="CM414" s="8"/>
      <c r="CN414" s="8"/>
    </row>
    <row r="415" spans="7:92" x14ac:dyDescent="0.35">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8"/>
      <c r="BO415" s="8"/>
      <c r="BP415" s="8"/>
      <c r="BQ415" s="8"/>
      <c r="BR415" s="8"/>
      <c r="BS415" s="8"/>
      <c r="BT415" s="8"/>
      <c r="BU415" s="8"/>
      <c r="BV415" s="8"/>
      <c r="BW415" s="8"/>
      <c r="BX415" s="8"/>
      <c r="BY415" s="8"/>
      <c r="BZ415" s="8"/>
      <c r="CA415" s="8"/>
      <c r="CB415" s="8"/>
      <c r="CC415" s="8"/>
      <c r="CD415" s="8"/>
      <c r="CE415" s="8"/>
      <c r="CF415" s="8"/>
      <c r="CG415" s="8"/>
      <c r="CH415" s="8"/>
      <c r="CI415" s="8"/>
      <c r="CJ415" s="8"/>
      <c r="CK415" s="8"/>
      <c r="CL415" s="8"/>
      <c r="CM415" s="8"/>
      <c r="CN415" s="8"/>
    </row>
    <row r="416" spans="7:92" x14ac:dyDescent="0.35">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8"/>
      <c r="BP416" s="8"/>
      <c r="BQ416" s="8"/>
      <c r="BR416" s="8"/>
      <c r="BS416" s="8"/>
      <c r="BT416" s="8"/>
      <c r="BU416" s="8"/>
      <c r="BV416" s="8"/>
      <c r="BW416" s="8"/>
      <c r="BX416" s="8"/>
      <c r="BY416" s="8"/>
      <c r="BZ416" s="8"/>
      <c r="CA416" s="8"/>
      <c r="CB416" s="8"/>
      <c r="CC416" s="8"/>
      <c r="CD416" s="8"/>
      <c r="CE416" s="8"/>
      <c r="CF416" s="8"/>
      <c r="CG416" s="8"/>
      <c r="CH416" s="8"/>
      <c r="CI416" s="8"/>
      <c r="CJ416" s="8"/>
      <c r="CK416" s="8"/>
      <c r="CL416" s="8"/>
      <c r="CM416" s="8"/>
      <c r="CN416" s="8"/>
    </row>
    <row r="417" spans="7:92" x14ac:dyDescent="0.35">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c r="BP417" s="8"/>
      <c r="BQ417" s="8"/>
      <c r="BR417" s="8"/>
      <c r="BS417" s="8"/>
      <c r="BT417" s="8"/>
      <c r="BU417" s="8"/>
      <c r="BV417" s="8"/>
      <c r="BW417" s="8"/>
      <c r="BX417" s="8"/>
      <c r="BY417" s="8"/>
      <c r="BZ417" s="8"/>
      <c r="CA417" s="8"/>
      <c r="CB417" s="8"/>
      <c r="CC417" s="8"/>
      <c r="CD417" s="8"/>
      <c r="CE417" s="8"/>
      <c r="CF417" s="8"/>
      <c r="CG417" s="8"/>
      <c r="CH417" s="8"/>
      <c r="CI417" s="8"/>
      <c r="CJ417" s="8"/>
      <c r="CK417" s="8"/>
      <c r="CL417" s="8"/>
      <c r="CM417" s="8"/>
      <c r="CN417" s="8"/>
    </row>
    <row r="418" spans="7:92" x14ac:dyDescent="0.35">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c r="BP418" s="8"/>
      <c r="BQ418" s="8"/>
      <c r="BR418" s="8"/>
      <c r="BS418" s="8"/>
      <c r="BT418" s="8"/>
      <c r="BU418" s="8"/>
      <c r="BV418" s="8"/>
      <c r="BW418" s="8"/>
      <c r="BX418" s="8"/>
      <c r="BY418" s="8"/>
      <c r="BZ418" s="8"/>
      <c r="CA418" s="8"/>
      <c r="CB418" s="8"/>
      <c r="CC418" s="8"/>
      <c r="CD418" s="8"/>
      <c r="CE418" s="8"/>
      <c r="CF418" s="8"/>
      <c r="CG418" s="8"/>
      <c r="CH418" s="8"/>
      <c r="CI418" s="8"/>
      <c r="CJ418" s="8"/>
      <c r="CK418" s="8"/>
      <c r="CL418" s="8"/>
      <c r="CM418" s="8"/>
      <c r="CN418" s="8"/>
    </row>
    <row r="419" spans="7:92" x14ac:dyDescent="0.35">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c r="BP419" s="8"/>
      <c r="BQ419" s="8"/>
      <c r="BR419" s="8"/>
      <c r="BS419" s="8"/>
      <c r="BT419" s="8"/>
      <c r="BU419" s="8"/>
      <c r="BV419" s="8"/>
      <c r="BW419" s="8"/>
      <c r="BX419" s="8"/>
      <c r="BY419" s="8"/>
      <c r="BZ419" s="8"/>
      <c r="CA419" s="8"/>
      <c r="CB419" s="8"/>
      <c r="CC419" s="8"/>
      <c r="CD419" s="8"/>
      <c r="CE419" s="8"/>
      <c r="CF419" s="8"/>
      <c r="CG419" s="8"/>
      <c r="CH419" s="8"/>
      <c r="CI419" s="8"/>
      <c r="CJ419" s="8"/>
      <c r="CK419" s="8"/>
      <c r="CL419" s="8"/>
      <c r="CM419" s="8"/>
      <c r="CN419" s="8"/>
    </row>
    <row r="420" spans="7:92" x14ac:dyDescent="0.35">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c r="BP420" s="8"/>
      <c r="BQ420" s="8"/>
      <c r="BR420" s="8"/>
      <c r="BS420" s="8"/>
      <c r="BT420" s="8"/>
      <c r="BU420" s="8"/>
      <c r="BV420" s="8"/>
      <c r="BW420" s="8"/>
      <c r="BX420" s="8"/>
      <c r="BY420" s="8"/>
      <c r="BZ420" s="8"/>
      <c r="CA420" s="8"/>
      <c r="CB420" s="8"/>
      <c r="CC420" s="8"/>
      <c r="CD420" s="8"/>
      <c r="CE420" s="8"/>
      <c r="CF420" s="8"/>
      <c r="CG420" s="8"/>
      <c r="CH420" s="8"/>
      <c r="CI420" s="8"/>
      <c r="CJ420" s="8"/>
      <c r="CK420" s="8"/>
      <c r="CL420" s="8"/>
      <c r="CM420" s="8"/>
      <c r="CN420" s="8"/>
    </row>
    <row r="421" spans="7:92" x14ac:dyDescent="0.35">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c r="BP421" s="8"/>
      <c r="BQ421" s="8"/>
      <c r="BR421" s="8"/>
      <c r="BS421" s="8"/>
      <c r="BT421" s="8"/>
      <c r="BU421" s="8"/>
      <c r="BV421" s="8"/>
      <c r="BW421" s="8"/>
      <c r="BX421" s="8"/>
      <c r="BY421" s="8"/>
      <c r="BZ421" s="8"/>
      <c r="CA421" s="8"/>
      <c r="CB421" s="8"/>
      <c r="CC421" s="8"/>
      <c r="CD421" s="8"/>
      <c r="CE421" s="8"/>
      <c r="CF421" s="8"/>
      <c r="CG421" s="8"/>
      <c r="CH421" s="8"/>
      <c r="CI421" s="8"/>
      <c r="CJ421" s="8"/>
      <c r="CK421" s="8"/>
      <c r="CL421" s="8"/>
      <c r="CM421" s="8"/>
      <c r="CN421" s="8"/>
    </row>
    <row r="422" spans="7:92" x14ac:dyDescent="0.35">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c r="BP422" s="8"/>
      <c r="BQ422" s="8"/>
      <c r="BR422" s="8"/>
      <c r="BS422" s="8"/>
      <c r="BT422" s="8"/>
      <c r="BU422" s="8"/>
      <c r="BV422" s="8"/>
      <c r="BW422" s="8"/>
      <c r="BX422" s="8"/>
      <c r="BY422" s="8"/>
      <c r="BZ422" s="8"/>
      <c r="CA422" s="8"/>
      <c r="CB422" s="8"/>
      <c r="CC422" s="8"/>
      <c r="CD422" s="8"/>
      <c r="CE422" s="8"/>
      <c r="CF422" s="8"/>
      <c r="CG422" s="8"/>
      <c r="CH422" s="8"/>
      <c r="CI422" s="8"/>
      <c r="CJ422" s="8"/>
      <c r="CK422" s="8"/>
      <c r="CL422" s="8"/>
      <c r="CM422" s="8"/>
      <c r="CN422" s="8"/>
    </row>
    <row r="423" spans="7:92" x14ac:dyDescent="0.35">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c r="BP423" s="8"/>
      <c r="BQ423" s="8"/>
      <c r="BR423" s="8"/>
      <c r="BS423" s="8"/>
      <c r="BT423" s="8"/>
      <c r="BU423" s="8"/>
      <c r="BV423" s="8"/>
      <c r="BW423" s="8"/>
      <c r="BX423" s="8"/>
      <c r="BY423" s="8"/>
      <c r="BZ423" s="8"/>
      <c r="CA423" s="8"/>
      <c r="CB423" s="8"/>
      <c r="CC423" s="8"/>
      <c r="CD423" s="8"/>
      <c r="CE423" s="8"/>
      <c r="CF423" s="8"/>
      <c r="CG423" s="8"/>
      <c r="CH423" s="8"/>
      <c r="CI423" s="8"/>
      <c r="CJ423" s="8"/>
      <c r="CK423" s="8"/>
      <c r="CL423" s="8"/>
      <c r="CM423" s="8"/>
      <c r="CN423" s="8"/>
    </row>
    <row r="424" spans="7:92" x14ac:dyDescent="0.35">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c r="BQ424" s="8"/>
      <c r="BR424" s="8"/>
      <c r="BS424" s="8"/>
      <c r="BT424" s="8"/>
      <c r="BU424" s="8"/>
      <c r="BV424" s="8"/>
      <c r="BW424" s="8"/>
      <c r="BX424" s="8"/>
      <c r="BY424" s="8"/>
      <c r="BZ424" s="8"/>
      <c r="CA424" s="8"/>
      <c r="CB424" s="8"/>
      <c r="CC424" s="8"/>
      <c r="CD424" s="8"/>
      <c r="CE424" s="8"/>
      <c r="CF424" s="8"/>
      <c r="CG424" s="8"/>
      <c r="CH424" s="8"/>
      <c r="CI424" s="8"/>
      <c r="CJ424" s="8"/>
      <c r="CK424" s="8"/>
      <c r="CL424" s="8"/>
      <c r="CM424" s="8"/>
      <c r="CN424" s="8"/>
    </row>
    <row r="425" spans="7:92" x14ac:dyDescent="0.35">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c r="BQ425" s="8"/>
      <c r="BR425" s="8"/>
      <c r="BS425" s="8"/>
      <c r="BT425" s="8"/>
      <c r="BU425" s="8"/>
      <c r="BV425" s="8"/>
      <c r="BW425" s="8"/>
      <c r="BX425" s="8"/>
      <c r="BY425" s="8"/>
      <c r="BZ425" s="8"/>
      <c r="CA425" s="8"/>
      <c r="CB425" s="8"/>
      <c r="CC425" s="8"/>
      <c r="CD425" s="8"/>
      <c r="CE425" s="8"/>
      <c r="CF425" s="8"/>
      <c r="CG425" s="8"/>
      <c r="CH425" s="8"/>
      <c r="CI425" s="8"/>
      <c r="CJ425" s="8"/>
      <c r="CK425" s="8"/>
      <c r="CL425" s="8"/>
      <c r="CM425" s="8"/>
      <c r="CN425" s="8"/>
    </row>
    <row r="426" spans="7:92" x14ac:dyDescent="0.35">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c r="BP426" s="8"/>
      <c r="BQ426" s="8"/>
      <c r="BR426" s="8"/>
      <c r="BS426" s="8"/>
      <c r="BT426" s="8"/>
      <c r="BU426" s="8"/>
      <c r="BV426" s="8"/>
      <c r="BW426" s="8"/>
      <c r="BX426" s="8"/>
      <c r="BY426" s="8"/>
      <c r="BZ426" s="8"/>
      <c r="CA426" s="8"/>
      <c r="CB426" s="8"/>
      <c r="CC426" s="8"/>
      <c r="CD426" s="8"/>
      <c r="CE426" s="8"/>
      <c r="CF426" s="8"/>
      <c r="CG426" s="8"/>
      <c r="CH426" s="8"/>
      <c r="CI426" s="8"/>
      <c r="CJ426" s="8"/>
      <c r="CK426" s="8"/>
      <c r="CL426" s="8"/>
      <c r="CM426" s="8"/>
      <c r="CN426" s="8"/>
    </row>
    <row r="427" spans="7:92" x14ac:dyDescent="0.35">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c r="BP427" s="8"/>
      <c r="BQ427" s="8"/>
      <c r="BR427" s="8"/>
      <c r="BS427" s="8"/>
      <c r="BT427" s="8"/>
      <c r="BU427" s="8"/>
      <c r="BV427" s="8"/>
      <c r="BW427" s="8"/>
      <c r="BX427" s="8"/>
      <c r="BY427" s="8"/>
      <c r="BZ427" s="8"/>
      <c r="CA427" s="8"/>
      <c r="CB427" s="8"/>
      <c r="CC427" s="8"/>
      <c r="CD427" s="8"/>
      <c r="CE427" s="8"/>
      <c r="CF427" s="8"/>
      <c r="CG427" s="8"/>
      <c r="CH427" s="8"/>
      <c r="CI427" s="8"/>
      <c r="CJ427" s="8"/>
      <c r="CK427" s="8"/>
      <c r="CL427" s="8"/>
      <c r="CM427" s="8"/>
      <c r="CN427" s="8"/>
    </row>
    <row r="428" spans="7:92" x14ac:dyDescent="0.35">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c r="BP428" s="8"/>
      <c r="BQ428" s="8"/>
      <c r="BR428" s="8"/>
      <c r="BS428" s="8"/>
      <c r="BT428" s="8"/>
      <c r="BU428" s="8"/>
      <c r="BV428" s="8"/>
      <c r="BW428" s="8"/>
      <c r="BX428" s="8"/>
      <c r="BY428" s="8"/>
      <c r="BZ428" s="8"/>
      <c r="CA428" s="8"/>
      <c r="CB428" s="8"/>
      <c r="CC428" s="8"/>
      <c r="CD428" s="8"/>
      <c r="CE428" s="8"/>
      <c r="CF428" s="8"/>
      <c r="CG428" s="8"/>
      <c r="CH428" s="8"/>
      <c r="CI428" s="8"/>
      <c r="CJ428" s="8"/>
      <c r="CK428" s="8"/>
      <c r="CL428" s="8"/>
      <c r="CM428" s="8"/>
      <c r="CN428" s="8"/>
    </row>
    <row r="429" spans="7:92" x14ac:dyDescent="0.35">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8"/>
      <c r="BP429" s="8"/>
      <c r="BQ429" s="8"/>
      <c r="BR429" s="8"/>
      <c r="BS429" s="8"/>
      <c r="BT429" s="8"/>
      <c r="BU429" s="8"/>
      <c r="BV429" s="8"/>
      <c r="BW429" s="8"/>
      <c r="BX429" s="8"/>
      <c r="BY429" s="8"/>
      <c r="BZ429" s="8"/>
      <c r="CA429" s="8"/>
      <c r="CB429" s="8"/>
      <c r="CC429" s="8"/>
      <c r="CD429" s="8"/>
      <c r="CE429" s="8"/>
      <c r="CF429" s="8"/>
      <c r="CG429" s="8"/>
      <c r="CH429" s="8"/>
      <c r="CI429" s="8"/>
      <c r="CJ429" s="8"/>
      <c r="CK429" s="8"/>
      <c r="CL429" s="8"/>
      <c r="CM429" s="8"/>
      <c r="CN429" s="8"/>
    </row>
    <row r="430" spans="7:92" x14ac:dyDescent="0.35">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c r="BP430" s="8"/>
      <c r="BQ430" s="8"/>
      <c r="BR430" s="8"/>
      <c r="BS430" s="8"/>
      <c r="BT430" s="8"/>
      <c r="BU430" s="8"/>
      <c r="BV430" s="8"/>
      <c r="BW430" s="8"/>
      <c r="BX430" s="8"/>
      <c r="BY430" s="8"/>
      <c r="BZ430" s="8"/>
      <c r="CA430" s="8"/>
      <c r="CB430" s="8"/>
      <c r="CC430" s="8"/>
      <c r="CD430" s="8"/>
      <c r="CE430" s="8"/>
      <c r="CF430" s="8"/>
      <c r="CG430" s="8"/>
      <c r="CH430" s="8"/>
      <c r="CI430" s="8"/>
      <c r="CJ430" s="8"/>
      <c r="CK430" s="8"/>
      <c r="CL430" s="8"/>
      <c r="CM430" s="8"/>
      <c r="CN430" s="8"/>
    </row>
    <row r="431" spans="7:92" x14ac:dyDescent="0.35">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c r="BP431" s="8"/>
      <c r="BQ431" s="8"/>
      <c r="BR431" s="8"/>
      <c r="BS431" s="8"/>
      <c r="BT431" s="8"/>
      <c r="BU431" s="8"/>
      <c r="BV431" s="8"/>
      <c r="BW431" s="8"/>
      <c r="BX431" s="8"/>
      <c r="BY431" s="8"/>
      <c r="BZ431" s="8"/>
      <c r="CA431" s="8"/>
      <c r="CB431" s="8"/>
      <c r="CC431" s="8"/>
      <c r="CD431" s="8"/>
      <c r="CE431" s="8"/>
      <c r="CF431" s="8"/>
      <c r="CG431" s="8"/>
      <c r="CH431" s="8"/>
      <c r="CI431" s="8"/>
      <c r="CJ431" s="8"/>
      <c r="CK431" s="8"/>
      <c r="CL431" s="8"/>
      <c r="CM431" s="8"/>
      <c r="CN431" s="8"/>
    </row>
    <row r="432" spans="7:92" x14ac:dyDescent="0.35">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c r="BP432" s="8"/>
      <c r="BQ432" s="8"/>
      <c r="BR432" s="8"/>
      <c r="BS432" s="8"/>
      <c r="BT432" s="8"/>
      <c r="BU432" s="8"/>
      <c r="BV432" s="8"/>
      <c r="BW432" s="8"/>
      <c r="BX432" s="8"/>
      <c r="BY432" s="8"/>
      <c r="BZ432" s="8"/>
      <c r="CA432" s="8"/>
      <c r="CB432" s="8"/>
      <c r="CC432" s="8"/>
      <c r="CD432" s="8"/>
      <c r="CE432" s="8"/>
      <c r="CF432" s="8"/>
      <c r="CG432" s="8"/>
      <c r="CH432" s="8"/>
      <c r="CI432" s="8"/>
      <c r="CJ432" s="8"/>
      <c r="CK432" s="8"/>
      <c r="CL432" s="8"/>
      <c r="CM432" s="8"/>
      <c r="CN432" s="8"/>
    </row>
    <row r="433" spans="7:92" x14ac:dyDescent="0.35">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c r="BP433" s="8"/>
      <c r="BQ433" s="8"/>
      <c r="BR433" s="8"/>
      <c r="BS433" s="8"/>
      <c r="BT433" s="8"/>
      <c r="BU433" s="8"/>
      <c r="BV433" s="8"/>
      <c r="BW433" s="8"/>
      <c r="BX433" s="8"/>
      <c r="BY433" s="8"/>
      <c r="BZ433" s="8"/>
      <c r="CA433" s="8"/>
      <c r="CB433" s="8"/>
      <c r="CC433" s="8"/>
      <c r="CD433" s="8"/>
      <c r="CE433" s="8"/>
      <c r="CF433" s="8"/>
      <c r="CG433" s="8"/>
      <c r="CH433" s="8"/>
      <c r="CI433" s="8"/>
      <c r="CJ433" s="8"/>
      <c r="CK433" s="8"/>
      <c r="CL433" s="8"/>
      <c r="CM433" s="8"/>
      <c r="CN433" s="8"/>
    </row>
    <row r="434" spans="7:92" x14ac:dyDescent="0.35">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c r="BP434" s="8"/>
      <c r="BQ434" s="8"/>
      <c r="BR434" s="8"/>
      <c r="BS434" s="8"/>
      <c r="BT434" s="8"/>
      <c r="BU434" s="8"/>
      <c r="BV434" s="8"/>
      <c r="BW434" s="8"/>
      <c r="BX434" s="8"/>
      <c r="BY434" s="8"/>
      <c r="BZ434" s="8"/>
      <c r="CA434" s="8"/>
      <c r="CB434" s="8"/>
      <c r="CC434" s="8"/>
      <c r="CD434" s="8"/>
      <c r="CE434" s="8"/>
      <c r="CF434" s="8"/>
      <c r="CG434" s="8"/>
      <c r="CH434" s="8"/>
      <c r="CI434" s="8"/>
      <c r="CJ434" s="8"/>
      <c r="CK434" s="8"/>
      <c r="CL434" s="8"/>
      <c r="CM434" s="8"/>
      <c r="CN434" s="8"/>
    </row>
    <row r="435" spans="7:92" x14ac:dyDescent="0.35">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c r="BO435" s="8"/>
      <c r="BP435" s="8"/>
      <c r="BQ435" s="8"/>
      <c r="BR435" s="8"/>
      <c r="BS435" s="8"/>
      <c r="BT435" s="8"/>
      <c r="BU435" s="8"/>
      <c r="BV435" s="8"/>
      <c r="BW435" s="8"/>
      <c r="BX435" s="8"/>
      <c r="BY435" s="8"/>
      <c r="BZ435" s="8"/>
      <c r="CA435" s="8"/>
      <c r="CB435" s="8"/>
      <c r="CC435" s="8"/>
      <c r="CD435" s="8"/>
      <c r="CE435" s="8"/>
      <c r="CF435" s="8"/>
      <c r="CG435" s="8"/>
      <c r="CH435" s="8"/>
      <c r="CI435" s="8"/>
      <c r="CJ435" s="8"/>
      <c r="CK435" s="8"/>
      <c r="CL435" s="8"/>
      <c r="CM435" s="8"/>
      <c r="CN435" s="8"/>
    </row>
    <row r="436" spans="7:92" x14ac:dyDescent="0.35">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c r="BQ436" s="8"/>
      <c r="BR436" s="8"/>
      <c r="BS436" s="8"/>
      <c r="BT436" s="8"/>
      <c r="BU436" s="8"/>
      <c r="BV436" s="8"/>
      <c r="BW436" s="8"/>
      <c r="BX436" s="8"/>
      <c r="BY436" s="8"/>
      <c r="BZ436" s="8"/>
      <c r="CA436" s="8"/>
      <c r="CB436" s="8"/>
      <c r="CC436" s="8"/>
      <c r="CD436" s="8"/>
      <c r="CE436" s="8"/>
      <c r="CF436" s="8"/>
      <c r="CG436" s="8"/>
      <c r="CH436" s="8"/>
      <c r="CI436" s="8"/>
      <c r="CJ436" s="8"/>
      <c r="CK436" s="8"/>
      <c r="CL436" s="8"/>
      <c r="CM436" s="8"/>
      <c r="CN436" s="8"/>
    </row>
    <row r="437" spans="7:92" x14ac:dyDescent="0.35">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c r="BQ437" s="8"/>
      <c r="BR437" s="8"/>
      <c r="BS437" s="8"/>
      <c r="BT437" s="8"/>
      <c r="BU437" s="8"/>
      <c r="BV437" s="8"/>
      <c r="BW437" s="8"/>
      <c r="BX437" s="8"/>
      <c r="BY437" s="8"/>
      <c r="BZ437" s="8"/>
      <c r="CA437" s="8"/>
      <c r="CB437" s="8"/>
      <c r="CC437" s="8"/>
      <c r="CD437" s="8"/>
      <c r="CE437" s="8"/>
      <c r="CF437" s="8"/>
      <c r="CG437" s="8"/>
      <c r="CH437" s="8"/>
      <c r="CI437" s="8"/>
      <c r="CJ437" s="8"/>
      <c r="CK437" s="8"/>
      <c r="CL437" s="8"/>
      <c r="CM437" s="8"/>
      <c r="CN437" s="8"/>
    </row>
    <row r="438" spans="7:92" x14ac:dyDescent="0.35">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c r="BQ438" s="8"/>
      <c r="BR438" s="8"/>
      <c r="BS438" s="8"/>
      <c r="BT438" s="8"/>
      <c r="BU438" s="8"/>
      <c r="BV438" s="8"/>
      <c r="BW438" s="8"/>
      <c r="BX438" s="8"/>
      <c r="BY438" s="8"/>
      <c r="BZ438" s="8"/>
      <c r="CA438" s="8"/>
      <c r="CB438" s="8"/>
      <c r="CC438" s="8"/>
      <c r="CD438" s="8"/>
      <c r="CE438" s="8"/>
      <c r="CF438" s="8"/>
      <c r="CG438" s="8"/>
      <c r="CH438" s="8"/>
      <c r="CI438" s="8"/>
      <c r="CJ438" s="8"/>
      <c r="CK438" s="8"/>
      <c r="CL438" s="8"/>
      <c r="CM438" s="8"/>
      <c r="CN438" s="8"/>
    </row>
    <row r="439" spans="7:92" x14ac:dyDescent="0.35">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c r="BQ439" s="8"/>
      <c r="BR439" s="8"/>
      <c r="BS439" s="8"/>
      <c r="BT439" s="8"/>
      <c r="BU439" s="8"/>
      <c r="BV439" s="8"/>
      <c r="BW439" s="8"/>
      <c r="BX439" s="8"/>
      <c r="BY439" s="8"/>
      <c r="BZ439" s="8"/>
      <c r="CA439" s="8"/>
      <c r="CB439" s="8"/>
      <c r="CC439" s="8"/>
      <c r="CD439" s="8"/>
      <c r="CE439" s="8"/>
      <c r="CF439" s="8"/>
      <c r="CG439" s="8"/>
      <c r="CH439" s="8"/>
      <c r="CI439" s="8"/>
      <c r="CJ439" s="8"/>
      <c r="CK439" s="8"/>
      <c r="CL439" s="8"/>
      <c r="CM439" s="8"/>
      <c r="CN439" s="8"/>
    </row>
    <row r="440" spans="7:92" x14ac:dyDescent="0.35">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c r="BQ440" s="8"/>
      <c r="BR440" s="8"/>
      <c r="BS440" s="8"/>
      <c r="BT440" s="8"/>
      <c r="BU440" s="8"/>
      <c r="BV440" s="8"/>
      <c r="BW440" s="8"/>
      <c r="BX440" s="8"/>
      <c r="BY440" s="8"/>
      <c r="BZ440" s="8"/>
      <c r="CA440" s="8"/>
      <c r="CB440" s="8"/>
      <c r="CC440" s="8"/>
      <c r="CD440" s="8"/>
      <c r="CE440" s="8"/>
      <c r="CF440" s="8"/>
      <c r="CG440" s="8"/>
      <c r="CH440" s="8"/>
      <c r="CI440" s="8"/>
      <c r="CJ440" s="8"/>
      <c r="CK440" s="8"/>
      <c r="CL440" s="8"/>
      <c r="CM440" s="8"/>
      <c r="CN440" s="8"/>
    </row>
    <row r="441" spans="7:92" x14ac:dyDescent="0.35">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c r="BQ441" s="8"/>
      <c r="BR441" s="8"/>
      <c r="BS441" s="8"/>
      <c r="BT441" s="8"/>
      <c r="BU441" s="8"/>
      <c r="BV441" s="8"/>
      <c r="BW441" s="8"/>
      <c r="BX441" s="8"/>
      <c r="BY441" s="8"/>
      <c r="BZ441" s="8"/>
      <c r="CA441" s="8"/>
      <c r="CB441" s="8"/>
      <c r="CC441" s="8"/>
      <c r="CD441" s="8"/>
      <c r="CE441" s="8"/>
      <c r="CF441" s="8"/>
      <c r="CG441" s="8"/>
      <c r="CH441" s="8"/>
      <c r="CI441" s="8"/>
      <c r="CJ441" s="8"/>
      <c r="CK441" s="8"/>
      <c r="CL441" s="8"/>
      <c r="CM441" s="8"/>
      <c r="CN441" s="8"/>
    </row>
    <row r="442" spans="7:92" x14ac:dyDescent="0.35">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c r="BQ442" s="8"/>
      <c r="BR442" s="8"/>
      <c r="BS442" s="8"/>
      <c r="BT442" s="8"/>
      <c r="BU442" s="8"/>
      <c r="BV442" s="8"/>
      <c r="BW442" s="8"/>
      <c r="BX442" s="8"/>
      <c r="BY442" s="8"/>
      <c r="BZ442" s="8"/>
      <c r="CA442" s="8"/>
      <c r="CB442" s="8"/>
      <c r="CC442" s="8"/>
      <c r="CD442" s="8"/>
      <c r="CE442" s="8"/>
      <c r="CF442" s="8"/>
      <c r="CG442" s="8"/>
      <c r="CH442" s="8"/>
      <c r="CI442" s="8"/>
      <c r="CJ442" s="8"/>
      <c r="CK442" s="8"/>
      <c r="CL442" s="8"/>
      <c r="CM442" s="8"/>
      <c r="CN442" s="8"/>
    </row>
    <row r="443" spans="7:92" x14ac:dyDescent="0.35">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c r="BQ443" s="8"/>
      <c r="BR443" s="8"/>
      <c r="BS443" s="8"/>
      <c r="BT443" s="8"/>
      <c r="BU443" s="8"/>
      <c r="BV443" s="8"/>
      <c r="BW443" s="8"/>
      <c r="BX443" s="8"/>
      <c r="BY443" s="8"/>
      <c r="BZ443" s="8"/>
      <c r="CA443" s="8"/>
      <c r="CB443" s="8"/>
      <c r="CC443" s="8"/>
      <c r="CD443" s="8"/>
      <c r="CE443" s="8"/>
      <c r="CF443" s="8"/>
      <c r="CG443" s="8"/>
      <c r="CH443" s="8"/>
      <c r="CI443" s="8"/>
      <c r="CJ443" s="8"/>
      <c r="CK443" s="8"/>
      <c r="CL443" s="8"/>
      <c r="CM443" s="8"/>
      <c r="CN443" s="8"/>
    </row>
    <row r="444" spans="7:92" x14ac:dyDescent="0.35">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c r="BQ444" s="8"/>
      <c r="BR444" s="8"/>
      <c r="BS444" s="8"/>
      <c r="BT444" s="8"/>
      <c r="BU444" s="8"/>
      <c r="BV444" s="8"/>
      <c r="BW444" s="8"/>
      <c r="BX444" s="8"/>
      <c r="BY444" s="8"/>
      <c r="BZ444" s="8"/>
      <c r="CA444" s="8"/>
      <c r="CB444" s="8"/>
      <c r="CC444" s="8"/>
      <c r="CD444" s="8"/>
      <c r="CE444" s="8"/>
      <c r="CF444" s="8"/>
      <c r="CG444" s="8"/>
      <c r="CH444" s="8"/>
      <c r="CI444" s="8"/>
      <c r="CJ444" s="8"/>
      <c r="CK444" s="8"/>
      <c r="CL444" s="8"/>
      <c r="CM444" s="8"/>
      <c r="CN444" s="8"/>
    </row>
    <row r="445" spans="7:92" x14ac:dyDescent="0.35">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c r="BQ445" s="8"/>
      <c r="BR445" s="8"/>
      <c r="BS445" s="8"/>
      <c r="BT445" s="8"/>
      <c r="BU445" s="8"/>
      <c r="BV445" s="8"/>
      <c r="BW445" s="8"/>
      <c r="BX445" s="8"/>
      <c r="BY445" s="8"/>
      <c r="BZ445" s="8"/>
      <c r="CA445" s="8"/>
      <c r="CB445" s="8"/>
      <c r="CC445" s="8"/>
      <c r="CD445" s="8"/>
      <c r="CE445" s="8"/>
      <c r="CF445" s="8"/>
      <c r="CG445" s="8"/>
      <c r="CH445" s="8"/>
      <c r="CI445" s="8"/>
      <c r="CJ445" s="8"/>
      <c r="CK445" s="8"/>
      <c r="CL445" s="8"/>
      <c r="CM445" s="8"/>
      <c r="CN445" s="8"/>
    </row>
    <row r="446" spans="7:92" x14ac:dyDescent="0.35">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c r="BQ446" s="8"/>
      <c r="BR446" s="8"/>
      <c r="BS446" s="8"/>
      <c r="BT446" s="8"/>
      <c r="BU446" s="8"/>
      <c r="BV446" s="8"/>
      <c r="BW446" s="8"/>
      <c r="BX446" s="8"/>
      <c r="BY446" s="8"/>
      <c r="BZ446" s="8"/>
      <c r="CA446" s="8"/>
      <c r="CB446" s="8"/>
      <c r="CC446" s="8"/>
      <c r="CD446" s="8"/>
      <c r="CE446" s="8"/>
      <c r="CF446" s="8"/>
      <c r="CG446" s="8"/>
      <c r="CH446" s="8"/>
      <c r="CI446" s="8"/>
      <c r="CJ446" s="8"/>
      <c r="CK446" s="8"/>
      <c r="CL446" s="8"/>
      <c r="CM446" s="8"/>
      <c r="CN446" s="8"/>
    </row>
    <row r="447" spans="7:92" x14ac:dyDescent="0.35">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c r="BQ447" s="8"/>
      <c r="BR447" s="8"/>
      <c r="BS447" s="8"/>
      <c r="BT447" s="8"/>
      <c r="BU447" s="8"/>
      <c r="BV447" s="8"/>
      <c r="BW447" s="8"/>
      <c r="BX447" s="8"/>
      <c r="BY447" s="8"/>
      <c r="BZ447" s="8"/>
      <c r="CA447" s="8"/>
      <c r="CB447" s="8"/>
      <c r="CC447" s="8"/>
      <c r="CD447" s="8"/>
      <c r="CE447" s="8"/>
      <c r="CF447" s="8"/>
      <c r="CG447" s="8"/>
      <c r="CH447" s="8"/>
      <c r="CI447" s="8"/>
      <c r="CJ447" s="8"/>
      <c r="CK447" s="8"/>
      <c r="CL447" s="8"/>
      <c r="CM447" s="8"/>
      <c r="CN447" s="8"/>
    </row>
    <row r="448" spans="7:92" x14ac:dyDescent="0.35">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c r="BQ448" s="8"/>
      <c r="BR448" s="8"/>
      <c r="BS448" s="8"/>
      <c r="BT448" s="8"/>
      <c r="BU448" s="8"/>
      <c r="BV448" s="8"/>
      <c r="BW448" s="8"/>
      <c r="BX448" s="8"/>
      <c r="BY448" s="8"/>
      <c r="BZ448" s="8"/>
      <c r="CA448" s="8"/>
      <c r="CB448" s="8"/>
      <c r="CC448" s="8"/>
      <c r="CD448" s="8"/>
      <c r="CE448" s="8"/>
      <c r="CF448" s="8"/>
      <c r="CG448" s="8"/>
      <c r="CH448" s="8"/>
      <c r="CI448" s="8"/>
      <c r="CJ448" s="8"/>
      <c r="CK448" s="8"/>
      <c r="CL448" s="8"/>
      <c r="CM448" s="8"/>
      <c r="CN448" s="8"/>
    </row>
    <row r="449" spans="7:92" x14ac:dyDescent="0.35">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c r="BQ449" s="8"/>
      <c r="BR449" s="8"/>
      <c r="BS449" s="8"/>
      <c r="BT449" s="8"/>
      <c r="BU449" s="8"/>
      <c r="BV449" s="8"/>
      <c r="BW449" s="8"/>
      <c r="BX449" s="8"/>
      <c r="BY449" s="8"/>
      <c r="BZ449" s="8"/>
      <c r="CA449" s="8"/>
      <c r="CB449" s="8"/>
      <c r="CC449" s="8"/>
      <c r="CD449" s="8"/>
      <c r="CE449" s="8"/>
      <c r="CF449" s="8"/>
      <c r="CG449" s="8"/>
      <c r="CH449" s="8"/>
      <c r="CI449" s="8"/>
      <c r="CJ449" s="8"/>
      <c r="CK449" s="8"/>
      <c r="CL449" s="8"/>
      <c r="CM449" s="8"/>
      <c r="CN449" s="8"/>
    </row>
    <row r="450" spans="7:92" x14ac:dyDescent="0.35">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c r="BR450" s="8"/>
      <c r="BS450" s="8"/>
      <c r="BT450" s="8"/>
      <c r="BU450" s="8"/>
      <c r="BV450" s="8"/>
      <c r="BW450" s="8"/>
      <c r="BX450" s="8"/>
      <c r="BY450" s="8"/>
      <c r="BZ450" s="8"/>
      <c r="CA450" s="8"/>
      <c r="CB450" s="8"/>
      <c r="CC450" s="8"/>
      <c r="CD450" s="8"/>
      <c r="CE450" s="8"/>
      <c r="CF450" s="8"/>
      <c r="CG450" s="8"/>
      <c r="CH450" s="8"/>
      <c r="CI450" s="8"/>
      <c r="CJ450" s="8"/>
      <c r="CK450" s="8"/>
      <c r="CL450" s="8"/>
      <c r="CM450" s="8"/>
      <c r="CN450" s="8"/>
    </row>
    <row r="451" spans="7:92" x14ac:dyDescent="0.35">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8"/>
      <c r="BR451" s="8"/>
      <c r="BS451" s="8"/>
      <c r="BT451" s="8"/>
      <c r="BU451" s="8"/>
      <c r="BV451" s="8"/>
      <c r="BW451" s="8"/>
      <c r="BX451" s="8"/>
      <c r="BY451" s="8"/>
      <c r="BZ451" s="8"/>
      <c r="CA451" s="8"/>
      <c r="CB451" s="8"/>
      <c r="CC451" s="8"/>
      <c r="CD451" s="8"/>
      <c r="CE451" s="8"/>
      <c r="CF451" s="8"/>
      <c r="CG451" s="8"/>
      <c r="CH451" s="8"/>
      <c r="CI451" s="8"/>
      <c r="CJ451" s="8"/>
      <c r="CK451" s="8"/>
      <c r="CL451" s="8"/>
      <c r="CM451" s="8"/>
      <c r="CN451" s="8"/>
    </row>
    <row r="452" spans="7:92" x14ac:dyDescent="0.35">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8"/>
      <c r="BR452" s="8"/>
      <c r="BS452" s="8"/>
      <c r="BT452" s="8"/>
      <c r="BU452" s="8"/>
      <c r="BV452" s="8"/>
      <c r="BW452" s="8"/>
      <c r="BX452" s="8"/>
      <c r="BY452" s="8"/>
      <c r="BZ452" s="8"/>
      <c r="CA452" s="8"/>
      <c r="CB452" s="8"/>
      <c r="CC452" s="8"/>
      <c r="CD452" s="8"/>
      <c r="CE452" s="8"/>
      <c r="CF452" s="8"/>
      <c r="CG452" s="8"/>
      <c r="CH452" s="8"/>
      <c r="CI452" s="8"/>
      <c r="CJ452" s="8"/>
      <c r="CK452" s="8"/>
      <c r="CL452" s="8"/>
      <c r="CM452" s="8"/>
      <c r="CN452" s="8"/>
    </row>
    <row r="453" spans="7:92" x14ac:dyDescent="0.35">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8"/>
      <c r="BR453" s="8"/>
      <c r="BS453" s="8"/>
      <c r="BT453" s="8"/>
      <c r="BU453" s="8"/>
      <c r="BV453" s="8"/>
      <c r="BW453" s="8"/>
      <c r="BX453" s="8"/>
      <c r="BY453" s="8"/>
      <c r="BZ453" s="8"/>
      <c r="CA453" s="8"/>
      <c r="CB453" s="8"/>
      <c r="CC453" s="8"/>
      <c r="CD453" s="8"/>
      <c r="CE453" s="8"/>
      <c r="CF453" s="8"/>
      <c r="CG453" s="8"/>
      <c r="CH453" s="8"/>
      <c r="CI453" s="8"/>
      <c r="CJ453" s="8"/>
      <c r="CK453" s="8"/>
      <c r="CL453" s="8"/>
      <c r="CM453" s="8"/>
      <c r="CN453" s="8"/>
    </row>
    <row r="454" spans="7:92" x14ac:dyDescent="0.35">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c r="BR454" s="8"/>
      <c r="BS454" s="8"/>
      <c r="BT454" s="8"/>
      <c r="BU454" s="8"/>
      <c r="BV454" s="8"/>
      <c r="BW454" s="8"/>
      <c r="BX454" s="8"/>
      <c r="BY454" s="8"/>
      <c r="BZ454" s="8"/>
      <c r="CA454" s="8"/>
      <c r="CB454" s="8"/>
      <c r="CC454" s="8"/>
      <c r="CD454" s="8"/>
      <c r="CE454" s="8"/>
      <c r="CF454" s="8"/>
      <c r="CG454" s="8"/>
      <c r="CH454" s="8"/>
      <c r="CI454" s="8"/>
      <c r="CJ454" s="8"/>
      <c r="CK454" s="8"/>
      <c r="CL454" s="8"/>
      <c r="CM454" s="8"/>
      <c r="CN454" s="8"/>
    </row>
    <row r="455" spans="7:92" x14ac:dyDescent="0.35">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8"/>
      <c r="BR455" s="8"/>
      <c r="BS455" s="8"/>
      <c r="BT455" s="8"/>
      <c r="BU455" s="8"/>
      <c r="BV455" s="8"/>
      <c r="BW455" s="8"/>
      <c r="BX455" s="8"/>
      <c r="BY455" s="8"/>
      <c r="BZ455" s="8"/>
      <c r="CA455" s="8"/>
      <c r="CB455" s="8"/>
      <c r="CC455" s="8"/>
      <c r="CD455" s="8"/>
      <c r="CE455" s="8"/>
      <c r="CF455" s="8"/>
      <c r="CG455" s="8"/>
      <c r="CH455" s="8"/>
      <c r="CI455" s="8"/>
      <c r="CJ455" s="8"/>
      <c r="CK455" s="8"/>
      <c r="CL455" s="8"/>
      <c r="CM455" s="8"/>
      <c r="CN455" s="8"/>
    </row>
    <row r="456" spans="7:92" x14ac:dyDescent="0.35">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8"/>
      <c r="BR456" s="8"/>
      <c r="BS456" s="8"/>
      <c r="BT456" s="8"/>
      <c r="BU456" s="8"/>
      <c r="BV456" s="8"/>
      <c r="BW456" s="8"/>
      <c r="BX456" s="8"/>
      <c r="BY456" s="8"/>
      <c r="BZ456" s="8"/>
      <c r="CA456" s="8"/>
      <c r="CB456" s="8"/>
      <c r="CC456" s="8"/>
      <c r="CD456" s="8"/>
      <c r="CE456" s="8"/>
      <c r="CF456" s="8"/>
      <c r="CG456" s="8"/>
      <c r="CH456" s="8"/>
      <c r="CI456" s="8"/>
      <c r="CJ456" s="8"/>
      <c r="CK456" s="8"/>
      <c r="CL456" s="8"/>
      <c r="CM456" s="8"/>
      <c r="CN456" s="8"/>
    </row>
    <row r="457" spans="7:92" x14ac:dyDescent="0.35">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8"/>
      <c r="BT457" s="8"/>
      <c r="BU457" s="8"/>
      <c r="BV457" s="8"/>
      <c r="BW457" s="8"/>
      <c r="BX457" s="8"/>
      <c r="BY457" s="8"/>
      <c r="BZ457" s="8"/>
      <c r="CA457" s="8"/>
      <c r="CB457" s="8"/>
      <c r="CC457" s="8"/>
      <c r="CD457" s="8"/>
      <c r="CE457" s="8"/>
      <c r="CF457" s="8"/>
      <c r="CG457" s="8"/>
      <c r="CH457" s="8"/>
      <c r="CI457" s="8"/>
      <c r="CJ457" s="8"/>
      <c r="CK457" s="8"/>
      <c r="CL457" s="8"/>
      <c r="CM457" s="8"/>
      <c r="CN457" s="8"/>
    </row>
    <row r="458" spans="7:92" x14ac:dyDescent="0.35">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c r="BR458" s="8"/>
      <c r="BS458" s="8"/>
      <c r="BT458" s="8"/>
      <c r="BU458" s="8"/>
      <c r="BV458" s="8"/>
      <c r="BW458" s="8"/>
      <c r="BX458" s="8"/>
      <c r="BY458" s="8"/>
      <c r="BZ458" s="8"/>
      <c r="CA458" s="8"/>
      <c r="CB458" s="8"/>
      <c r="CC458" s="8"/>
      <c r="CD458" s="8"/>
      <c r="CE458" s="8"/>
      <c r="CF458" s="8"/>
      <c r="CG458" s="8"/>
      <c r="CH458" s="8"/>
      <c r="CI458" s="8"/>
      <c r="CJ458" s="8"/>
      <c r="CK458" s="8"/>
      <c r="CL458" s="8"/>
      <c r="CM458" s="8"/>
      <c r="CN458" s="8"/>
    </row>
    <row r="459" spans="7:92" x14ac:dyDescent="0.35">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c r="BQ459" s="8"/>
      <c r="BR459" s="8"/>
      <c r="BS459" s="8"/>
      <c r="BT459" s="8"/>
      <c r="BU459" s="8"/>
      <c r="BV459" s="8"/>
      <c r="BW459" s="8"/>
      <c r="BX459" s="8"/>
      <c r="BY459" s="8"/>
      <c r="BZ459" s="8"/>
      <c r="CA459" s="8"/>
      <c r="CB459" s="8"/>
      <c r="CC459" s="8"/>
      <c r="CD459" s="8"/>
      <c r="CE459" s="8"/>
      <c r="CF459" s="8"/>
      <c r="CG459" s="8"/>
      <c r="CH459" s="8"/>
      <c r="CI459" s="8"/>
      <c r="CJ459" s="8"/>
      <c r="CK459" s="8"/>
      <c r="CL459" s="8"/>
      <c r="CM459" s="8"/>
      <c r="CN459" s="8"/>
    </row>
    <row r="460" spans="7:92" x14ac:dyDescent="0.35">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c r="BQ460" s="8"/>
      <c r="BR460" s="8"/>
      <c r="BS460" s="8"/>
      <c r="BT460" s="8"/>
      <c r="BU460" s="8"/>
      <c r="BV460" s="8"/>
      <c r="BW460" s="8"/>
      <c r="BX460" s="8"/>
      <c r="BY460" s="8"/>
      <c r="BZ460" s="8"/>
      <c r="CA460" s="8"/>
      <c r="CB460" s="8"/>
      <c r="CC460" s="8"/>
      <c r="CD460" s="8"/>
      <c r="CE460" s="8"/>
      <c r="CF460" s="8"/>
      <c r="CG460" s="8"/>
      <c r="CH460" s="8"/>
      <c r="CI460" s="8"/>
      <c r="CJ460" s="8"/>
      <c r="CK460" s="8"/>
      <c r="CL460" s="8"/>
      <c r="CM460" s="8"/>
      <c r="CN460" s="8"/>
    </row>
    <row r="461" spans="7:92" x14ac:dyDescent="0.35">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c r="BQ461" s="8"/>
      <c r="BR461" s="8"/>
      <c r="BS461" s="8"/>
      <c r="BT461" s="8"/>
      <c r="BU461" s="8"/>
      <c r="BV461" s="8"/>
      <c r="BW461" s="8"/>
      <c r="BX461" s="8"/>
      <c r="BY461" s="8"/>
      <c r="BZ461" s="8"/>
      <c r="CA461" s="8"/>
      <c r="CB461" s="8"/>
      <c r="CC461" s="8"/>
      <c r="CD461" s="8"/>
      <c r="CE461" s="8"/>
      <c r="CF461" s="8"/>
      <c r="CG461" s="8"/>
      <c r="CH461" s="8"/>
      <c r="CI461" s="8"/>
      <c r="CJ461" s="8"/>
      <c r="CK461" s="8"/>
      <c r="CL461" s="8"/>
      <c r="CM461" s="8"/>
      <c r="CN461" s="8"/>
    </row>
    <row r="462" spans="7:92" x14ac:dyDescent="0.35">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c r="BQ462" s="8"/>
      <c r="BR462" s="8"/>
      <c r="BS462" s="8"/>
      <c r="BT462" s="8"/>
      <c r="BU462" s="8"/>
      <c r="BV462" s="8"/>
      <c r="BW462" s="8"/>
      <c r="BX462" s="8"/>
      <c r="BY462" s="8"/>
      <c r="BZ462" s="8"/>
      <c r="CA462" s="8"/>
      <c r="CB462" s="8"/>
      <c r="CC462" s="8"/>
      <c r="CD462" s="8"/>
      <c r="CE462" s="8"/>
      <c r="CF462" s="8"/>
      <c r="CG462" s="8"/>
      <c r="CH462" s="8"/>
      <c r="CI462" s="8"/>
      <c r="CJ462" s="8"/>
      <c r="CK462" s="8"/>
      <c r="CL462" s="8"/>
      <c r="CM462" s="8"/>
      <c r="CN462" s="8"/>
    </row>
    <row r="463" spans="7:92" x14ac:dyDescent="0.35">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c r="BQ463" s="8"/>
      <c r="BR463" s="8"/>
      <c r="BS463" s="8"/>
      <c r="BT463" s="8"/>
      <c r="BU463" s="8"/>
      <c r="BV463" s="8"/>
      <c r="BW463" s="8"/>
      <c r="BX463" s="8"/>
      <c r="BY463" s="8"/>
      <c r="BZ463" s="8"/>
      <c r="CA463" s="8"/>
      <c r="CB463" s="8"/>
      <c r="CC463" s="8"/>
      <c r="CD463" s="8"/>
      <c r="CE463" s="8"/>
      <c r="CF463" s="8"/>
      <c r="CG463" s="8"/>
      <c r="CH463" s="8"/>
      <c r="CI463" s="8"/>
      <c r="CJ463" s="8"/>
      <c r="CK463" s="8"/>
      <c r="CL463" s="8"/>
      <c r="CM463" s="8"/>
      <c r="CN463" s="8"/>
    </row>
    <row r="464" spans="7:92" x14ac:dyDescent="0.35">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c r="BP464" s="8"/>
      <c r="BQ464" s="8"/>
      <c r="BR464" s="8"/>
      <c r="BS464" s="8"/>
      <c r="BT464" s="8"/>
      <c r="BU464" s="8"/>
      <c r="BV464" s="8"/>
      <c r="BW464" s="8"/>
      <c r="BX464" s="8"/>
      <c r="BY464" s="8"/>
      <c r="BZ464" s="8"/>
      <c r="CA464" s="8"/>
      <c r="CB464" s="8"/>
      <c r="CC464" s="8"/>
      <c r="CD464" s="8"/>
      <c r="CE464" s="8"/>
      <c r="CF464" s="8"/>
      <c r="CG464" s="8"/>
      <c r="CH464" s="8"/>
      <c r="CI464" s="8"/>
      <c r="CJ464" s="8"/>
      <c r="CK464" s="8"/>
      <c r="CL464" s="8"/>
      <c r="CM464" s="8"/>
      <c r="CN464" s="8"/>
    </row>
    <row r="465" spans="7:92" x14ac:dyDescent="0.35">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c r="BP465" s="8"/>
      <c r="BQ465" s="8"/>
      <c r="BR465" s="8"/>
      <c r="BS465" s="8"/>
      <c r="BT465" s="8"/>
      <c r="BU465" s="8"/>
      <c r="BV465" s="8"/>
      <c r="BW465" s="8"/>
      <c r="BX465" s="8"/>
      <c r="BY465" s="8"/>
      <c r="BZ465" s="8"/>
      <c r="CA465" s="8"/>
      <c r="CB465" s="8"/>
      <c r="CC465" s="8"/>
      <c r="CD465" s="8"/>
      <c r="CE465" s="8"/>
      <c r="CF465" s="8"/>
      <c r="CG465" s="8"/>
      <c r="CH465" s="8"/>
      <c r="CI465" s="8"/>
      <c r="CJ465" s="8"/>
      <c r="CK465" s="8"/>
      <c r="CL465" s="8"/>
      <c r="CM465" s="8"/>
      <c r="CN465" s="8"/>
    </row>
    <row r="466" spans="7:92" x14ac:dyDescent="0.35">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c r="BQ466" s="8"/>
      <c r="BR466" s="8"/>
      <c r="BS466" s="8"/>
      <c r="BT466" s="8"/>
      <c r="BU466" s="8"/>
      <c r="BV466" s="8"/>
      <c r="BW466" s="8"/>
      <c r="BX466" s="8"/>
      <c r="BY466" s="8"/>
      <c r="BZ466" s="8"/>
      <c r="CA466" s="8"/>
      <c r="CB466" s="8"/>
      <c r="CC466" s="8"/>
      <c r="CD466" s="8"/>
      <c r="CE466" s="8"/>
      <c r="CF466" s="8"/>
      <c r="CG466" s="8"/>
      <c r="CH466" s="8"/>
      <c r="CI466" s="8"/>
      <c r="CJ466" s="8"/>
      <c r="CK466" s="8"/>
      <c r="CL466" s="8"/>
      <c r="CM466" s="8"/>
      <c r="CN466" s="8"/>
    </row>
    <row r="467" spans="7:92" x14ac:dyDescent="0.35">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c r="BQ467" s="8"/>
      <c r="BR467" s="8"/>
      <c r="BS467" s="8"/>
      <c r="BT467" s="8"/>
      <c r="BU467" s="8"/>
      <c r="BV467" s="8"/>
      <c r="BW467" s="8"/>
      <c r="BX467" s="8"/>
      <c r="BY467" s="8"/>
      <c r="BZ467" s="8"/>
      <c r="CA467" s="8"/>
      <c r="CB467" s="8"/>
      <c r="CC467" s="8"/>
      <c r="CD467" s="8"/>
      <c r="CE467" s="8"/>
      <c r="CF467" s="8"/>
      <c r="CG467" s="8"/>
      <c r="CH467" s="8"/>
      <c r="CI467" s="8"/>
      <c r="CJ467" s="8"/>
      <c r="CK467" s="8"/>
      <c r="CL467" s="8"/>
      <c r="CM467" s="8"/>
      <c r="CN467" s="8"/>
    </row>
    <row r="468" spans="7:92" x14ac:dyDescent="0.35">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c r="BP468" s="8"/>
      <c r="BQ468" s="8"/>
      <c r="BR468" s="8"/>
      <c r="BS468" s="8"/>
      <c r="BT468" s="8"/>
      <c r="BU468" s="8"/>
      <c r="BV468" s="8"/>
      <c r="BW468" s="8"/>
      <c r="BX468" s="8"/>
      <c r="BY468" s="8"/>
      <c r="BZ468" s="8"/>
      <c r="CA468" s="8"/>
      <c r="CB468" s="8"/>
      <c r="CC468" s="8"/>
      <c r="CD468" s="8"/>
      <c r="CE468" s="8"/>
      <c r="CF468" s="8"/>
      <c r="CG468" s="8"/>
      <c r="CH468" s="8"/>
      <c r="CI468" s="8"/>
      <c r="CJ468" s="8"/>
      <c r="CK468" s="8"/>
      <c r="CL468" s="8"/>
      <c r="CM468" s="8"/>
      <c r="CN468" s="8"/>
    </row>
    <row r="469" spans="7:92" x14ac:dyDescent="0.35">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c r="BQ469" s="8"/>
      <c r="BR469" s="8"/>
      <c r="BS469" s="8"/>
      <c r="BT469" s="8"/>
      <c r="BU469" s="8"/>
      <c r="BV469" s="8"/>
      <c r="BW469" s="8"/>
      <c r="BX469" s="8"/>
      <c r="BY469" s="8"/>
      <c r="BZ469" s="8"/>
      <c r="CA469" s="8"/>
      <c r="CB469" s="8"/>
      <c r="CC469" s="8"/>
      <c r="CD469" s="8"/>
      <c r="CE469" s="8"/>
      <c r="CF469" s="8"/>
      <c r="CG469" s="8"/>
      <c r="CH469" s="8"/>
      <c r="CI469" s="8"/>
      <c r="CJ469" s="8"/>
      <c r="CK469" s="8"/>
      <c r="CL469" s="8"/>
      <c r="CM469" s="8"/>
      <c r="CN469" s="8"/>
    </row>
    <row r="470" spans="7:92" x14ac:dyDescent="0.35">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c r="BQ470" s="8"/>
      <c r="BR470" s="8"/>
      <c r="BS470" s="8"/>
      <c r="BT470" s="8"/>
      <c r="BU470" s="8"/>
      <c r="BV470" s="8"/>
      <c r="BW470" s="8"/>
      <c r="BX470" s="8"/>
      <c r="BY470" s="8"/>
      <c r="BZ470" s="8"/>
      <c r="CA470" s="8"/>
      <c r="CB470" s="8"/>
      <c r="CC470" s="8"/>
      <c r="CD470" s="8"/>
      <c r="CE470" s="8"/>
      <c r="CF470" s="8"/>
      <c r="CG470" s="8"/>
      <c r="CH470" s="8"/>
      <c r="CI470" s="8"/>
      <c r="CJ470" s="8"/>
      <c r="CK470" s="8"/>
      <c r="CL470" s="8"/>
      <c r="CM470" s="8"/>
      <c r="CN470" s="8"/>
    </row>
    <row r="471" spans="7:92" x14ac:dyDescent="0.35">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c r="BO471" s="8"/>
      <c r="BP471" s="8"/>
      <c r="BQ471" s="8"/>
      <c r="BR471" s="8"/>
      <c r="BS471" s="8"/>
      <c r="BT471" s="8"/>
      <c r="BU471" s="8"/>
      <c r="BV471" s="8"/>
      <c r="BW471" s="8"/>
      <c r="BX471" s="8"/>
      <c r="BY471" s="8"/>
      <c r="BZ471" s="8"/>
      <c r="CA471" s="8"/>
      <c r="CB471" s="8"/>
      <c r="CC471" s="8"/>
      <c r="CD471" s="8"/>
      <c r="CE471" s="8"/>
      <c r="CF471" s="8"/>
      <c r="CG471" s="8"/>
      <c r="CH471" s="8"/>
      <c r="CI471" s="8"/>
      <c r="CJ471" s="8"/>
      <c r="CK471" s="8"/>
      <c r="CL471" s="8"/>
      <c r="CM471" s="8"/>
      <c r="CN471" s="8"/>
    </row>
    <row r="472" spans="7:92" x14ac:dyDescent="0.35">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c r="BP472" s="8"/>
      <c r="BQ472" s="8"/>
      <c r="BR472" s="8"/>
      <c r="BS472" s="8"/>
      <c r="BT472" s="8"/>
      <c r="BU472" s="8"/>
      <c r="BV472" s="8"/>
      <c r="BW472" s="8"/>
      <c r="BX472" s="8"/>
      <c r="BY472" s="8"/>
      <c r="BZ472" s="8"/>
      <c r="CA472" s="8"/>
      <c r="CB472" s="8"/>
      <c r="CC472" s="8"/>
      <c r="CD472" s="8"/>
      <c r="CE472" s="8"/>
      <c r="CF472" s="8"/>
      <c r="CG472" s="8"/>
      <c r="CH472" s="8"/>
      <c r="CI472" s="8"/>
      <c r="CJ472" s="8"/>
      <c r="CK472" s="8"/>
      <c r="CL472" s="8"/>
      <c r="CM472" s="8"/>
      <c r="CN472" s="8"/>
    </row>
    <row r="473" spans="7:92" x14ac:dyDescent="0.35">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c r="BQ473" s="8"/>
      <c r="BR473" s="8"/>
      <c r="BS473" s="8"/>
      <c r="BT473" s="8"/>
      <c r="BU473" s="8"/>
      <c r="BV473" s="8"/>
      <c r="BW473" s="8"/>
      <c r="BX473" s="8"/>
      <c r="BY473" s="8"/>
      <c r="BZ473" s="8"/>
      <c r="CA473" s="8"/>
      <c r="CB473" s="8"/>
      <c r="CC473" s="8"/>
      <c r="CD473" s="8"/>
      <c r="CE473" s="8"/>
      <c r="CF473" s="8"/>
      <c r="CG473" s="8"/>
      <c r="CH473" s="8"/>
      <c r="CI473" s="8"/>
      <c r="CJ473" s="8"/>
      <c r="CK473" s="8"/>
      <c r="CL473" s="8"/>
      <c r="CM473" s="8"/>
      <c r="CN473" s="8"/>
    </row>
    <row r="474" spans="7:92" x14ac:dyDescent="0.35">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c r="BP474" s="8"/>
      <c r="BQ474" s="8"/>
      <c r="BR474" s="8"/>
      <c r="BS474" s="8"/>
      <c r="BT474" s="8"/>
      <c r="BU474" s="8"/>
      <c r="BV474" s="8"/>
      <c r="BW474" s="8"/>
      <c r="BX474" s="8"/>
      <c r="BY474" s="8"/>
      <c r="BZ474" s="8"/>
      <c r="CA474" s="8"/>
      <c r="CB474" s="8"/>
      <c r="CC474" s="8"/>
      <c r="CD474" s="8"/>
      <c r="CE474" s="8"/>
      <c r="CF474" s="8"/>
      <c r="CG474" s="8"/>
      <c r="CH474" s="8"/>
      <c r="CI474" s="8"/>
      <c r="CJ474" s="8"/>
      <c r="CK474" s="8"/>
      <c r="CL474" s="8"/>
      <c r="CM474" s="8"/>
      <c r="CN474" s="8"/>
    </row>
    <row r="475" spans="7:92" x14ac:dyDescent="0.35">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c r="BP475" s="8"/>
      <c r="BQ475" s="8"/>
      <c r="BR475" s="8"/>
      <c r="BS475" s="8"/>
      <c r="BT475" s="8"/>
      <c r="BU475" s="8"/>
      <c r="BV475" s="8"/>
      <c r="BW475" s="8"/>
      <c r="BX475" s="8"/>
      <c r="BY475" s="8"/>
      <c r="BZ475" s="8"/>
      <c r="CA475" s="8"/>
      <c r="CB475" s="8"/>
      <c r="CC475" s="8"/>
      <c r="CD475" s="8"/>
      <c r="CE475" s="8"/>
      <c r="CF475" s="8"/>
      <c r="CG475" s="8"/>
      <c r="CH475" s="8"/>
      <c r="CI475" s="8"/>
      <c r="CJ475" s="8"/>
      <c r="CK475" s="8"/>
      <c r="CL475" s="8"/>
      <c r="CM475" s="8"/>
      <c r="CN475" s="8"/>
    </row>
    <row r="476" spans="7:92" x14ac:dyDescent="0.35">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c r="BQ476" s="8"/>
      <c r="BR476" s="8"/>
      <c r="BS476" s="8"/>
      <c r="BT476" s="8"/>
      <c r="BU476" s="8"/>
      <c r="BV476" s="8"/>
      <c r="BW476" s="8"/>
      <c r="BX476" s="8"/>
      <c r="BY476" s="8"/>
      <c r="BZ476" s="8"/>
      <c r="CA476" s="8"/>
      <c r="CB476" s="8"/>
      <c r="CC476" s="8"/>
      <c r="CD476" s="8"/>
      <c r="CE476" s="8"/>
      <c r="CF476" s="8"/>
      <c r="CG476" s="8"/>
      <c r="CH476" s="8"/>
      <c r="CI476" s="8"/>
      <c r="CJ476" s="8"/>
      <c r="CK476" s="8"/>
      <c r="CL476" s="8"/>
      <c r="CM476" s="8"/>
      <c r="CN476" s="8"/>
    </row>
    <row r="477" spans="7:92" x14ac:dyDescent="0.35">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c r="BP477" s="8"/>
      <c r="BQ477" s="8"/>
      <c r="BR477" s="8"/>
      <c r="BS477" s="8"/>
      <c r="BT477" s="8"/>
      <c r="BU477" s="8"/>
      <c r="BV477" s="8"/>
      <c r="BW477" s="8"/>
      <c r="BX477" s="8"/>
      <c r="BY477" s="8"/>
      <c r="BZ477" s="8"/>
      <c r="CA477" s="8"/>
      <c r="CB477" s="8"/>
      <c r="CC477" s="8"/>
      <c r="CD477" s="8"/>
      <c r="CE477" s="8"/>
      <c r="CF477" s="8"/>
      <c r="CG477" s="8"/>
      <c r="CH477" s="8"/>
      <c r="CI477" s="8"/>
      <c r="CJ477" s="8"/>
      <c r="CK477" s="8"/>
      <c r="CL477" s="8"/>
      <c r="CM477" s="8"/>
      <c r="CN477" s="8"/>
    </row>
    <row r="478" spans="7:92" x14ac:dyDescent="0.35">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c r="BQ478" s="8"/>
      <c r="BR478" s="8"/>
      <c r="BS478" s="8"/>
      <c r="BT478" s="8"/>
      <c r="BU478" s="8"/>
      <c r="BV478" s="8"/>
      <c r="BW478" s="8"/>
      <c r="BX478" s="8"/>
      <c r="BY478" s="8"/>
      <c r="BZ478" s="8"/>
      <c r="CA478" s="8"/>
      <c r="CB478" s="8"/>
      <c r="CC478" s="8"/>
      <c r="CD478" s="8"/>
      <c r="CE478" s="8"/>
      <c r="CF478" s="8"/>
      <c r="CG478" s="8"/>
      <c r="CH478" s="8"/>
      <c r="CI478" s="8"/>
      <c r="CJ478" s="8"/>
      <c r="CK478" s="8"/>
      <c r="CL478" s="8"/>
      <c r="CM478" s="8"/>
      <c r="CN478" s="8"/>
    </row>
    <row r="479" spans="7:92" x14ac:dyDescent="0.35">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c r="BQ479" s="8"/>
      <c r="BR479" s="8"/>
      <c r="BS479" s="8"/>
      <c r="BT479" s="8"/>
      <c r="BU479" s="8"/>
      <c r="BV479" s="8"/>
      <c r="BW479" s="8"/>
      <c r="BX479" s="8"/>
      <c r="BY479" s="8"/>
      <c r="BZ479" s="8"/>
      <c r="CA479" s="8"/>
      <c r="CB479" s="8"/>
      <c r="CC479" s="8"/>
      <c r="CD479" s="8"/>
      <c r="CE479" s="8"/>
      <c r="CF479" s="8"/>
      <c r="CG479" s="8"/>
      <c r="CH479" s="8"/>
      <c r="CI479" s="8"/>
      <c r="CJ479" s="8"/>
      <c r="CK479" s="8"/>
      <c r="CL479" s="8"/>
      <c r="CM479" s="8"/>
      <c r="CN479" s="8"/>
    </row>
    <row r="480" spans="7:92" x14ac:dyDescent="0.35">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c r="BP480" s="8"/>
      <c r="BQ480" s="8"/>
      <c r="BR480" s="8"/>
      <c r="BS480" s="8"/>
      <c r="BT480" s="8"/>
      <c r="BU480" s="8"/>
      <c r="BV480" s="8"/>
      <c r="BW480" s="8"/>
      <c r="BX480" s="8"/>
      <c r="BY480" s="8"/>
      <c r="BZ480" s="8"/>
      <c r="CA480" s="8"/>
      <c r="CB480" s="8"/>
      <c r="CC480" s="8"/>
      <c r="CD480" s="8"/>
      <c r="CE480" s="8"/>
      <c r="CF480" s="8"/>
      <c r="CG480" s="8"/>
      <c r="CH480" s="8"/>
      <c r="CI480" s="8"/>
      <c r="CJ480" s="8"/>
      <c r="CK480" s="8"/>
      <c r="CL480" s="8"/>
      <c r="CM480" s="8"/>
      <c r="CN480" s="8"/>
    </row>
    <row r="481" spans="7:92" x14ac:dyDescent="0.35">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c r="BQ481" s="8"/>
      <c r="BR481" s="8"/>
      <c r="BS481" s="8"/>
      <c r="BT481" s="8"/>
      <c r="BU481" s="8"/>
      <c r="BV481" s="8"/>
      <c r="BW481" s="8"/>
      <c r="BX481" s="8"/>
      <c r="BY481" s="8"/>
      <c r="BZ481" s="8"/>
      <c r="CA481" s="8"/>
      <c r="CB481" s="8"/>
      <c r="CC481" s="8"/>
      <c r="CD481" s="8"/>
      <c r="CE481" s="8"/>
      <c r="CF481" s="8"/>
      <c r="CG481" s="8"/>
      <c r="CH481" s="8"/>
      <c r="CI481" s="8"/>
      <c r="CJ481" s="8"/>
      <c r="CK481" s="8"/>
      <c r="CL481" s="8"/>
      <c r="CM481" s="8"/>
      <c r="CN481" s="8"/>
    </row>
    <row r="482" spans="7:92" x14ac:dyDescent="0.35">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c r="BQ482" s="8"/>
      <c r="BR482" s="8"/>
      <c r="BS482" s="8"/>
      <c r="BT482" s="8"/>
      <c r="BU482" s="8"/>
      <c r="BV482" s="8"/>
      <c r="BW482" s="8"/>
      <c r="BX482" s="8"/>
      <c r="BY482" s="8"/>
      <c r="BZ482" s="8"/>
      <c r="CA482" s="8"/>
      <c r="CB482" s="8"/>
      <c r="CC482" s="8"/>
      <c r="CD482" s="8"/>
      <c r="CE482" s="8"/>
      <c r="CF482" s="8"/>
      <c r="CG482" s="8"/>
      <c r="CH482" s="8"/>
      <c r="CI482" s="8"/>
      <c r="CJ482" s="8"/>
      <c r="CK482" s="8"/>
      <c r="CL482" s="8"/>
      <c r="CM482" s="8"/>
      <c r="CN482" s="8"/>
    </row>
    <row r="483" spans="7:92" x14ac:dyDescent="0.35">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c r="BQ483" s="8"/>
      <c r="BR483" s="8"/>
      <c r="BS483" s="8"/>
      <c r="BT483" s="8"/>
      <c r="BU483" s="8"/>
      <c r="BV483" s="8"/>
      <c r="BW483" s="8"/>
      <c r="BX483" s="8"/>
      <c r="BY483" s="8"/>
      <c r="BZ483" s="8"/>
      <c r="CA483" s="8"/>
      <c r="CB483" s="8"/>
      <c r="CC483" s="8"/>
      <c r="CD483" s="8"/>
      <c r="CE483" s="8"/>
      <c r="CF483" s="8"/>
      <c r="CG483" s="8"/>
      <c r="CH483" s="8"/>
      <c r="CI483" s="8"/>
      <c r="CJ483" s="8"/>
      <c r="CK483" s="8"/>
      <c r="CL483" s="8"/>
      <c r="CM483" s="8"/>
      <c r="CN483" s="8"/>
    </row>
    <row r="484" spans="7:92" x14ac:dyDescent="0.35">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c r="BQ484" s="8"/>
      <c r="BR484" s="8"/>
      <c r="BS484" s="8"/>
      <c r="BT484" s="8"/>
      <c r="BU484" s="8"/>
      <c r="BV484" s="8"/>
      <c r="BW484" s="8"/>
      <c r="BX484" s="8"/>
      <c r="BY484" s="8"/>
      <c r="BZ484" s="8"/>
      <c r="CA484" s="8"/>
      <c r="CB484" s="8"/>
      <c r="CC484" s="8"/>
      <c r="CD484" s="8"/>
      <c r="CE484" s="8"/>
      <c r="CF484" s="8"/>
      <c r="CG484" s="8"/>
      <c r="CH484" s="8"/>
      <c r="CI484" s="8"/>
      <c r="CJ484" s="8"/>
      <c r="CK484" s="8"/>
      <c r="CL484" s="8"/>
      <c r="CM484" s="8"/>
      <c r="CN484" s="8"/>
    </row>
    <row r="485" spans="7:92" x14ac:dyDescent="0.35">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c r="BQ485" s="8"/>
      <c r="BR485" s="8"/>
      <c r="BS485" s="8"/>
      <c r="BT485" s="8"/>
      <c r="BU485" s="8"/>
      <c r="BV485" s="8"/>
      <c r="BW485" s="8"/>
      <c r="BX485" s="8"/>
      <c r="BY485" s="8"/>
      <c r="BZ485" s="8"/>
      <c r="CA485" s="8"/>
      <c r="CB485" s="8"/>
      <c r="CC485" s="8"/>
      <c r="CD485" s="8"/>
      <c r="CE485" s="8"/>
      <c r="CF485" s="8"/>
      <c r="CG485" s="8"/>
      <c r="CH485" s="8"/>
      <c r="CI485" s="8"/>
      <c r="CJ485" s="8"/>
      <c r="CK485" s="8"/>
      <c r="CL485" s="8"/>
      <c r="CM485" s="8"/>
      <c r="CN485" s="8"/>
    </row>
    <row r="486" spans="7:92" x14ac:dyDescent="0.35">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c r="BQ486" s="8"/>
      <c r="BR486" s="8"/>
      <c r="BS486" s="8"/>
      <c r="BT486" s="8"/>
      <c r="BU486" s="8"/>
      <c r="BV486" s="8"/>
      <c r="BW486" s="8"/>
      <c r="BX486" s="8"/>
      <c r="BY486" s="8"/>
      <c r="BZ486" s="8"/>
      <c r="CA486" s="8"/>
      <c r="CB486" s="8"/>
      <c r="CC486" s="8"/>
      <c r="CD486" s="8"/>
      <c r="CE486" s="8"/>
      <c r="CF486" s="8"/>
      <c r="CG486" s="8"/>
      <c r="CH486" s="8"/>
      <c r="CI486" s="8"/>
      <c r="CJ486" s="8"/>
      <c r="CK486" s="8"/>
      <c r="CL486" s="8"/>
      <c r="CM486" s="8"/>
      <c r="CN486" s="8"/>
    </row>
    <row r="487" spans="7:92" x14ac:dyDescent="0.35">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8"/>
      <c r="BR487" s="8"/>
      <c r="BS487" s="8"/>
      <c r="BT487" s="8"/>
      <c r="BU487" s="8"/>
      <c r="BV487" s="8"/>
      <c r="BW487" s="8"/>
      <c r="BX487" s="8"/>
      <c r="BY487" s="8"/>
      <c r="BZ487" s="8"/>
      <c r="CA487" s="8"/>
      <c r="CB487" s="8"/>
      <c r="CC487" s="8"/>
      <c r="CD487" s="8"/>
      <c r="CE487" s="8"/>
      <c r="CF487" s="8"/>
      <c r="CG487" s="8"/>
      <c r="CH487" s="8"/>
      <c r="CI487" s="8"/>
      <c r="CJ487" s="8"/>
      <c r="CK487" s="8"/>
      <c r="CL487" s="8"/>
      <c r="CM487" s="8"/>
      <c r="CN487" s="8"/>
    </row>
    <row r="488" spans="7:92" x14ac:dyDescent="0.35">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c r="BQ488" s="8"/>
      <c r="BR488" s="8"/>
      <c r="BS488" s="8"/>
      <c r="BT488" s="8"/>
      <c r="BU488" s="8"/>
      <c r="BV488" s="8"/>
      <c r="BW488" s="8"/>
      <c r="BX488" s="8"/>
      <c r="BY488" s="8"/>
      <c r="BZ488" s="8"/>
      <c r="CA488" s="8"/>
      <c r="CB488" s="8"/>
      <c r="CC488" s="8"/>
      <c r="CD488" s="8"/>
      <c r="CE488" s="8"/>
      <c r="CF488" s="8"/>
      <c r="CG488" s="8"/>
      <c r="CH488" s="8"/>
      <c r="CI488" s="8"/>
      <c r="CJ488" s="8"/>
      <c r="CK488" s="8"/>
      <c r="CL488" s="8"/>
      <c r="CM488" s="8"/>
      <c r="CN488" s="8"/>
    </row>
    <row r="489" spans="7:92" x14ac:dyDescent="0.35">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c r="BQ489" s="8"/>
      <c r="BR489" s="8"/>
      <c r="BS489" s="8"/>
      <c r="BT489" s="8"/>
      <c r="BU489" s="8"/>
      <c r="BV489" s="8"/>
      <c r="BW489" s="8"/>
      <c r="BX489" s="8"/>
      <c r="BY489" s="8"/>
      <c r="BZ489" s="8"/>
      <c r="CA489" s="8"/>
      <c r="CB489" s="8"/>
      <c r="CC489" s="8"/>
      <c r="CD489" s="8"/>
      <c r="CE489" s="8"/>
      <c r="CF489" s="8"/>
      <c r="CG489" s="8"/>
      <c r="CH489" s="8"/>
      <c r="CI489" s="8"/>
      <c r="CJ489" s="8"/>
      <c r="CK489" s="8"/>
      <c r="CL489" s="8"/>
      <c r="CM489" s="8"/>
      <c r="CN489" s="8"/>
    </row>
    <row r="490" spans="7:92" x14ac:dyDescent="0.35">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c r="BQ490" s="8"/>
      <c r="BR490" s="8"/>
      <c r="BS490" s="8"/>
      <c r="BT490" s="8"/>
      <c r="BU490" s="8"/>
      <c r="BV490" s="8"/>
      <c r="BW490" s="8"/>
      <c r="BX490" s="8"/>
      <c r="BY490" s="8"/>
      <c r="BZ490" s="8"/>
      <c r="CA490" s="8"/>
      <c r="CB490" s="8"/>
      <c r="CC490" s="8"/>
      <c r="CD490" s="8"/>
      <c r="CE490" s="8"/>
      <c r="CF490" s="8"/>
      <c r="CG490" s="8"/>
      <c r="CH490" s="8"/>
      <c r="CI490" s="8"/>
      <c r="CJ490" s="8"/>
      <c r="CK490" s="8"/>
      <c r="CL490" s="8"/>
      <c r="CM490" s="8"/>
      <c r="CN490" s="8"/>
    </row>
    <row r="491" spans="7:92" x14ac:dyDescent="0.35">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c r="BQ491" s="8"/>
      <c r="BR491" s="8"/>
      <c r="BS491" s="8"/>
      <c r="BT491" s="8"/>
      <c r="BU491" s="8"/>
      <c r="BV491" s="8"/>
      <c r="BW491" s="8"/>
      <c r="BX491" s="8"/>
      <c r="BY491" s="8"/>
      <c r="BZ491" s="8"/>
      <c r="CA491" s="8"/>
      <c r="CB491" s="8"/>
      <c r="CC491" s="8"/>
      <c r="CD491" s="8"/>
      <c r="CE491" s="8"/>
      <c r="CF491" s="8"/>
      <c r="CG491" s="8"/>
      <c r="CH491" s="8"/>
      <c r="CI491" s="8"/>
      <c r="CJ491" s="8"/>
      <c r="CK491" s="8"/>
      <c r="CL491" s="8"/>
      <c r="CM491" s="8"/>
      <c r="CN491" s="8"/>
    </row>
    <row r="492" spans="7:92" x14ac:dyDescent="0.35">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c r="BQ492" s="8"/>
      <c r="BR492" s="8"/>
      <c r="BS492" s="8"/>
      <c r="BT492" s="8"/>
      <c r="BU492" s="8"/>
      <c r="BV492" s="8"/>
      <c r="BW492" s="8"/>
      <c r="BX492" s="8"/>
      <c r="BY492" s="8"/>
      <c r="BZ492" s="8"/>
      <c r="CA492" s="8"/>
      <c r="CB492" s="8"/>
      <c r="CC492" s="8"/>
      <c r="CD492" s="8"/>
      <c r="CE492" s="8"/>
      <c r="CF492" s="8"/>
      <c r="CG492" s="8"/>
      <c r="CH492" s="8"/>
      <c r="CI492" s="8"/>
      <c r="CJ492" s="8"/>
      <c r="CK492" s="8"/>
      <c r="CL492" s="8"/>
      <c r="CM492" s="8"/>
      <c r="CN492" s="8"/>
    </row>
    <row r="493" spans="7:92" x14ac:dyDescent="0.35">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c r="BQ493" s="8"/>
      <c r="BR493" s="8"/>
      <c r="BS493" s="8"/>
      <c r="BT493" s="8"/>
      <c r="BU493" s="8"/>
      <c r="BV493" s="8"/>
      <c r="BW493" s="8"/>
      <c r="BX493" s="8"/>
      <c r="BY493" s="8"/>
      <c r="BZ493" s="8"/>
      <c r="CA493" s="8"/>
      <c r="CB493" s="8"/>
      <c r="CC493" s="8"/>
      <c r="CD493" s="8"/>
      <c r="CE493" s="8"/>
      <c r="CF493" s="8"/>
      <c r="CG493" s="8"/>
      <c r="CH493" s="8"/>
      <c r="CI493" s="8"/>
      <c r="CJ493" s="8"/>
      <c r="CK493" s="8"/>
      <c r="CL493" s="8"/>
      <c r="CM493" s="8"/>
      <c r="CN493" s="8"/>
    </row>
    <row r="494" spans="7:92" x14ac:dyDescent="0.35">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c r="BQ494" s="8"/>
      <c r="BR494" s="8"/>
      <c r="BS494" s="8"/>
      <c r="BT494" s="8"/>
      <c r="BU494" s="8"/>
      <c r="BV494" s="8"/>
      <c r="BW494" s="8"/>
      <c r="BX494" s="8"/>
      <c r="BY494" s="8"/>
      <c r="BZ494" s="8"/>
      <c r="CA494" s="8"/>
      <c r="CB494" s="8"/>
      <c r="CC494" s="8"/>
      <c r="CD494" s="8"/>
      <c r="CE494" s="8"/>
      <c r="CF494" s="8"/>
      <c r="CG494" s="8"/>
      <c r="CH494" s="8"/>
      <c r="CI494" s="8"/>
      <c r="CJ494" s="8"/>
      <c r="CK494" s="8"/>
      <c r="CL494" s="8"/>
      <c r="CM494" s="8"/>
      <c r="CN494" s="8"/>
    </row>
    <row r="495" spans="7:92" x14ac:dyDescent="0.35">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c r="BQ495" s="8"/>
      <c r="BR495" s="8"/>
      <c r="BS495" s="8"/>
      <c r="BT495" s="8"/>
      <c r="BU495" s="8"/>
      <c r="BV495" s="8"/>
      <c r="BW495" s="8"/>
      <c r="BX495" s="8"/>
      <c r="BY495" s="8"/>
      <c r="BZ495" s="8"/>
      <c r="CA495" s="8"/>
      <c r="CB495" s="8"/>
      <c r="CC495" s="8"/>
      <c r="CD495" s="8"/>
      <c r="CE495" s="8"/>
      <c r="CF495" s="8"/>
      <c r="CG495" s="8"/>
      <c r="CH495" s="8"/>
      <c r="CI495" s="8"/>
      <c r="CJ495" s="8"/>
      <c r="CK495" s="8"/>
      <c r="CL495" s="8"/>
      <c r="CM495" s="8"/>
      <c r="CN495" s="8"/>
    </row>
    <row r="496" spans="7:92" x14ac:dyDescent="0.35">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c r="BQ496" s="8"/>
      <c r="BR496" s="8"/>
      <c r="BS496" s="8"/>
      <c r="BT496" s="8"/>
      <c r="BU496" s="8"/>
      <c r="BV496" s="8"/>
      <c r="BW496" s="8"/>
      <c r="BX496" s="8"/>
      <c r="BY496" s="8"/>
      <c r="BZ496" s="8"/>
      <c r="CA496" s="8"/>
      <c r="CB496" s="8"/>
      <c r="CC496" s="8"/>
      <c r="CD496" s="8"/>
      <c r="CE496" s="8"/>
      <c r="CF496" s="8"/>
      <c r="CG496" s="8"/>
      <c r="CH496" s="8"/>
      <c r="CI496" s="8"/>
      <c r="CJ496" s="8"/>
      <c r="CK496" s="8"/>
      <c r="CL496" s="8"/>
      <c r="CM496" s="8"/>
      <c r="CN496" s="8"/>
    </row>
    <row r="497" spans="7:92" x14ac:dyDescent="0.35">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c r="BQ497" s="8"/>
      <c r="BR497" s="8"/>
      <c r="BS497" s="8"/>
      <c r="BT497" s="8"/>
      <c r="BU497" s="8"/>
      <c r="BV497" s="8"/>
      <c r="BW497" s="8"/>
      <c r="BX497" s="8"/>
      <c r="BY497" s="8"/>
      <c r="BZ497" s="8"/>
      <c r="CA497" s="8"/>
      <c r="CB497" s="8"/>
      <c r="CC497" s="8"/>
      <c r="CD497" s="8"/>
      <c r="CE497" s="8"/>
      <c r="CF497" s="8"/>
      <c r="CG497" s="8"/>
      <c r="CH497" s="8"/>
      <c r="CI497" s="8"/>
      <c r="CJ497" s="8"/>
      <c r="CK497" s="8"/>
      <c r="CL497" s="8"/>
      <c r="CM497" s="8"/>
      <c r="CN497" s="8"/>
    </row>
    <row r="498" spans="7:92" x14ac:dyDescent="0.35">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c r="BQ498" s="8"/>
      <c r="BR498" s="8"/>
      <c r="BS498" s="8"/>
      <c r="BT498" s="8"/>
      <c r="BU498" s="8"/>
      <c r="BV498" s="8"/>
      <c r="BW498" s="8"/>
      <c r="BX498" s="8"/>
      <c r="BY498" s="8"/>
      <c r="BZ498" s="8"/>
      <c r="CA498" s="8"/>
      <c r="CB498" s="8"/>
      <c r="CC498" s="8"/>
      <c r="CD498" s="8"/>
      <c r="CE498" s="8"/>
      <c r="CF498" s="8"/>
      <c r="CG498" s="8"/>
      <c r="CH498" s="8"/>
      <c r="CI498" s="8"/>
      <c r="CJ498" s="8"/>
      <c r="CK498" s="8"/>
      <c r="CL498" s="8"/>
      <c r="CM498" s="8"/>
      <c r="CN498" s="8"/>
    </row>
    <row r="499" spans="7:92" x14ac:dyDescent="0.35">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c r="BP499" s="8"/>
      <c r="BQ499" s="8"/>
      <c r="BR499" s="8"/>
      <c r="BS499" s="8"/>
      <c r="BT499" s="8"/>
      <c r="BU499" s="8"/>
      <c r="BV499" s="8"/>
      <c r="BW499" s="8"/>
      <c r="BX499" s="8"/>
      <c r="BY499" s="8"/>
      <c r="BZ499" s="8"/>
      <c r="CA499" s="8"/>
      <c r="CB499" s="8"/>
      <c r="CC499" s="8"/>
      <c r="CD499" s="8"/>
      <c r="CE499" s="8"/>
      <c r="CF499" s="8"/>
      <c r="CG499" s="8"/>
      <c r="CH499" s="8"/>
      <c r="CI499" s="8"/>
      <c r="CJ499" s="8"/>
      <c r="CK499" s="8"/>
      <c r="CL499" s="8"/>
      <c r="CM499" s="8"/>
      <c r="CN499" s="8"/>
    </row>
    <row r="500" spans="7:92" x14ac:dyDescent="0.35">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c r="BP500" s="8"/>
      <c r="BQ500" s="8"/>
      <c r="BR500" s="8"/>
      <c r="BS500" s="8"/>
      <c r="BT500" s="8"/>
      <c r="BU500" s="8"/>
      <c r="BV500" s="8"/>
      <c r="BW500" s="8"/>
      <c r="BX500" s="8"/>
      <c r="BY500" s="8"/>
      <c r="BZ500" s="8"/>
      <c r="CA500" s="8"/>
      <c r="CB500" s="8"/>
      <c r="CC500" s="8"/>
      <c r="CD500" s="8"/>
      <c r="CE500" s="8"/>
      <c r="CF500" s="8"/>
      <c r="CG500" s="8"/>
      <c r="CH500" s="8"/>
      <c r="CI500" s="8"/>
      <c r="CJ500" s="8"/>
      <c r="CK500" s="8"/>
      <c r="CL500" s="8"/>
      <c r="CM500" s="8"/>
      <c r="CN500" s="8"/>
    </row>
    <row r="501" spans="7:92" x14ac:dyDescent="0.35">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c r="BP501" s="8"/>
      <c r="BQ501" s="8"/>
      <c r="BR501" s="8"/>
      <c r="BS501" s="8"/>
      <c r="BT501" s="8"/>
      <c r="BU501" s="8"/>
      <c r="BV501" s="8"/>
      <c r="BW501" s="8"/>
      <c r="BX501" s="8"/>
      <c r="BY501" s="8"/>
      <c r="BZ501" s="8"/>
      <c r="CA501" s="8"/>
      <c r="CB501" s="8"/>
      <c r="CC501" s="8"/>
      <c r="CD501" s="8"/>
      <c r="CE501" s="8"/>
      <c r="CF501" s="8"/>
      <c r="CG501" s="8"/>
      <c r="CH501" s="8"/>
      <c r="CI501" s="8"/>
      <c r="CJ501" s="8"/>
      <c r="CK501" s="8"/>
      <c r="CL501" s="8"/>
      <c r="CM501" s="8"/>
      <c r="CN501" s="8"/>
    </row>
    <row r="502" spans="7:92" x14ac:dyDescent="0.35">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c r="BP502" s="8"/>
      <c r="BQ502" s="8"/>
      <c r="BR502" s="8"/>
      <c r="BS502" s="8"/>
      <c r="BT502" s="8"/>
      <c r="BU502" s="8"/>
      <c r="BV502" s="8"/>
      <c r="BW502" s="8"/>
      <c r="BX502" s="8"/>
      <c r="BY502" s="8"/>
      <c r="BZ502" s="8"/>
      <c r="CA502" s="8"/>
      <c r="CB502" s="8"/>
      <c r="CC502" s="8"/>
      <c r="CD502" s="8"/>
      <c r="CE502" s="8"/>
      <c r="CF502" s="8"/>
      <c r="CG502" s="8"/>
      <c r="CH502" s="8"/>
      <c r="CI502" s="8"/>
      <c r="CJ502" s="8"/>
      <c r="CK502" s="8"/>
      <c r="CL502" s="8"/>
      <c r="CM502" s="8"/>
      <c r="CN502" s="8"/>
    </row>
    <row r="503" spans="7:92" x14ac:dyDescent="0.35">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c r="BO503" s="8"/>
      <c r="BP503" s="8"/>
      <c r="BQ503" s="8"/>
      <c r="BR503" s="8"/>
      <c r="BS503" s="8"/>
      <c r="BT503" s="8"/>
      <c r="BU503" s="8"/>
      <c r="BV503" s="8"/>
      <c r="BW503" s="8"/>
      <c r="BX503" s="8"/>
      <c r="BY503" s="8"/>
      <c r="BZ503" s="8"/>
      <c r="CA503" s="8"/>
      <c r="CB503" s="8"/>
      <c r="CC503" s="8"/>
      <c r="CD503" s="8"/>
      <c r="CE503" s="8"/>
      <c r="CF503" s="8"/>
      <c r="CG503" s="8"/>
      <c r="CH503" s="8"/>
      <c r="CI503" s="8"/>
      <c r="CJ503" s="8"/>
      <c r="CK503" s="8"/>
      <c r="CL503" s="8"/>
      <c r="CM503" s="8"/>
      <c r="CN503" s="8"/>
    </row>
    <row r="504" spans="7:92" x14ac:dyDescent="0.35">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c r="BO504" s="8"/>
      <c r="BP504" s="8"/>
      <c r="BQ504" s="8"/>
      <c r="BR504" s="8"/>
      <c r="BS504" s="8"/>
      <c r="BT504" s="8"/>
      <c r="BU504" s="8"/>
      <c r="BV504" s="8"/>
      <c r="BW504" s="8"/>
      <c r="BX504" s="8"/>
      <c r="BY504" s="8"/>
      <c r="BZ504" s="8"/>
      <c r="CA504" s="8"/>
      <c r="CB504" s="8"/>
      <c r="CC504" s="8"/>
      <c r="CD504" s="8"/>
      <c r="CE504" s="8"/>
      <c r="CF504" s="8"/>
      <c r="CG504" s="8"/>
      <c r="CH504" s="8"/>
      <c r="CI504" s="8"/>
      <c r="CJ504" s="8"/>
      <c r="CK504" s="8"/>
      <c r="CL504" s="8"/>
      <c r="CM504" s="8"/>
      <c r="CN504" s="8"/>
    </row>
    <row r="505" spans="7:92" x14ac:dyDescent="0.35">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c r="BQ505" s="8"/>
      <c r="BR505" s="8"/>
      <c r="BS505" s="8"/>
      <c r="BT505" s="8"/>
      <c r="BU505" s="8"/>
      <c r="BV505" s="8"/>
      <c r="BW505" s="8"/>
      <c r="BX505" s="8"/>
      <c r="BY505" s="8"/>
      <c r="BZ505" s="8"/>
      <c r="CA505" s="8"/>
      <c r="CB505" s="8"/>
      <c r="CC505" s="8"/>
      <c r="CD505" s="8"/>
      <c r="CE505" s="8"/>
      <c r="CF505" s="8"/>
      <c r="CG505" s="8"/>
      <c r="CH505" s="8"/>
      <c r="CI505" s="8"/>
      <c r="CJ505" s="8"/>
      <c r="CK505" s="8"/>
      <c r="CL505" s="8"/>
      <c r="CM505" s="8"/>
      <c r="CN505" s="8"/>
    </row>
    <row r="506" spans="7:92" x14ac:dyDescent="0.35">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c r="BQ506" s="8"/>
      <c r="BR506" s="8"/>
      <c r="BS506" s="8"/>
      <c r="BT506" s="8"/>
      <c r="BU506" s="8"/>
      <c r="BV506" s="8"/>
      <c r="BW506" s="8"/>
      <c r="BX506" s="8"/>
      <c r="BY506" s="8"/>
      <c r="BZ506" s="8"/>
      <c r="CA506" s="8"/>
      <c r="CB506" s="8"/>
      <c r="CC506" s="8"/>
      <c r="CD506" s="8"/>
      <c r="CE506" s="8"/>
      <c r="CF506" s="8"/>
      <c r="CG506" s="8"/>
      <c r="CH506" s="8"/>
      <c r="CI506" s="8"/>
      <c r="CJ506" s="8"/>
      <c r="CK506" s="8"/>
      <c r="CL506" s="8"/>
      <c r="CM506" s="8"/>
      <c r="CN506" s="8"/>
    </row>
    <row r="507" spans="7:92" x14ac:dyDescent="0.35">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c r="BP507" s="8"/>
      <c r="BQ507" s="8"/>
      <c r="BR507" s="8"/>
      <c r="BS507" s="8"/>
      <c r="BT507" s="8"/>
      <c r="BU507" s="8"/>
      <c r="BV507" s="8"/>
      <c r="BW507" s="8"/>
      <c r="BX507" s="8"/>
      <c r="BY507" s="8"/>
      <c r="BZ507" s="8"/>
      <c r="CA507" s="8"/>
      <c r="CB507" s="8"/>
      <c r="CC507" s="8"/>
      <c r="CD507" s="8"/>
      <c r="CE507" s="8"/>
      <c r="CF507" s="8"/>
      <c r="CG507" s="8"/>
      <c r="CH507" s="8"/>
      <c r="CI507" s="8"/>
      <c r="CJ507" s="8"/>
      <c r="CK507" s="8"/>
      <c r="CL507" s="8"/>
      <c r="CM507" s="8"/>
      <c r="CN507" s="8"/>
    </row>
    <row r="508" spans="7:92" x14ac:dyDescent="0.35">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c r="BP508" s="8"/>
      <c r="BQ508" s="8"/>
      <c r="BR508" s="8"/>
      <c r="BS508" s="8"/>
      <c r="BT508" s="8"/>
      <c r="BU508" s="8"/>
      <c r="BV508" s="8"/>
      <c r="BW508" s="8"/>
      <c r="BX508" s="8"/>
      <c r="BY508" s="8"/>
      <c r="BZ508" s="8"/>
      <c r="CA508" s="8"/>
      <c r="CB508" s="8"/>
      <c r="CC508" s="8"/>
      <c r="CD508" s="8"/>
      <c r="CE508" s="8"/>
      <c r="CF508" s="8"/>
      <c r="CG508" s="8"/>
      <c r="CH508" s="8"/>
      <c r="CI508" s="8"/>
      <c r="CJ508" s="8"/>
      <c r="CK508" s="8"/>
      <c r="CL508" s="8"/>
      <c r="CM508" s="8"/>
      <c r="CN508" s="8"/>
    </row>
    <row r="509" spans="7:92" x14ac:dyDescent="0.35">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c r="BO509" s="8"/>
      <c r="BP509" s="8"/>
      <c r="BQ509" s="8"/>
      <c r="BR509" s="8"/>
      <c r="BS509" s="8"/>
      <c r="BT509" s="8"/>
      <c r="BU509" s="8"/>
      <c r="BV509" s="8"/>
      <c r="BW509" s="8"/>
      <c r="BX509" s="8"/>
      <c r="BY509" s="8"/>
      <c r="BZ509" s="8"/>
      <c r="CA509" s="8"/>
      <c r="CB509" s="8"/>
      <c r="CC509" s="8"/>
      <c r="CD509" s="8"/>
      <c r="CE509" s="8"/>
      <c r="CF509" s="8"/>
      <c r="CG509" s="8"/>
      <c r="CH509" s="8"/>
      <c r="CI509" s="8"/>
      <c r="CJ509" s="8"/>
      <c r="CK509" s="8"/>
      <c r="CL509" s="8"/>
      <c r="CM509" s="8"/>
      <c r="CN509" s="8"/>
    </row>
    <row r="510" spans="7:92" x14ac:dyDescent="0.35">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c r="BO510" s="8"/>
      <c r="BP510" s="8"/>
      <c r="BQ510" s="8"/>
      <c r="BR510" s="8"/>
      <c r="BS510" s="8"/>
      <c r="BT510" s="8"/>
      <c r="BU510" s="8"/>
      <c r="BV510" s="8"/>
      <c r="BW510" s="8"/>
      <c r="BX510" s="8"/>
      <c r="BY510" s="8"/>
      <c r="BZ510" s="8"/>
      <c r="CA510" s="8"/>
      <c r="CB510" s="8"/>
      <c r="CC510" s="8"/>
      <c r="CD510" s="8"/>
      <c r="CE510" s="8"/>
      <c r="CF510" s="8"/>
      <c r="CG510" s="8"/>
      <c r="CH510" s="8"/>
      <c r="CI510" s="8"/>
      <c r="CJ510" s="8"/>
      <c r="CK510" s="8"/>
      <c r="CL510" s="8"/>
      <c r="CM510" s="8"/>
      <c r="CN510" s="8"/>
    </row>
    <row r="511" spans="7:92" x14ac:dyDescent="0.35">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c r="BP511" s="8"/>
      <c r="BQ511" s="8"/>
      <c r="BR511" s="8"/>
      <c r="BS511" s="8"/>
      <c r="BT511" s="8"/>
      <c r="BU511" s="8"/>
      <c r="BV511" s="8"/>
      <c r="BW511" s="8"/>
      <c r="BX511" s="8"/>
      <c r="BY511" s="8"/>
      <c r="BZ511" s="8"/>
      <c r="CA511" s="8"/>
      <c r="CB511" s="8"/>
      <c r="CC511" s="8"/>
      <c r="CD511" s="8"/>
      <c r="CE511" s="8"/>
      <c r="CF511" s="8"/>
      <c r="CG511" s="8"/>
      <c r="CH511" s="8"/>
      <c r="CI511" s="8"/>
      <c r="CJ511" s="8"/>
      <c r="CK511" s="8"/>
      <c r="CL511" s="8"/>
      <c r="CM511" s="8"/>
      <c r="CN511" s="8"/>
    </row>
    <row r="512" spans="7:92" x14ac:dyDescent="0.35">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c r="BP512" s="8"/>
      <c r="BQ512" s="8"/>
      <c r="BR512" s="8"/>
      <c r="BS512" s="8"/>
      <c r="BT512" s="8"/>
      <c r="BU512" s="8"/>
      <c r="BV512" s="8"/>
      <c r="BW512" s="8"/>
      <c r="BX512" s="8"/>
      <c r="BY512" s="8"/>
      <c r="BZ512" s="8"/>
      <c r="CA512" s="8"/>
      <c r="CB512" s="8"/>
      <c r="CC512" s="8"/>
      <c r="CD512" s="8"/>
      <c r="CE512" s="8"/>
      <c r="CF512" s="8"/>
      <c r="CG512" s="8"/>
      <c r="CH512" s="8"/>
      <c r="CI512" s="8"/>
      <c r="CJ512" s="8"/>
      <c r="CK512" s="8"/>
      <c r="CL512" s="8"/>
      <c r="CM512" s="8"/>
      <c r="CN512" s="8"/>
    </row>
    <row r="513" spans="7:92" x14ac:dyDescent="0.35">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c r="BQ513" s="8"/>
      <c r="BR513" s="8"/>
      <c r="BS513" s="8"/>
      <c r="BT513" s="8"/>
      <c r="BU513" s="8"/>
      <c r="BV513" s="8"/>
      <c r="BW513" s="8"/>
      <c r="BX513" s="8"/>
      <c r="BY513" s="8"/>
      <c r="BZ513" s="8"/>
      <c r="CA513" s="8"/>
      <c r="CB513" s="8"/>
      <c r="CC513" s="8"/>
      <c r="CD513" s="8"/>
      <c r="CE513" s="8"/>
      <c r="CF513" s="8"/>
      <c r="CG513" s="8"/>
      <c r="CH513" s="8"/>
      <c r="CI513" s="8"/>
      <c r="CJ513" s="8"/>
      <c r="CK513" s="8"/>
      <c r="CL513" s="8"/>
      <c r="CM513" s="8"/>
      <c r="CN513" s="8"/>
    </row>
    <row r="514" spans="7:92" x14ac:dyDescent="0.35">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c r="BQ514" s="8"/>
      <c r="BR514" s="8"/>
      <c r="BS514" s="8"/>
      <c r="BT514" s="8"/>
      <c r="BU514" s="8"/>
      <c r="BV514" s="8"/>
      <c r="BW514" s="8"/>
      <c r="BX514" s="8"/>
      <c r="BY514" s="8"/>
      <c r="BZ514" s="8"/>
      <c r="CA514" s="8"/>
      <c r="CB514" s="8"/>
      <c r="CC514" s="8"/>
      <c r="CD514" s="8"/>
      <c r="CE514" s="8"/>
      <c r="CF514" s="8"/>
      <c r="CG514" s="8"/>
      <c r="CH514" s="8"/>
      <c r="CI514" s="8"/>
      <c r="CJ514" s="8"/>
      <c r="CK514" s="8"/>
      <c r="CL514" s="8"/>
      <c r="CM514" s="8"/>
      <c r="CN514" s="8"/>
    </row>
    <row r="515" spans="7:92" x14ac:dyDescent="0.35">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c r="BQ515" s="8"/>
      <c r="BR515" s="8"/>
      <c r="BS515" s="8"/>
      <c r="BT515" s="8"/>
      <c r="BU515" s="8"/>
      <c r="BV515" s="8"/>
      <c r="BW515" s="8"/>
      <c r="BX515" s="8"/>
      <c r="BY515" s="8"/>
      <c r="BZ515" s="8"/>
      <c r="CA515" s="8"/>
      <c r="CB515" s="8"/>
      <c r="CC515" s="8"/>
      <c r="CD515" s="8"/>
      <c r="CE515" s="8"/>
      <c r="CF515" s="8"/>
      <c r="CG515" s="8"/>
      <c r="CH515" s="8"/>
      <c r="CI515" s="8"/>
      <c r="CJ515" s="8"/>
      <c r="CK515" s="8"/>
      <c r="CL515" s="8"/>
      <c r="CM515" s="8"/>
      <c r="CN515" s="8"/>
    </row>
    <row r="516" spans="7:92" x14ac:dyDescent="0.35">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c r="BP516" s="8"/>
      <c r="BQ516" s="8"/>
      <c r="BR516" s="8"/>
      <c r="BS516" s="8"/>
      <c r="BT516" s="8"/>
      <c r="BU516" s="8"/>
      <c r="BV516" s="8"/>
      <c r="BW516" s="8"/>
      <c r="BX516" s="8"/>
      <c r="BY516" s="8"/>
      <c r="BZ516" s="8"/>
      <c r="CA516" s="8"/>
      <c r="CB516" s="8"/>
      <c r="CC516" s="8"/>
      <c r="CD516" s="8"/>
      <c r="CE516" s="8"/>
      <c r="CF516" s="8"/>
      <c r="CG516" s="8"/>
      <c r="CH516" s="8"/>
      <c r="CI516" s="8"/>
      <c r="CJ516" s="8"/>
      <c r="CK516" s="8"/>
      <c r="CL516" s="8"/>
      <c r="CM516" s="8"/>
      <c r="CN516" s="8"/>
    </row>
    <row r="517" spans="7:92" x14ac:dyDescent="0.35">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8"/>
      <c r="BO517" s="8"/>
      <c r="BP517" s="8"/>
      <c r="BQ517" s="8"/>
      <c r="BR517" s="8"/>
      <c r="BS517" s="8"/>
      <c r="BT517" s="8"/>
      <c r="BU517" s="8"/>
      <c r="BV517" s="8"/>
      <c r="BW517" s="8"/>
      <c r="BX517" s="8"/>
      <c r="BY517" s="8"/>
      <c r="BZ517" s="8"/>
      <c r="CA517" s="8"/>
      <c r="CB517" s="8"/>
      <c r="CC517" s="8"/>
      <c r="CD517" s="8"/>
      <c r="CE517" s="8"/>
      <c r="CF517" s="8"/>
      <c r="CG517" s="8"/>
      <c r="CH517" s="8"/>
      <c r="CI517" s="8"/>
      <c r="CJ517" s="8"/>
      <c r="CK517" s="8"/>
      <c r="CL517" s="8"/>
      <c r="CM517" s="8"/>
      <c r="CN517" s="8"/>
    </row>
    <row r="518" spans="7:92" x14ac:dyDescent="0.35">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c r="BO518" s="8"/>
      <c r="BP518" s="8"/>
      <c r="BQ518" s="8"/>
      <c r="BR518" s="8"/>
      <c r="BS518" s="8"/>
      <c r="BT518" s="8"/>
      <c r="BU518" s="8"/>
      <c r="BV518" s="8"/>
      <c r="BW518" s="8"/>
      <c r="BX518" s="8"/>
      <c r="BY518" s="8"/>
      <c r="BZ518" s="8"/>
      <c r="CA518" s="8"/>
      <c r="CB518" s="8"/>
      <c r="CC518" s="8"/>
      <c r="CD518" s="8"/>
      <c r="CE518" s="8"/>
      <c r="CF518" s="8"/>
      <c r="CG518" s="8"/>
      <c r="CH518" s="8"/>
      <c r="CI518" s="8"/>
      <c r="CJ518" s="8"/>
      <c r="CK518" s="8"/>
      <c r="CL518" s="8"/>
      <c r="CM518" s="8"/>
      <c r="CN518" s="8"/>
    </row>
    <row r="519" spans="7:92" x14ac:dyDescent="0.35">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c r="BO519" s="8"/>
      <c r="BP519" s="8"/>
      <c r="BQ519" s="8"/>
      <c r="BR519" s="8"/>
      <c r="BS519" s="8"/>
      <c r="BT519" s="8"/>
      <c r="BU519" s="8"/>
      <c r="BV519" s="8"/>
      <c r="BW519" s="8"/>
      <c r="BX519" s="8"/>
      <c r="BY519" s="8"/>
      <c r="BZ519" s="8"/>
      <c r="CA519" s="8"/>
      <c r="CB519" s="8"/>
      <c r="CC519" s="8"/>
      <c r="CD519" s="8"/>
      <c r="CE519" s="8"/>
      <c r="CF519" s="8"/>
      <c r="CG519" s="8"/>
      <c r="CH519" s="8"/>
      <c r="CI519" s="8"/>
      <c r="CJ519" s="8"/>
      <c r="CK519" s="8"/>
      <c r="CL519" s="8"/>
      <c r="CM519" s="8"/>
      <c r="CN519" s="8"/>
    </row>
    <row r="520" spans="7:92" x14ac:dyDescent="0.35">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c r="BO520" s="8"/>
      <c r="BP520" s="8"/>
      <c r="BQ520" s="8"/>
      <c r="BR520" s="8"/>
      <c r="BS520" s="8"/>
      <c r="BT520" s="8"/>
      <c r="BU520" s="8"/>
      <c r="BV520" s="8"/>
      <c r="BW520" s="8"/>
      <c r="BX520" s="8"/>
      <c r="BY520" s="8"/>
      <c r="BZ520" s="8"/>
      <c r="CA520" s="8"/>
      <c r="CB520" s="8"/>
      <c r="CC520" s="8"/>
      <c r="CD520" s="8"/>
      <c r="CE520" s="8"/>
      <c r="CF520" s="8"/>
      <c r="CG520" s="8"/>
      <c r="CH520" s="8"/>
      <c r="CI520" s="8"/>
      <c r="CJ520" s="8"/>
      <c r="CK520" s="8"/>
      <c r="CL520" s="8"/>
      <c r="CM520" s="8"/>
      <c r="CN520" s="8"/>
    </row>
    <row r="521" spans="7:92" x14ac:dyDescent="0.35">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8"/>
      <c r="BO521" s="8"/>
      <c r="BP521" s="8"/>
      <c r="BQ521" s="8"/>
      <c r="BR521" s="8"/>
      <c r="BS521" s="8"/>
      <c r="BT521" s="8"/>
      <c r="BU521" s="8"/>
      <c r="BV521" s="8"/>
      <c r="BW521" s="8"/>
      <c r="BX521" s="8"/>
      <c r="BY521" s="8"/>
      <c r="BZ521" s="8"/>
      <c r="CA521" s="8"/>
      <c r="CB521" s="8"/>
      <c r="CC521" s="8"/>
      <c r="CD521" s="8"/>
      <c r="CE521" s="8"/>
      <c r="CF521" s="8"/>
      <c r="CG521" s="8"/>
      <c r="CH521" s="8"/>
      <c r="CI521" s="8"/>
      <c r="CJ521" s="8"/>
      <c r="CK521" s="8"/>
      <c r="CL521" s="8"/>
      <c r="CM521" s="8"/>
      <c r="CN521" s="8"/>
    </row>
    <row r="522" spans="7:92" x14ac:dyDescent="0.35">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c r="BL522" s="8"/>
      <c r="BM522" s="8"/>
      <c r="BN522" s="8"/>
      <c r="BO522" s="8"/>
      <c r="BP522" s="8"/>
      <c r="BQ522" s="8"/>
      <c r="BR522" s="8"/>
      <c r="BS522" s="8"/>
      <c r="BT522" s="8"/>
      <c r="BU522" s="8"/>
      <c r="BV522" s="8"/>
      <c r="BW522" s="8"/>
      <c r="BX522" s="8"/>
      <c r="BY522" s="8"/>
      <c r="BZ522" s="8"/>
      <c r="CA522" s="8"/>
      <c r="CB522" s="8"/>
      <c r="CC522" s="8"/>
      <c r="CD522" s="8"/>
      <c r="CE522" s="8"/>
      <c r="CF522" s="8"/>
      <c r="CG522" s="8"/>
      <c r="CH522" s="8"/>
      <c r="CI522" s="8"/>
      <c r="CJ522" s="8"/>
      <c r="CK522" s="8"/>
      <c r="CL522" s="8"/>
      <c r="CM522" s="8"/>
      <c r="CN522" s="8"/>
    </row>
    <row r="523" spans="7:92" x14ac:dyDescent="0.35">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8"/>
      <c r="BM523" s="8"/>
      <c r="BN523" s="8"/>
      <c r="BO523" s="8"/>
      <c r="BP523" s="8"/>
      <c r="BQ523" s="8"/>
      <c r="BR523" s="8"/>
      <c r="BS523" s="8"/>
      <c r="BT523" s="8"/>
      <c r="BU523" s="8"/>
      <c r="BV523" s="8"/>
      <c r="BW523" s="8"/>
      <c r="BX523" s="8"/>
      <c r="BY523" s="8"/>
      <c r="BZ523" s="8"/>
      <c r="CA523" s="8"/>
      <c r="CB523" s="8"/>
      <c r="CC523" s="8"/>
      <c r="CD523" s="8"/>
      <c r="CE523" s="8"/>
      <c r="CF523" s="8"/>
      <c r="CG523" s="8"/>
      <c r="CH523" s="8"/>
      <c r="CI523" s="8"/>
      <c r="CJ523" s="8"/>
      <c r="CK523" s="8"/>
      <c r="CL523" s="8"/>
      <c r="CM523" s="8"/>
      <c r="CN523" s="8"/>
    </row>
    <row r="524" spans="7:92" x14ac:dyDescent="0.35">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c r="BN524" s="8"/>
      <c r="BO524" s="8"/>
      <c r="BP524" s="8"/>
      <c r="BQ524" s="8"/>
      <c r="BR524" s="8"/>
      <c r="BS524" s="8"/>
      <c r="BT524" s="8"/>
      <c r="BU524" s="8"/>
      <c r="BV524" s="8"/>
      <c r="BW524" s="8"/>
      <c r="BX524" s="8"/>
      <c r="BY524" s="8"/>
      <c r="BZ524" s="8"/>
      <c r="CA524" s="8"/>
      <c r="CB524" s="8"/>
      <c r="CC524" s="8"/>
      <c r="CD524" s="8"/>
      <c r="CE524" s="8"/>
      <c r="CF524" s="8"/>
      <c r="CG524" s="8"/>
      <c r="CH524" s="8"/>
      <c r="CI524" s="8"/>
      <c r="CJ524" s="8"/>
      <c r="CK524" s="8"/>
      <c r="CL524" s="8"/>
      <c r="CM524" s="8"/>
      <c r="CN524" s="8"/>
    </row>
    <row r="525" spans="7:92" x14ac:dyDescent="0.35">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c r="BL525" s="8"/>
      <c r="BM525" s="8"/>
      <c r="BN525" s="8"/>
      <c r="BO525" s="8"/>
      <c r="BP525" s="8"/>
      <c r="BQ525" s="8"/>
      <c r="BR525" s="8"/>
      <c r="BS525" s="8"/>
      <c r="BT525" s="8"/>
      <c r="BU525" s="8"/>
      <c r="BV525" s="8"/>
      <c r="BW525" s="8"/>
      <c r="BX525" s="8"/>
      <c r="BY525" s="8"/>
      <c r="BZ525" s="8"/>
      <c r="CA525" s="8"/>
      <c r="CB525" s="8"/>
      <c r="CC525" s="8"/>
      <c r="CD525" s="8"/>
      <c r="CE525" s="8"/>
      <c r="CF525" s="8"/>
      <c r="CG525" s="8"/>
      <c r="CH525" s="8"/>
      <c r="CI525" s="8"/>
      <c r="CJ525" s="8"/>
      <c r="CK525" s="8"/>
      <c r="CL525" s="8"/>
      <c r="CM525" s="8"/>
      <c r="CN525" s="8"/>
    </row>
    <row r="526" spans="7:92" x14ac:dyDescent="0.35">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c r="BL526" s="8"/>
      <c r="BM526" s="8"/>
      <c r="BN526" s="8"/>
      <c r="BO526" s="8"/>
      <c r="BP526" s="8"/>
      <c r="BQ526" s="8"/>
      <c r="BR526" s="8"/>
      <c r="BS526" s="8"/>
      <c r="BT526" s="8"/>
      <c r="BU526" s="8"/>
      <c r="BV526" s="8"/>
      <c r="BW526" s="8"/>
      <c r="BX526" s="8"/>
      <c r="BY526" s="8"/>
      <c r="BZ526" s="8"/>
      <c r="CA526" s="8"/>
      <c r="CB526" s="8"/>
      <c r="CC526" s="8"/>
      <c r="CD526" s="8"/>
      <c r="CE526" s="8"/>
      <c r="CF526" s="8"/>
      <c r="CG526" s="8"/>
      <c r="CH526" s="8"/>
      <c r="CI526" s="8"/>
      <c r="CJ526" s="8"/>
      <c r="CK526" s="8"/>
      <c r="CL526" s="8"/>
      <c r="CM526" s="8"/>
      <c r="CN526" s="8"/>
    </row>
    <row r="527" spans="7:92" x14ac:dyDescent="0.35">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8"/>
      <c r="BM527" s="8"/>
      <c r="BN527" s="8"/>
      <c r="BO527" s="8"/>
      <c r="BP527" s="8"/>
      <c r="BQ527" s="8"/>
      <c r="BR527" s="8"/>
      <c r="BS527" s="8"/>
      <c r="BT527" s="8"/>
      <c r="BU527" s="8"/>
      <c r="BV527" s="8"/>
      <c r="BW527" s="8"/>
      <c r="BX527" s="8"/>
      <c r="BY527" s="8"/>
      <c r="BZ527" s="8"/>
      <c r="CA527" s="8"/>
      <c r="CB527" s="8"/>
      <c r="CC527" s="8"/>
      <c r="CD527" s="8"/>
      <c r="CE527" s="8"/>
      <c r="CF527" s="8"/>
      <c r="CG527" s="8"/>
      <c r="CH527" s="8"/>
      <c r="CI527" s="8"/>
      <c r="CJ527" s="8"/>
      <c r="CK527" s="8"/>
      <c r="CL527" s="8"/>
      <c r="CM527" s="8"/>
      <c r="CN527" s="8"/>
    </row>
    <row r="528" spans="7:92" x14ac:dyDescent="0.35">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c r="BL528" s="8"/>
      <c r="BM528" s="8"/>
      <c r="BN528" s="8"/>
      <c r="BO528" s="8"/>
      <c r="BP528" s="8"/>
      <c r="BQ528" s="8"/>
      <c r="BR528" s="8"/>
      <c r="BS528" s="8"/>
      <c r="BT528" s="8"/>
      <c r="BU528" s="8"/>
      <c r="BV528" s="8"/>
      <c r="BW528" s="8"/>
      <c r="BX528" s="8"/>
      <c r="BY528" s="8"/>
      <c r="BZ528" s="8"/>
      <c r="CA528" s="8"/>
      <c r="CB528" s="8"/>
      <c r="CC528" s="8"/>
      <c r="CD528" s="8"/>
      <c r="CE528" s="8"/>
      <c r="CF528" s="8"/>
      <c r="CG528" s="8"/>
      <c r="CH528" s="8"/>
      <c r="CI528" s="8"/>
      <c r="CJ528" s="8"/>
      <c r="CK528" s="8"/>
      <c r="CL528" s="8"/>
      <c r="CM528" s="8"/>
      <c r="CN528" s="8"/>
    </row>
    <row r="529" spans="7:92" x14ac:dyDescent="0.35">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c r="BG529" s="8"/>
      <c r="BH529" s="8"/>
      <c r="BI529" s="8"/>
      <c r="BJ529" s="8"/>
      <c r="BK529" s="8"/>
      <c r="BL529" s="8"/>
      <c r="BM529" s="8"/>
      <c r="BN529" s="8"/>
      <c r="BO529" s="8"/>
      <c r="BP529" s="8"/>
      <c r="BQ529" s="8"/>
      <c r="BR529" s="8"/>
      <c r="BS529" s="8"/>
      <c r="BT529" s="8"/>
      <c r="BU529" s="8"/>
      <c r="BV529" s="8"/>
      <c r="BW529" s="8"/>
      <c r="BX529" s="8"/>
      <c r="BY529" s="8"/>
      <c r="BZ529" s="8"/>
      <c r="CA529" s="8"/>
      <c r="CB529" s="8"/>
      <c r="CC529" s="8"/>
      <c r="CD529" s="8"/>
      <c r="CE529" s="8"/>
      <c r="CF529" s="8"/>
      <c r="CG529" s="8"/>
      <c r="CH529" s="8"/>
      <c r="CI529" s="8"/>
      <c r="CJ529" s="8"/>
      <c r="CK529" s="8"/>
      <c r="CL529" s="8"/>
      <c r="CM529" s="8"/>
      <c r="CN529" s="8"/>
    </row>
    <row r="530" spans="7:92" x14ac:dyDescent="0.35">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c r="BG530" s="8"/>
      <c r="BH530" s="8"/>
      <c r="BI530" s="8"/>
      <c r="BJ530" s="8"/>
      <c r="BK530" s="8"/>
      <c r="BL530" s="8"/>
      <c r="BM530" s="8"/>
      <c r="BN530" s="8"/>
      <c r="BO530" s="8"/>
      <c r="BP530" s="8"/>
      <c r="BQ530" s="8"/>
      <c r="BR530" s="8"/>
      <c r="BS530" s="8"/>
      <c r="BT530" s="8"/>
      <c r="BU530" s="8"/>
      <c r="BV530" s="8"/>
      <c r="BW530" s="8"/>
      <c r="BX530" s="8"/>
      <c r="BY530" s="8"/>
      <c r="BZ530" s="8"/>
      <c r="CA530" s="8"/>
      <c r="CB530" s="8"/>
      <c r="CC530" s="8"/>
      <c r="CD530" s="8"/>
      <c r="CE530" s="8"/>
      <c r="CF530" s="8"/>
      <c r="CG530" s="8"/>
      <c r="CH530" s="8"/>
      <c r="CI530" s="8"/>
      <c r="CJ530" s="8"/>
      <c r="CK530" s="8"/>
      <c r="CL530" s="8"/>
      <c r="CM530" s="8"/>
      <c r="CN530" s="8"/>
    </row>
    <row r="531" spans="7:92" x14ac:dyDescent="0.35">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c r="BL531" s="8"/>
      <c r="BM531" s="8"/>
      <c r="BN531" s="8"/>
      <c r="BO531" s="8"/>
      <c r="BP531" s="8"/>
      <c r="BQ531" s="8"/>
      <c r="BR531" s="8"/>
      <c r="BS531" s="8"/>
      <c r="BT531" s="8"/>
      <c r="BU531" s="8"/>
      <c r="BV531" s="8"/>
      <c r="BW531" s="8"/>
      <c r="BX531" s="8"/>
      <c r="BY531" s="8"/>
      <c r="BZ531" s="8"/>
      <c r="CA531" s="8"/>
      <c r="CB531" s="8"/>
      <c r="CC531" s="8"/>
      <c r="CD531" s="8"/>
      <c r="CE531" s="8"/>
      <c r="CF531" s="8"/>
      <c r="CG531" s="8"/>
      <c r="CH531" s="8"/>
      <c r="CI531" s="8"/>
      <c r="CJ531" s="8"/>
      <c r="CK531" s="8"/>
      <c r="CL531" s="8"/>
      <c r="CM531" s="8"/>
      <c r="CN531" s="8"/>
    </row>
    <row r="532" spans="7:92" x14ac:dyDescent="0.35">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c r="BL532" s="8"/>
      <c r="BM532" s="8"/>
      <c r="BN532" s="8"/>
      <c r="BO532" s="8"/>
      <c r="BP532" s="8"/>
      <c r="BQ532" s="8"/>
      <c r="BR532" s="8"/>
      <c r="BS532" s="8"/>
      <c r="BT532" s="8"/>
      <c r="BU532" s="8"/>
      <c r="BV532" s="8"/>
      <c r="BW532" s="8"/>
      <c r="BX532" s="8"/>
      <c r="BY532" s="8"/>
      <c r="BZ532" s="8"/>
      <c r="CA532" s="8"/>
      <c r="CB532" s="8"/>
      <c r="CC532" s="8"/>
      <c r="CD532" s="8"/>
      <c r="CE532" s="8"/>
      <c r="CF532" s="8"/>
      <c r="CG532" s="8"/>
      <c r="CH532" s="8"/>
      <c r="CI532" s="8"/>
      <c r="CJ532" s="8"/>
      <c r="CK532" s="8"/>
      <c r="CL532" s="8"/>
      <c r="CM532" s="8"/>
      <c r="CN532" s="8"/>
    </row>
    <row r="533" spans="7:92" x14ac:dyDescent="0.35">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c r="BL533" s="8"/>
      <c r="BM533" s="8"/>
      <c r="BN533" s="8"/>
      <c r="BO533" s="8"/>
      <c r="BP533" s="8"/>
      <c r="BQ533" s="8"/>
      <c r="BR533" s="8"/>
      <c r="BS533" s="8"/>
      <c r="BT533" s="8"/>
      <c r="BU533" s="8"/>
      <c r="BV533" s="8"/>
      <c r="BW533" s="8"/>
      <c r="BX533" s="8"/>
      <c r="BY533" s="8"/>
      <c r="BZ533" s="8"/>
      <c r="CA533" s="8"/>
      <c r="CB533" s="8"/>
      <c r="CC533" s="8"/>
      <c r="CD533" s="8"/>
      <c r="CE533" s="8"/>
      <c r="CF533" s="8"/>
      <c r="CG533" s="8"/>
      <c r="CH533" s="8"/>
      <c r="CI533" s="8"/>
      <c r="CJ533" s="8"/>
      <c r="CK533" s="8"/>
      <c r="CL533" s="8"/>
      <c r="CM533" s="8"/>
      <c r="CN533" s="8"/>
    </row>
    <row r="534" spans="7:92" x14ac:dyDescent="0.35">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c r="BL534" s="8"/>
      <c r="BM534" s="8"/>
      <c r="BN534" s="8"/>
      <c r="BO534" s="8"/>
      <c r="BP534" s="8"/>
      <c r="BQ534" s="8"/>
      <c r="BR534" s="8"/>
      <c r="BS534" s="8"/>
      <c r="BT534" s="8"/>
      <c r="BU534" s="8"/>
      <c r="BV534" s="8"/>
      <c r="BW534" s="8"/>
      <c r="BX534" s="8"/>
      <c r="BY534" s="8"/>
      <c r="BZ534" s="8"/>
      <c r="CA534" s="8"/>
      <c r="CB534" s="8"/>
      <c r="CC534" s="8"/>
      <c r="CD534" s="8"/>
      <c r="CE534" s="8"/>
      <c r="CF534" s="8"/>
      <c r="CG534" s="8"/>
      <c r="CH534" s="8"/>
      <c r="CI534" s="8"/>
      <c r="CJ534" s="8"/>
      <c r="CK534" s="8"/>
      <c r="CL534" s="8"/>
      <c r="CM534" s="8"/>
      <c r="CN534" s="8"/>
    </row>
    <row r="535" spans="7:92" x14ac:dyDescent="0.35">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c r="BN535" s="8"/>
      <c r="BO535" s="8"/>
      <c r="BP535" s="8"/>
      <c r="BQ535" s="8"/>
      <c r="BR535" s="8"/>
      <c r="BS535" s="8"/>
      <c r="BT535" s="8"/>
      <c r="BU535" s="8"/>
      <c r="BV535" s="8"/>
      <c r="BW535" s="8"/>
      <c r="BX535" s="8"/>
      <c r="BY535" s="8"/>
      <c r="BZ535" s="8"/>
      <c r="CA535" s="8"/>
      <c r="CB535" s="8"/>
      <c r="CC535" s="8"/>
      <c r="CD535" s="8"/>
      <c r="CE535" s="8"/>
      <c r="CF535" s="8"/>
      <c r="CG535" s="8"/>
      <c r="CH535" s="8"/>
      <c r="CI535" s="8"/>
      <c r="CJ535" s="8"/>
      <c r="CK535" s="8"/>
      <c r="CL535" s="8"/>
      <c r="CM535" s="8"/>
      <c r="CN535" s="8"/>
    </row>
    <row r="536" spans="7:92" x14ac:dyDescent="0.35">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8"/>
      <c r="BM536" s="8"/>
      <c r="BN536" s="8"/>
      <c r="BO536" s="8"/>
      <c r="BP536" s="8"/>
      <c r="BQ536" s="8"/>
      <c r="BR536" s="8"/>
      <c r="BS536" s="8"/>
      <c r="BT536" s="8"/>
      <c r="BU536" s="8"/>
      <c r="BV536" s="8"/>
      <c r="BW536" s="8"/>
      <c r="BX536" s="8"/>
      <c r="BY536" s="8"/>
      <c r="BZ536" s="8"/>
      <c r="CA536" s="8"/>
      <c r="CB536" s="8"/>
      <c r="CC536" s="8"/>
      <c r="CD536" s="8"/>
      <c r="CE536" s="8"/>
      <c r="CF536" s="8"/>
      <c r="CG536" s="8"/>
      <c r="CH536" s="8"/>
      <c r="CI536" s="8"/>
      <c r="CJ536" s="8"/>
      <c r="CK536" s="8"/>
      <c r="CL536" s="8"/>
      <c r="CM536" s="8"/>
      <c r="CN536" s="8"/>
    </row>
    <row r="537" spans="7:92" x14ac:dyDescent="0.35">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c r="BL537" s="8"/>
      <c r="BM537" s="8"/>
      <c r="BN537" s="8"/>
      <c r="BO537" s="8"/>
      <c r="BP537" s="8"/>
      <c r="BQ537" s="8"/>
      <c r="BR537" s="8"/>
      <c r="BS537" s="8"/>
      <c r="BT537" s="8"/>
      <c r="BU537" s="8"/>
      <c r="BV537" s="8"/>
      <c r="BW537" s="8"/>
      <c r="BX537" s="8"/>
      <c r="BY537" s="8"/>
      <c r="BZ537" s="8"/>
      <c r="CA537" s="8"/>
      <c r="CB537" s="8"/>
      <c r="CC537" s="8"/>
      <c r="CD537" s="8"/>
      <c r="CE537" s="8"/>
      <c r="CF537" s="8"/>
      <c r="CG537" s="8"/>
      <c r="CH537" s="8"/>
      <c r="CI537" s="8"/>
      <c r="CJ537" s="8"/>
      <c r="CK537" s="8"/>
      <c r="CL537" s="8"/>
      <c r="CM537" s="8"/>
      <c r="CN537" s="8"/>
    </row>
    <row r="538" spans="7:92" x14ac:dyDescent="0.35">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8"/>
      <c r="BM538" s="8"/>
      <c r="BN538" s="8"/>
      <c r="BO538" s="8"/>
      <c r="BP538" s="8"/>
      <c r="BQ538" s="8"/>
      <c r="BR538" s="8"/>
      <c r="BS538" s="8"/>
      <c r="BT538" s="8"/>
      <c r="BU538" s="8"/>
      <c r="BV538" s="8"/>
      <c r="BW538" s="8"/>
      <c r="BX538" s="8"/>
      <c r="BY538" s="8"/>
      <c r="BZ538" s="8"/>
      <c r="CA538" s="8"/>
      <c r="CB538" s="8"/>
      <c r="CC538" s="8"/>
      <c r="CD538" s="8"/>
      <c r="CE538" s="8"/>
      <c r="CF538" s="8"/>
      <c r="CG538" s="8"/>
      <c r="CH538" s="8"/>
      <c r="CI538" s="8"/>
      <c r="CJ538" s="8"/>
      <c r="CK538" s="8"/>
      <c r="CL538" s="8"/>
      <c r="CM538" s="8"/>
      <c r="CN538" s="8"/>
    </row>
    <row r="539" spans="7:92" x14ac:dyDescent="0.35">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c r="BL539" s="8"/>
      <c r="BM539" s="8"/>
      <c r="BN539" s="8"/>
      <c r="BO539" s="8"/>
      <c r="BP539" s="8"/>
      <c r="BQ539" s="8"/>
      <c r="BR539" s="8"/>
      <c r="BS539" s="8"/>
      <c r="BT539" s="8"/>
      <c r="BU539" s="8"/>
      <c r="BV539" s="8"/>
      <c r="BW539" s="8"/>
      <c r="BX539" s="8"/>
      <c r="BY539" s="8"/>
      <c r="BZ539" s="8"/>
      <c r="CA539" s="8"/>
      <c r="CB539" s="8"/>
      <c r="CC539" s="8"/>
      <c r="CD539" s="8"/>
      <c r="CE539" s="8"/>
      <c r="CF539" s="8"/>
      <c r="CG539" s="8"/>
      <c r="CH539" s="8"/>
      <c r="CI539" s="8"/>
      <c r="CJ539" s="8"/>
      <c r="CK539" s="8"/>
      <c r="CL539" s="8"/>
      <c r="CM539" s="8"/>
      <c r="CN539" s="8"/>
    </row>
    <row r="540" spans="7:92" x14ac:dyDescent="0.35">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8"/>
      <c r="BM540" s="8"/>
      <c r="BN540" s="8"/>
      <c r="BO540" s="8"/>
      <c r="BP540" s="8"/>
      <c r="BQ540" s="8"/>
      <c r="BR540" s="8"/>
      <c r="BS540" s="8"/>
      <c r="BT540" s="8"/>
      <c r="BU540" s="8"/>
      <c r="BV540" s="8"/>
      <c r="BW540" s="8"/>
      <c r="BX540" s="8"/>
      <c r="BY540" s="8"/>
      <c r="BZ540" s="8"/>
      <c r="CA540" s="8"/>
      <c r="CB540" s="8"/>
      <c r="CC540" s="8"/>
      <c r="CD540" s="8"/>
      <c r="CE540" s="8"/>
      <c r="CF540" s="8"/>
      <c r="CG540" s="8"/>
      <c r="CH540" s="8"/>
      <c r="CI540" s="8"/>
      <c r="CJ540" s="8"/>
      <c r="CK540" s="8"/>
      <c r="CL540" s="8"/>
      <c r="CM540" s="8"/>
      <c r="CN540" s="8"/>
    </row>
    <row r="541" spans="7:92" x14ac:dyDescent="0.35">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c r="BN541" s="8"/>
      <c r="BO541" s="8"/>
      <c r="BP541" s="8"/>
      <c r="BQ541" s="8"/>
      <c r="BR541" s="8"/>
      <c r="BS541" s="8"/>
      <c r="BT541" s="8"/>
      <c r="BU541" s="8"/>
      <c r="BV541" s="8"/>
      <c r="BW541" s="8"/>
      <c r="BX541" s="8"/>
      <c r="BY541" s="8"/>
      <c r="BZ541" s="8"/>
      <c r="CA541" s="8"/>
      <c r="CB541" s="8"/>
      <c r="CC541" s="8"/>
      <c r="CD541" s="8"/>
      <c r="CE541" s="8"/>
      <c r="CF541" s="8"/>
      <c r="CG541" s="8"/>
      <c r="CH541" s="8"/>
      <c r="CI541" s="8"/>
      <c r="CJ541" s="8"/>
      <c r="CK541" s="8"/>
      <c r="CL541" s="8"/>
      <c r="CM541" s="8"/>
      <c r="CN541" s="8"/>
    </row>
    <row r="542" spans="7:92" x14ac:dyDescent="0.35">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c r="BL542" s="8"/>
      <c r="BM542" s="8"/>
      <c r="BN542" s="8"/>
      <c r="BO542" s="8"/>
      <c r="BP542" s="8"/>
      <c r="BQ542" s="8"/>
      <c r="BR542" s="8"/>
      <c r="BS542" s="8"/>
      <c r="BT542" s="8"/>
      <c r="BU542" s="8"/>
      <c r="BV542" s="8"/>
      <c r="BW542" s="8"/>
      <c r="BX542" s="8"/>
      <c r="BY542" s="8"/>
      <c r="BZ542" s="8"/>
      <c r="CA542" s="8"/>
      <c r="CB542" s="8"/>
      <c r="CC542" s="8"/>
      <c r="CD542" s="8"/>
      <c r="CE542" s="8"/>
      <c r="CF542" s="8"/>
      <c r="CG542" s="8"/>
      <c r="CH542" s="8"/>
      <c r="CI542" s="8"/>
      <c r="CJ542" s="8"/>
      <c r="CK542" s="8"/>
      <c r="CL542" s="8"/>
      <c r="CM542" s="8"/>
      <c r="CN542" s="8"/>
    </row>
    <row r="543" spans="7:92" x14ac:dyDescent="0.35">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8"/>
      <c r="BM543" s="8"/>
      <c r="BN543" s="8"/>
      <c r="BO543" s="8"/>
      <c r="BP543" s="8"/>
      <c r="BQ543" s="8"/>
      <c r="BR543" s="8"/>
      <c r="BS543" s="8"/>
      <c r="BT543" s="8"/>
      <c r="BU543" s="8"/>
      <c r="BV543" s="8"/>
      <c r="BW543" s="8"/>
      <c r="BX543" s="8"/>
      <c r="BY543" s="8"/>
      <c r="BZ543" s="8"/>
      <c r="CA543" s="8"/>
      <c r="CB543" s="8"/>
      <c r="CC543" s="8"/>
      <c r="CD543" s="8"/>
      <c r="CE543" s="8"/>
      <c r="CF543" s="8"/>
      <c r="CG543" s="8"/>
      <c r="CH543" s="8"/>
      <c r="CI543" s="8"/>
      <c r="CJ543" s="8"/>
      <c r="CK543" s="8"/>
      <c r="CL543" s="8"/>
      <c r="CM543" s="8"/>
      <c r="CN543" s="8"/>
    </row>
    <row r="544" spans="7:92" x14ac:dyDescent="0.35">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8"/>
      <c r="BM544" s="8"/>
      <c r="BN544" s="8"/>
      <c r="BO544" s="8"/>
      <c r="BP544" s="8"/>
      <c r="BQ544" s="8"/>
      <c r="BR544" s="8"/>
      <c r="BS544" s="8"/>
      <c r="BT544" s="8"/>
      <c r="BU544" s="8"/>
      <c r="BV544" s="8"/>
      <c r="BW544" s="8"/>
      <c r="BX544" s="8"/>
      <c r="BY544" s="8"/>
      <c r="BZ544" s="8"/>
      <c r="CA544" s="8"/>
      <c r="CB544" s="8"/>
      <c r="CC544" s="8"/>
      <c r="CD544" s="8"/>
      <c r="CE544" s="8"/>
      <c r="CF544" s="8"/>
      <c r="CG544" s="8"/>
      <c r="CH544" s="8"/>
      <c r="CI544" s="8"/>
      <c r="CJ544" s="8"/>
      <c r="CK544" s="8"/>
      <c r="CL544" s="8"/>
      <c r="CM544" s="8"/>
      <c r="CN544" s="8"/>
    </row>
    <row r="545" spans="7:92" x14ac:dyDescent="0.35">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c r="BL545" s="8"/>
      <c r="BM545" s="8"/>
      <c r="BN545" s="8"/>
      <c r="BO545" s="8"/>
      <c r="BP545" s="8"/>
      <c r="BQ545" s="8"/>
      <c r="BR545" s="8"/>
      <c r="BS545" s="8"/>
      <c r="BT545" s="8"/>
      <c r="BU545" s="8"/>
      <c r="BV545" s="8"/>
      <c r="BW545" s="8"/>
      <c r="BX545" s="8"/>
      <c r="BY545" s="8"/>
      <c r="BZ545" s="8"/>
      <c r="CA545" s="8"/>
      <c r="CB545" s="8"/>
      <c r="CC545" s="8"/>
      <c r="CD545" s="8"/>
      <c r="CE545" s="8"/>
      <c r="CF545" s="8"/>
      <c r="CG545" s="8"/>
      <c r="CH545" s="8"/>
      <c r="CI545" s="8"/>
      <c r="CJ545" s="8"/>
      <c r="CK545" s="8"/>
      <c r="CL545" s="8"/>
      <c r="CM545" s="8"/>
      <c r="CN545" s="8"/>
    </row>
    <row r="546" spans="7:92" x14ac:dyDescent="0.35">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c r="BL546" s="8"/>
      <c r="BM546" s="8"/>
      <c r="BN546" s="8"/>
      <c r="BO546" s="8"/>
      <c r="BP546" s="8"/>
      <c r="BQ546" s="8"/>
      <c r="BR546" s="8"/>
      <c r="BS546" s="8"/>
      <c r="BT546" s="8"/>
      <c r="BU546" s="8"/>
      <c r="BV546" s="8"/>
      <c r="BW546" s="8"/>
      <c r="BX546" s="8"/>
      <c r="BY546" s="8"/>
      <c r="BZ546" s="8"/>
      <c r="CA546" s="8"/>
      <c r="CB546" s="8"/>
      <c r="CC546" s="8"/>
      <c r="CD546" s="8"/>
      <c r="CE546" s="8"/>
      <c r="CF546" s="8"/>
      <c r="CG546" s="8"/>
      <c r="CH546" s="8"/>
      <c r="CI546" s="8"/>
      <c r="CJ546" s="8"/>
      <c r="CK546" s="8"/>
      <c r="CL546" s="8"/>
      <c r="CM546" s="8"/>
      <c r="CN546" s="8"/>
    </row>
    <row r="547" spans="7:92" x14ac:dyDescent="0.35">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8"/>
      <c r="BM547" s="8"/>
      <c r="BN547" s="8"/>
      <c r="BO547" s="8"/>
      <c r="BP547" s="8"/>
      <c r="BQ547" s="8"/>
      <c r="BR547" s="8"/>
      <c r="BS547" s="8"/>
      <c r="BT547" s="8"/>
      <c r="BU547" s="8"/>
      <c r="BV547" s="8"/>
      <c r="BW547" s="8"/>
      <c r="BX547" s="8"/>
      <c r="BY547" s="8"/>
      <c r="BZ547" s="8"/>
      <c r="CA547" s="8"/>
      <c r="CB547" s="8"/>
      <c r="CC547" s="8"/>
      <c r="CD547" s="8"/>
      <c r="CE547" s="8"/>
      <c r="CF547" s="8"/>
      <c r="CG547" s="8"/>
      <c r="CH547" s="8"/>
      <c r="CI547" s="8"/>
      <c r="CJ547" s="8"/>
      <c r="CK547" s="8"/>
      <c r="CL547" s="8"/>
      <c r="CM547" s="8"/>
      <c r="CN547" s="8"/>
    </row>
    <row r="548" spans="7:92" x14ac:dyDescent="0.35">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8"/>
      <c r="BM548" s="8"/>
      <c r="BN548" s="8"/>
      <c r="BO548" s="8"/>
      <c r="BP548" s="8"/>
      <c r="BQ548" s="8"/>
      <c r="BR548" s="8"/>
      <c r="BS548" s="8"/>
      <c r="BT548" s="8"/>
      <c r="BU548" s="8"/>
      <c r="BV548" s="8"/>
      <c r="BW548" s="8"/>
      <c r="BX548" s="8"/>
      <c r="BY548" s="8"/>
      <c r="BZ548" s="8"/>
      <c r="CA548" s="8"/>
      <c r="CB548" s="8"/>
      <c r="CC548" s="8"/>
      <c r="CD548" s="8"/>
      <c r="CE548" s="8"/>
      <c r="CF548" s="8"/>
      <c r="CG548" s="8"/>
      <c r="CH548" s="8"/>
      <c r="CI548" s="8"/>
      <c r="CJ548" s="8"/>
      <c r="CK548" s="8"/>
      <c r="CL548" s="8"/>
      <c r="CM548" s="8"/>
      <c r="CN548" s="8"/>
    </row>
    <row r="549" spans="7:92" x14ac:dyDescent="0.35">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c r="BN549" s="8"/>
      <c r="BO549" s="8"/>
      <c r="BP549" s="8"/>
      <c r="BQ549" s="8"/>
      <c r="BR549" s="8"/>
      <c r="BS549" s="8"/>
      <c r="BT549" s="8"/>
      <c r="BU549" s="8"/>
      <c r="BV549" s="8"/>
      <c r="BW549" s="8"/>
      <c r="BX549" s="8"/>
      <c r="BY549" s="8"/>
      <c r="BZ549" s="8"/>
      <c r="CA549" s="8"/>
      <c r="CB549" s="8"/>
      <c r="CC549" s="8"/>
      <c r="CD549" s="8"/>
      <c r="CE549" s="8"/>
      <c r="CF549" s="8"/>
      <c r="CG549" s="8"/>
      <c r="CH549" s="8"/>
      <c r="CI549" s="8"/>
      <c r="CJ549" s="8"/>
      <c r="CK549" s="8"/>
      <c r="CL549" s="8"/>
      <c r="CM549" s="8"/>
      <c r="CN549" s="8"/>
    </row>
    <row r="550" spans="7:92" x14ac:dyDescent="0.35">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c r="BG550" s="8"/>
      <c r="BH550" s="8"/>
      <c r="BI550" s="8"/>
      <c r="BJ550" s="8"/>
      <c r="BK550" s="8"/>
      <c r="BL550" s="8"/>
      <c r="BM550" s="8"/>
      <c r="BN550" s="8"/>
      <c r="BO550" s="8"/>
      <c r="BP550" s="8"/>
      <c r="BQ550" s="8"/>
      <c r="BR550" s="8"/>
      <c r="BS550" s="8"/>
      <c r="BT550" s="8"/>
      <c r="BU550" s="8"/>
      <c r="BV550" s="8"/>
      <c r="BW550" s="8"/>
      <c r="BX550" s="8"/>
      <c r="BY550" s="8"/>
      <c r="BZ550" s="8"/>
      <c r="CA550" s="8"/>
      <c r="CB550" s="8"/>
      <c r="CC550" s="8"/>
      <c r="CD550" s="8"/>
      <c r="CE550" s="8"/>
      <c r="CF550" s="8"/>
      <c r="CG550" s="8"/>
      <c r="CH550" s="8"/>
      <c r="CI550" s="8"/>
      <c r="CJ550" s="8"/>
      <c r="CK550" s="8"/>
      <c r="CL550" s="8"/>
      <c r="CM550" s="8"/>
      <c r="CN550" s="8"/>
    </row>
    <row r="551" spans="7:92" x14ac:dyDescent="0.35">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c r="BM551" s="8"/>
      <c r="BN551" s="8"/>
      <c r="BO551" s="8"/>
      <c r="BP551" s="8"/>
      <c r="BQ551" s="8"/>
      <c r="BR551" s="8"/>
      <c r="BS551" s="8"/>
      <c r="BT551" s="8"/>
      <c r="BU551" s="8"/>
      <c r="BV551" s="8"/>
      <c r="BW551" s="8"/>
      <c r="BX551" s="8"/>
      <c r="BY551" s="8"/>
      <c r="BZ551" s="8"/>
      <c r="CA551" s="8"/>
      <c r="CB551" s="8"/>
      <c r="CC551" s="8"/>
      <c r="CD551" s="8"/>
      <c r="CE551" s="8"/>
      <c r="CF551" s="8"/>
      <c r="CG551" s="8"/>
      <c r="CH551" s="8"/>
      <c r="CI551" s="8"/>
      <c r="CJ551" s="8"/>
      <c r="CK551" s="8"/>
      <c r="CL551" s="8"/>
      <c r="CM551" s="8"/>
      <c r="CN551" s="8"/>
    </row>
    <row r="552" spans="7:92" x14ac:dyDescent="0.35">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c r="BL552" s="8"/>
      <c r="BM552" s="8"/>
      <c r="BN552" s="8"/>
      <c r="BO552" s="8"/>
      <c r="BP552" s="8"/>
      <c r="BQ552" s="8"/>
      <c r="BR552" s="8"/>
      <c r="BS552" s="8"/>
      <c r="BT552" s="8"/>
      <c r="BU552" s="8"/>
      <c r="BV552" s="8"/>
      <c r="BW552" s="8"/>
      <c r="BX552" s="8"/>
      <c r="BY552" s="8"/>
      <c r="BZ552" s="8"/>
      <c r="CA552" s="8"/>
      <c r="CB552" s="8"/>
      <c r="CC552" s="8"/>
      <c r="CD552" s="8"/>
      <c r="CE552" s="8"/>
      <c r="CF552" s="8"/>
      <c r="CG552" s="8"/>
      <c r="CH552" s="8"/>
      <c r="CI552" s="8"/>
      <c r="CJ552" s="8"/>
      <c r="CK552" s="8"/>
      <c r="CL552" s="8"/>
      <c r="CM552" s="8"/>
      <c r="CN552" s="8"/>
    </row>
    <row r="553" spans="7:92" x14ac:dyDescent="0.35">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c r="BJ553" s="8"/>
      <c r="BK553" s="8"/>
      <c r="BL553" s="8"/>
      <c r="BM553" s="8"/>
      <c r="BN553" s="8"/>
      <c r="BO553" s="8"/>
      <c r="BP553" s="8"/>
      <c r="BQ553" s="8"/>
      <c r="BR553" s="8"/>
      <c r="BS553" s="8"/>
      <c r="BT553" s="8"/>
      <c r="BU553" s="8"/>
      <c r="BV553" s="8"/>
      <c r="BW553" s="8"/>
      <c r="BX553" s="8"/>
      <c r="BY553" s="8"/>
      <c r="BZ553" s="8"/>
      <c r="CA553" s="8"/>
      <c r="CB553" s="8"/>
      <c r="CC553" s="8"/>
      <c r="CD553" s="8"/>
      <c r="CE553" s="8"/>
      <c r="CF553" s="8"/>
      <c r="CG553" s="8"/>
      <c r="CH553" s="8"/>
      <c r="CI553" s="8"/>
      <c r="CJ553" s="8"/>
      <c r="CK553" s="8"/>
      <c r="CL553" s="8"/>
      <c r="CM553" s="8"/>
      <c r="CN553" s="8"/>
    </row>
    <row r="554" spans="7:92" x14ac:dyDescent="0.35">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c r="BL554" s="8"/>
      <c r="BM554" s="8"/>
      <c r="BN554" s="8"/>
      <c r="BO554" s="8"/>
      <c r="BP554" s="8"/>
      <c r="BQ554" s="8"/>
      <c r="BR554" s="8"/>
      <c r="BS554" s="8"/>
      <c r="BT554" s="8"/>
      <c r="BU554" s="8"/>
      <c r="BV554" s="8"/>
      <c r="BW554" s="8"/>
      <c r="BX554" s="8"/>
      <c r="BY554" s="8"/>
      <c r="BZ554" s="8"/>
      <c r="CA554" s="8"/>
      <c r="CB554" s="8"/>
      <c r="CC554" s="8"/>
      <c r="CD554" s="8"/>
      <c r="CE554" s="8"/>
      <c r="CF554" s="8"/>
      <c r="CG554" s="8"/>
      <c r="CH554" s="8"/>
      <c r="CI554" s="8"/>
      <c r="CJ554" s="8"/>
      <c r="CK554" s="8"/>
      <c r="CL554" s="8"/>
      <c r="CM554" s="8"/>
      <c r="CN554" s="8"/>
    </row>
    <row r="555" spans="7:92" x14ac:dyDescent="0.35">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c r="BG555" s="8"/>
      <c r="BH555" s="8"/>
      <c r="BI555" s="8"/>
      <c r="BJ555" s="8"/>
      <c r="BK555" s="8"/>
      <c r="BL555" s="8"/>
      <c r="BM555" s="8"/>
      <c r="BN555" s="8"/>
      <c r="BO555" s="8"/>
      <c r="BP555" s="8"/>
      <c r="BQ555" s="8"/>
      <c r="BR555" s="8"/>
      <c r="BS555" s="8"/>
      <c r="BT555" s="8"/>
      <c r="BU555" s="8"/>
      <c r="BV555" s="8"/>
      <c r="BW555" s="8"/>
      <c r="BX555" s="8"/>
      <c r="BY555" s="8"/>
      <c r="BZ555" s="8"/>
      <c r="CA555" s="8"/>
      <c r="CB555" s="8"/>
      <c r="CC555" s="8"/>
      <c r="CD555" s="8"/>
      <c r="CE555" s="8"/>
      <c r="CF555" s="8"/>
      <c r="CG555" s="8"/>
      <c r="CH555" s="8"/>
      <c r="CI555" s="8"/>
      <c r="CJ555" s="8"/>
      <c r="CK555" s="8"/>
      <c r="CL555" s="8"/>
      <c r="CM555" s="8"/>
      <c r="CN555" s="8"/>
    </row>
    <row r="556" spans="7:92" x14ac:dyDescent="0.35">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c r="BL556" s="8"/>
      <c r="BM556" s="8"/>
      <c r="BN556" s="8"/>
      <c r="BO556" s="8"/>
      <c r="BP556" s="8"/>
      <c r="BQ556" s="8"/>
      <c r="BR556" s="8"/>
      <c r="BS556" s="8"/>
      <c r="BT556" s="8"/>
      <c r="BU556" s="8"/>
      <c r="BV556" s="8"/>
      <c r="BW556" s="8"/>
      <c r="BX556" s="8"/>
      <c r="BY556" s="8"/>
      <c r="BZ556" s="8"/>
      <c r="CA556" s="8"/>
      <c r="CB556" s="8"/>
      <c r="CC556" s="8"/>
      <c r="CD556" s="8"/>
      <c r="CE556" s="8"/>
      <c r="CF556" s="8"/>
      <c r="CG556" s="8"/>
      <c r="CH556" s="8"/>
      <c r="CI556" s="8"/>
      <c r="CJ556" s="8"/>
      <c r="CK556" s="8"/>
      <c r="CL556" s="8"/>
      <c r="CM556" s="8"/>
      <c r="CN556" s="8"/>
    </row>
    <row r="557" spans="7:92" x14ac:dyDescent="0.35">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c r="BL557" s="8"/>
      <c r="BM557" s="8"/>
      <c r="BN557" s="8"/>
      <c r="BO557" s="8"/>
      <c r="BP557" s="8"/>
      <c r="BQ557" s="8"/>
      <c r="BR557" s="8"/>
      <c r="BS557" s="8"/>
      <c r="BT557" s="8"/>
      <c r="BU557" s="8"/>
      <c r="BV557" s="8"/>
      <c r="BW557" s="8"/>
      <c r="BX557" s="8"/>
      <c r="BY557" s="8"/>
      <c r="BZ557" s="8"/>
      <c r="CA557" s="8"/>
      <c r="CB557" s="8"/>
      <c r="CC557" s="8"/>
      <c r="CD557" s="8"/>
      <c r="CE557" s="8"/>
      <c r="CF557" s="8"/>
      <c r="CG557" s="8"/>
      <c r="CH557" s="8"/>
      <c r="CI557" s="8"/>
      <c r="CJ557" s="8"/>
      <c r="CK557" s="8"/>
      <c r="CL557" s="8"/>
      <c r="CM557" s="8"/>
      <c r="CN557" s="8"/>
    </row>
    <row r="558" spans="7:92" x14ac:dyDescent="0.35">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c r="BL558" s="8"/>
      <c r="BM558" s="8"/>
      <c r="BN558" s="8"/>
      <c r="BO558" s="8"/>
      <c r="BP558" s="8"/>
      <c r="BQ558" s="8"/>
      <c r="BR558" s="8"/>
      <c r="BS558" s="8"/>
      <c r="BT558" s="8"/>
      <c r="BU558" s="8"/>
      <c r="BV558" s="8"/>
      <c r="BW558" s="8"/>
      <c r="BX558" s="8"/>
      <c r="BY558" s="8"/>
      <c r="BZ558" s="8"/>
      <c r="CA558" s="8"/>
      <c r="CB558" s="8"/>
      <c r="CC558" s="8"/>
      <c r="CD558" s="8"/>
      <c r="CE558" s="8"/>
      <c r="CF558" s="8"/>
      <c r="CG558" s="8"/>
      <c r="CH558" s="8"/>
      <c r="CI558" s="8"/>
      <c r="CJ558" s="8"/>
      <c r="CK558" s="8"/>
      <c r="CL558" s="8"/>
      <c r="CM558" s="8"/>
      <c r="CN558" s="8"/>
    </row>
    <row r="559" spans="7:92" x14ac:dyDescent="0.35">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c r="BJ559" s="8"/>
      <c r="BK559" s="8"/>
      <c r="BL559" s="8"/>
      <c r="BM559" s="8"/>
      <c r="BN559" s="8"/>
      <c r="BO559" s="8"/>
      <c r="BP559" s="8"/>
      <c r="BQ559" s="8"/>
      <c r="BR559" s="8"/>
      <c r="BS559" s="8"/>
      <c r="BT559" s="8"/>
      <c r="BU559" s="8"/>
      <c r="BV559" s="8"/>
      <c r="BW559" s="8"/>
      <c r="BX559" s="8"/>
      <c r="BY559" s="8"/>
      <c r="BZ559" s="8"/>
      <c r="CA559" s="8"/>
      <c r="CB559" s="8"/>
      <c r="CC559" s="8"/>
      <c r="CD559" s="8"/>
      <c r="CE559" s="8"/>
      <c r="CF559" s="8"/>
      <c r="CG559" s="8"/>
      <c r="CH559" s="8"/>
      <c r="CI559" s="8"/>
      <c r="CJ559" s="8"/>
      <c r="CK559" s="8"/>
      <c r="CL559" s="8"/>
      <c r="CM559" s="8"/>
      <c r="CN559" s="8"/>
    </row>
    <row r="560" spans="7:92" x14ac:dyDescent="0.35">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c r="BJ560" s="8"/>
      <c r="BK560" s="8"/>
      <c r="BL560" s="8"/>
      <c r="BM560" s="8"/>
      <c r="BN560" s="8"/>
      <c r="BO560" s="8"/>
      <c r="BP560" s="8"/>
      <c r="BQ560" s="8"/>
      <c r="BR560" s="8"/>
      <c r="BS560" s="8"/>
      <c r="BT560" s="8"/>
      <c r="BU560" s="8"/>
      <c r="BV560" s="8"/>
      <c r="BW560" s="8"/>
      <c r="BX560" s="8"/>
      <c r="BY560" s="8"/>
      <c r="BZ560" s="8"/>
      <c r="CA560" s="8"/>
      <c r="CB560" s="8"/>
      <c r="CC560" s="8"/>
      <c r="CD560" s="8"/>
      <c r="CE560" s="8"/>
      <c r="CF560" s="8"/>
      <c r="CG560" s="8"/>
      <c r="CH560" s="8"/>
      <c r="CI560" s="8"/>
      <c r="CJ560" s="8"/>
      <c r="CK560" s="8"/>
      <c r="CL560" s="8"/>
      <c r="CM560" s="8"/>
      <c r="CN560" s="8"/>
    </row>
    <row r="561" spans="7:92" x14ac:dyDescent="0.35">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c r="BL561" s="8"/>
      <c r="BM561" s="8"/>
      <c r="BN561" s="8"/>
      <c r="BO561" s="8"/>
      <c r="BP561" s="8"/>
      <c r="BQ561" s="8"/>
      <c r="BR561" s="8"/>
      <c r="BS561" s="8"/>
      <c r="BT561" s="8"/>
      <c r="BU561" s="8"/>
      <c r="BV561" s="8"/>
      <c r="BW561" s="8"/>
      <c r="BX561" s="8"/>
      <c r="BY561" s="8"/>
      <c r="BZ561" s="8"/>
      <c r="CA561" s="8"/>
      <c r="CB561" s="8"/>
      <c r="CC561" s="8"/>
      <c r="CD561" s="8"/>
      <c r="CE561" s="8"/>
      <c r="CF561" s="8"/>
      <c r="CG561" s="8"/>
      <c r="CH561" s="8"/>
      <c r="CI561" s="8"/>
      <c r="CJ561" s="8"/>
      <c r="CK561" s="8"/>
      <c r="CL561" s="8"/>
      <c r="CM561" s="8"/>
      <c r="CN561" s="8"/>
    </row>
    <row r="562" spans="7:92" x14ac:dyDescent="0.35">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c r="BG562" s="8"/>
      <c r="BH562" s="8"/>
      <c r="BI562" s="8"/>
      <c r="BJ562" s="8"/>
      <c r="BK562" s="8"/>
      <c r="BL562" s="8"/>
      <c r="BM562" s="8"/>
      <c r="BN562" s="8"/>
      <c r="BO562" s="8"/>
      <c r="BP562" s="8"/>
      <c r="BQ562" s="8"/>
      <c r="BR562" s="8"/>
      <c r="BS562" s="8"/>
      <c r="BT562" s="8"/>
      <c r="BU562" s="8"/>
      <c r="BV562" s="8"/>
      <c r="BW562" s="8"/>
      <c r="BX562" s="8"/>
      <c r="BY562" s="8"/>
      <c r="BZ562" s="8"/>
      <c r="CA562" s="8"/>
      <c r="CB562" s="8"/>
      <c r="CC562" s="8"/>
      <c r="CD562" s="8"/>
      <c r="CE562" s="8"/>
      <c r="CF562" s="8"/>
      <c r="CG562" s="8"/>
      <c r="CH562" s="8"/>
      <c r="CI562" s="8"/>
      <c r="CJ562" s="8"/>
      <c r="CK562" s="8"/>
      <c r="CL562" s="8"/>
      <c r="CM562" s="8"/>
      <c r="CN562" s="8"/>
    </row>
    <row r="563" spans="7:92" x14ac:dyDescent="0.35">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c r="BL563" s="8"/>
      <c r="BM563" s="8"/>
      <c r="BN563" s="8"/>
      <c r="BO563" s="8"/>
      <c r="BP563" s="8"/>
      <c r="BQ563" s="8"/>
      <c r="BR563" s="8"/>
      <c r="BS563" s="8"/>
      <c r="BT563" s="8"/>
      <c r="BU563" s="8"/>
      <c r="BV563" s="8"/>
      <c r="BW563" s="8"/>
      <c r="BX563" s="8"/>
      <c r="BY563" s="8"/>
      <c r="BZ563" s="8"/>
      <c r="CA563" s="8"/>
      <c r="CB563" s="8"/>
      <c r="CC563" s="8"/>
      <c r="CD563" s="8"/>
      <c r="CE563" s="8"/>
      <c r="CF563" s="8"/>
      <c r="CG563" s="8"/>
      <c r="CH563" s="8"/>
      <c r="CI563" s="8"/>
      <c r="CJ563" s="8"/>
      <c r="CK563" s="8"/>
      <c r="CL563" s="8"/>
      <c r="CM563" s="8"/>
      <c r="CN563" s="8"/>
    </row>
    <row r="564" spans="7:92" x14ac:dyDescent="0.35">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c r="BL564" s="8"/>
      <c r="BM564" s="8"/>
      <c r="BN564" s="8"/>
      <c r="BO564" s="8"/>
      <c r="BP564" s="8"/>
      <c r="BQ564" s="8"/>
      <c r="BR564" s="8"/>
      <c r="BS564" s="8"/>
      <c r="BT564" s="8"/>
      <c r="BU564" s="8"/>
      <c r="BV564" s="8"/>
      <c r="BW564" s="8"/>
      <c r="BX564" s="8"/>
      <c r="BY564" s="8"/>
      <c r="BZ564" s="8"/>
      <c r="CA564" s="8"/>
      <c r="CB564" s="8"/>
      <c r="CC564" s="8"/>
      <c r="CD564" s="8"/>
      <c r="CE564" s="8"/>
      <c r="CF564" s="8"/>
      <c r="CG564" s="8"/>
      <c r="CH564" s="8"/>
      <c r="CI564" s="8"/>
      <c r="CJ564" s="8"/>
      <c r="CK564" s="8"/>
      <c r="CL564" s="8"/>
      <c r="CM564" s="8"/>
      <c r="CN564" s="8"/>
    </row>
    <row r="565" spans="7:92" x14ac:dyDescent="0.35">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8"/>
      <c r="BM565" s="8"/>
      <c r="BN565" s="8"/>
      <c r="BO565" s="8"/>
      <c r="BP565" s="8"/>
      <c r="BQ565" s="8"/>
      <c r="BR565" s="8"/>
      <c r="BS565" s="8"/>
      <c r="BT565" s="8"/>
      <c r="BU565" s="8"/>
      <c r="BV565" s="8"/>
      <c r="BW565" s="8"/>
      <c r="BX565" s="8"/>
      <c r="BY565" s="8"/>
      <c r="BZ565" s="8"/>
      <c r="CA565" s="8"/>
      <c r="CB565" s="8"/>
      <c r="CC565" s="8"/>
      <c r="CD565" s="8"/>
      <c r="CE565" s="8"/>
      <c r="CF565" s="8"/>
      <c r="CG565" s="8"/>
      <c r="CH565" s="8"/>
      <c r="CI565" s="8"/>
      <c r="CJ565" s="8"/>
      <c r="CK565" s="8"/>
      <c r="CL565" s="8"/>
      <c r="CM565" s="8"/>
      <c r="CN565" s="8"/>
    </row>
    <row r="566" spans="7:92" x14ac:dyDescent="0.35">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8"/>
      <c r="BM566" s="8"/>
      <c r="BN566" s="8"/>
      <c r="BO566" s="8"/>
      <c r="BP566" s="8"/>
      <c r="BQ566" s="8"/>
      <c r="BR566" s="8"/>
      <c r="BS566" s="8"/>
      <c r="BT566" s="8"/>
      <c r="BU566" s="8"/>
      <c r="BV566" s="8"/>
      <c r="BW566" s="8"/>
      <c r="BX566" s="8"/>
      <c r="BY566" s="8"/>
      <c r="BZ566" s="8"/>
      <c r="CA566" s="8"/>
      <c r="CB566" s="8"/>
      <c r="CC566" s="8"/>
      <c r="CD566" s="8"/>
      <c r="CE566" s="8"/>
      <c r="CF566" s="8"/>
      <c r="CG566" s="8"/>
      <c r="CH566" s="8"/>
      <c r="CI566" s="8"/>
      <c r="CJ566" s="8"/>
      <c r="CK566" s="8"/>
      <c r="CL566" s="8"/>
      <c r="CM566" s="8"/>
      <c r="CN566" s="8"/>
    </row>
    <row r="567" spans="7:92" x14ac:dyDescent="0.35">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8"/>
      <c r="BM567" s="8"/>
      <c r="BN567" s="8"/>
      <c r="BO567" s="8"/>
      <c r="BP567" s="8"/>
      <c r="BQ567" s="8"/>
      <c r="BR567" s="8"/>
      <c r="BS567" s="8"/>
      <c r="BT567" s="8"/>
      <c r="BU567" s="8"/>
      <c r="BV567" s="8"/>
      <c r="BW567" s="8"/>
      <c r="BX567" s="8"/>
      <c r="BY567" s="8"/>
      <c r="BZ567" s="8"/>
      <c r="CA567" s="8"/>
      <c r="CB567" s="8"/>
      <c r="CC567" s="8"/>
      <c r="CD567" s="8"/>
      <c r="CE567" s="8"/>
      <c r="CF567" s="8"/>
      <c r="CG567" s="8"/>
      <c r="CH567" s="8"/>
      <c r="CI567" s="8"/>
      <c r="CJ567" s="8"/>
      <c r="CK567" s="8"/>
      <c r="CL567" s="8"/>
      <c r="CM567" s="8"/>
      <c r="CN567" s="8"/>
    </row>
    <row r="568" spans="7:92" x14ac:dyDescent="0.35">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c r="BL568" s="8"/>
      <c r="BM568" s="8"/>
      <c r="BN568" s="8"/>
      <c r="BO568" s="8"/>
      <c r="BP568" s="8"/>
      <c r="BQ568" s="8"/>
      <c r="BR568" s="8"/>
      <c r="BS568" s="8"/>
      <c r="BT568" s="8"/>
      <c r="BU568" s="8"/>
      <c r="BV568" s="8"/>
      <c r="BW568" s="8"/>
      <c r="BX568" s="8"/>
      <c r="BY568" s="8"/>
      <c r="BZ568" s="8"/>
      <c r="CA568" s="8"/>
      <c r="CB568" s="8"/>
      <c r="CC568" s="8"/>
      <c r="CD568" s="8"/>
      <c r="CE568" s="8"/>
      <c r="CF568" s="8"/>
      <c r="CG568" s="8"/>
      <c r="CH568" s="8"/>
      <c r="CI568" s="8"/>
      <c r="CJ568" s="8"/>
      <c r="CK568" s="8"/>
      <c r="CL568" s="8"/>
      <c r="CM568" s="8"/>
      <c r="CN568" s="8"/>
    </row>
    <row r="569" spans="7:92" x14ac:dyDescent="0.35">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c r="BN569" s="8"/>
      <c r="BO569" s="8"/>
      <c r="BP569" s="8"/>
      <c r="BQ569" s="8"/>
      <c r="BR569" s="8"/>
      <c r="BS569" s="8"/>
      <c r="BT569" s="8"/>
      <c r="BU569" s="8"/>
      <c r="BV569" s="8"/>
      <c r="BW569" s="8"/>
      <c r="BX569" s="8"/>
      <c r="BY569" s="8"/>
      <c r="BZ569" s="8"/>
      <c r="CA569" s="8"/>
      <c r="CB569" s="8"/>
      <c r="CC569" s="8"/>
      <c r="CD569" s="8"/>
      <c r="CE569" s="8"/>
      <c r="CF569" s="8"/>
      <c r="CG569" s="8"/>
      <c r="CH569" s="8"/>
      <c r="CI569" s="8"/>
      <c r="CJ569" s="8"/>
      <c r="CK569" s="8"/>
      <c r="CL569" s="8"/>
      <c r="CM569" s="8"/>
      <c r="CN569" s="8"/>
    </row>
    <row r="570" spans="7:92" x14ac:dyDescent="0.35">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8"/>
      <c r="BM570" s="8"/>
      <c r="BN570" s="8"/>
      <c r="BO570" s="8"/>
      <c r="BP570" s="8"/>
      <c r="BQ570" s="8"/>
      <c r="BR570" s="8"/>
      <c r="BS570" s="8"/>
      <c r="BT570" s="8"/>
      <c r="BU570" s="8"/>
      <c r="BV570" s="8"/>
      <c r="BW570" s="8"/>
      <c r="BX570" s="8"/>
      <c r="BY570" s="8"/>
      <c r="BZ570" s="8"/>
      <c r="CA570" s="8"/>
      <c r="CB570" s="8"/>
      <c r="CC570" s="8"/>
      <c r="CD570" s="8"/>
      <c r="CE570" s="8"/>
      <c r="CF570" s="8"/>
      <c r="CG570" s="8"/>
      <c r="CH570" s="8"/>
      <c r="CI570" s="8"/>
      <c r="CJ570" s="8"/>
      <c r="CK570" s="8"/>
      <c r="CL570" s="8"/>
      <c r="CM570" s="8"/>
      <c r="CN570" s="8"/>
    </row>
    <row r="571" spans="7:92" x14ac:dyDescent="0.35">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c r="BL571" s="8"/>
      <c r="BM571" s="8"/>
      <c r="BN571" s="8"/>
      <c r="BO571" s="8"/>
      <c r="BP571" s="8"/>
      <c r="BQ571" s="8"/>
      <c r="BR571" s="8"/>
      <c r="BS571" s="8"/>
      <c r="BT571" s="8"/>
      <c r="BU571" s="8"/>
      <c r="BV571" s="8"/>
      <c r="BW571" s="8"/>
      <c r="BX571" s="8"/>
      <c r="BY571" s="8"/>
      <c r="BZ571" s="8"/>
      <c r="CA571" s="8"/>
      <c r="CB571" s="8"/>
      <c r="CC571" s="8"/>
      <c r="CD571" s="8"/>
      <c r="CE571" s="8"/>
      <c r="CF571" s="8"/>
      <c r="CG571" s="8"/>
      <c r="CH571" s="8"/>
      <c r="CI571" s="8"/>
      <c r="CJ571" s="8"/>
      <c r="CK571" s="8"/>
      <c r="CL571" s="8"/>
      <c r="CM571" s="8"/>
      <c r="CN571" s="8"/>
    </row>
    <row r="572" spans="7:92" x14ac:dyDescent="0.35">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8"/>
      <c r="BM572" s="8"/>
      <c r="BN572" s="8"/>
      <c r="BO572" s="8"/>
      <c r="BP572" s="8"/>
      <c r="BQ572" s="8"/>
      <c r="BR572" s="8"/>
      <c r="BS572" s="8"/>
      <c r="BT572" s="8"/>
      <c r="BU572" s="8"/>
      <c r="BV572" s="8"/>
      <c r="BW572" s="8"/>
      <c r="BX572" s="8"/>
      <c r="BY572" s="8"/>
      <c r="BZ572" s="8"/>
      <c r="CA572" s="8"/>
      <c r="CB572" s="8"/>
      <c r="CC572" s="8"/>
      <c r="CD572" s="8"/>
      <c r="CE572" s="8"/>
      <c r="CF572" s="8"/>
      <c r="CG572" s="8"/>
      <c r="CH572" s="8"/>
      <c r="CI572" s="8"/>
      <c r="CJ572" s="8"/>
      <c r="CK572" s="8"/>
      <c r="CL572" s="8"/>
      <c r="CM572" s="8"/>
      <c r="CN572" s="8"/>
    </row>
    <row r="573" spans="7:92" x14ac:dyDescent="0.35">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8"/>
      <c r="BM573" s="8"/>
      <c r="BN573" s="8"/>
      <c r="BO573" s="8"/>
      <c r="BP573" s="8"/>
      <c r="BQ573" s="8"/>
      <c r="BR573" s="8"/>
      <c r="BS573" s="8"/>
      <c r="BT573" s="8"/>
      <c r="BU573" s="8"/>
      <c r="BV573" s="8"/>
      <c r="BW573" s="8"/>
      <c r="BX573" s="8"/>
      <c r="BY573" s="8"/>
      <c r="BZ573" s="8"/>
      <c r="CA573" s="8"/>
      <c r="CB573" s="8"/>
      <c r="CC573" s="8"/>
      <c r="CD573" s="8"/>
      <c r="CE573" s="8"/>
      <c r="CF573" s="8"/>
      <c r="CG573" s="8"/>
      <c r="CH573" s="8"/>
      <c r="CI573" s="8"/>
      <c r="CJ573" s="8"/>
      <c r="CK573" s="8"/>
      <c r="CL573" s="8"/>
      <c r="CM573" s="8"/>
      <c r="CN573" s="8"/>
    </row>
    <row r="574" spans="7:92" x14ac:dyDescent="0.35">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8"/>
      <c r="BM574" s="8"/>
      <c r="BN574" s="8"/>
      <c r="BO574" s="8"/>
      <c r="BP574" s="8"/>
      <c r="BQ574" s="8"/>
      <c r="BR574" s="8"/>
      <c r="BS574" s="8"/>
      <c r="BT574" s="8"/>
      <c r="BU574" s="8"/>
      <c r="BV574" s="8"/>
      <c r="BW574" s="8"/>
      <c r="BX574" s="8"/>
      <c r="BY574" s="8"/>
      <c r="BZ574" s="8"/>
      <c r="CA574" s="8"/>
      <c r="CB574" s="8"/>
      <c r="CC574" s="8"/>
      <c r="CD574" s="8"/>
      <c r="CE574" s="8"/>
      <c r="CF574" s="8"/>
      <c r="CG574" s="8"/>
      <c r="CH574" s="8"/>
      <c r="CI574" s="8"/>
      <c r="CJ574" s="8"/>
      <c r="CK574" s="8"/>
      <c r="CL574" s="8"/>
      <c r="CM574" s="8"/>
      <c r="CN574" s="8"/>
    </row>
    <row r="575" spans="7:92" x14ac:dyDescent="0.35">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8"/>
      <c r="BM575" s="8"/>
      <c r="BN575" s="8"/>
      <c r="BO575" s="8"/>
      <c r="BP575" s="8"/>
      <c r="BQ575" s="8"/>
      <c r="BR575" s="8"/>
      <c r="BS575" s="8"/>
      <c r="BT575" s="8"/>
      <c r="BU575" s="8"/>
      <c r="BV575" s="8"/>
      <c r="BW575" s="8"/>
      <c r="BX575" s="8"/>
      <c r="BY575" s="8"/>
      <c r="BZ575" s="8"/>
      <c r="CA575" s="8"/>
      <c r="CB575" s="8"/>
      <c r="CC575" s="8"/>
      <c r="CD575" s="8"/>
      <c r="CE575" s="8"/>
      <c r="CF575" s="8"/>
      <c r="CG575" s="8"/>
      <c r="CH575" s="8"/>
      <c r="CI575" s="8"/>
      <c r="CJ575" s="8"/>
      <c r="CK575" s="8"/>
      <c r="CL575" s="8"/>
      <c r="CM575" s="8"/>
      <c r="CN575" s="8"/>
    </row>
    <row r="576" spans="7:92" x14ac:dyDescent="0.35">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c r="BL576" s="8"/>
      <c r="BM576" s="8"/>
      <c r="BN576" s="8"/>
      <c r="BO576" s="8"/>
      <c r="BP576" s="8"/>
      <c r="BQ576" s="8"/>
      <c r="BR576" s="8"/>
      <c r="BS576" s="8"/>
      <c r="BT576" s="8"/>
      <c r="BU576" s="8"/>
      <c r="BV576" s="8"/>
      <c r="BW576" s="8"/>
      <c r="BX576" s="8"/>
      <c r="BY576" s="8"/>
      <c r="BZ576" s="8"/>
      <c r="CA576" s="8"/>
      <c r="CB576" s="8"/>
      <c r="CC576" s="8"/>
      <c r="CD576" s="8"/>
      <c r="CE576" s="8"/>
      <c r="CF576" s="8"/>
      <c r="CG576" s="8"/>
      <c r="CH576" s="8"/>
      <c r="CI576" s="8"/>
      <c r="CJ576" s="8"/>
      <c r="CK576" s="8"/>
      <c r="CL576" s="8"/>
      <c r="CM576" s="8"/>
      <c r="CN576" s="8"/>
    </row>
    <row r="577" spans="7:92" x14ac:dyDescent="0.35">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c r="BL577" s="8"/>
      <c r="BM577" s="8"/>
      <c r="BN577" s="8"/>
      <c r="BO577" s="8"/>
      <c r="BP577" s="8"/>
      <c r="BQ577" s="8"/>
      <c r="BR577" s="8"/>
      <c r="BS577" s="8"/>
      <c r="BT577" s="8"/>
      <c r="BU577" s="8"/>
      <c r="BV577" s="8"/>
      <c r="BW577" s="8"/>
      <c r="BX577" s="8"/>
      <c r="BY577" s="8"/>
      <c r="BZ577" s="8"/>
      <c r="CA577" s="8"/>
      <c r="CB577" s="8"/>
      <c r="CC577" s="8"/>
      <c r="CD577" s="8"/>
      <c r="CE577" s="8"/>
      <c r="CF577" s="8"/>
      <c r="CG577" s="8"/>
      <c r="CH577" s="8"/>
      <c r="CI577" s="8"/>
      <c r="CJ577" s="8"/>
      <c r="CK577" s="8"/>
      <c r="CL577" s="8"/>
      <c r="CM577" s="8"/>
      <c r="CN577" s="8"/>
    </row>
    <row r="578" spans="7:92" x14ac:dyDescent="0.35">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c r="BM578" s="8"/>
      <c r="BN578" s="8"/>
      <c r="BO578" s="8"/>
      <c r="BP578" s="8"/>
      <c r="BQ578" s="8"/>
      <c r="BR578" s="8"/>
      <c r="BS578" s="8"/>
      <c r="BT578" s="8"/>
      <c r="BU578" s="8"/>
      <c r="BV578" s="8"/>
      <c r="BW578" s="8"/>
      <c r="BX578" s="8"/>
      <c r="BY578" s="8"/>
      <c r="BZ578" s="8"/>
      <c r="CA578" s="8"/>
      <c r="CB578" s="8"/>
      <c r="CC578" s="8"/>
      <c r="CD578" s="8"/>
      <c r="CE578" s="8"/>
      <c r="CF578" s="8"/>
      <c r="CG578" s="8"/>
      <c r="CH578" s="8"/>
      <c r="CI578" s="8"/>
      <c r="CJ578" s="8"/>
      <c r="CK578" s="8"/>
      <c r="CL578" s="8"/>
      <c r="CM578" s="8"/>
      <c r="CN578" s="8"/>
    </row>
    <row r="579" spans="7:92" x14ac:dyDescent="0.35">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8"/>
      <c r="BM579" s="8"/>
      <c r="BN579" s="8"/>
      <c r="BO579" s="8"/>
      <c r="BP579" s="8"/>
      <c r="BQ579" s="8"/>
      <c r="BR579" s="8"/>
      <c r="BS579" s="8"/>
      <c r="BT579" s="8"/>
      <c r="BU579" s="8"/>
      <c r="BV579" s="8"/>
      <c r="BW579" s="8"/>
      <c r="BX579" s="8"/>
      <c r="BY579" s="8"/>
      <c r="BZ579" s="8"/>
      <c r="CA579" s="8"/>
      <c r="CB579" s="8"/>
      <c r="CC579" s="8"/>
      <c r="CD579" s="8"/>
      <c r="CE579" s="8"/>
      <c r="CF579" s="8"/>
      <c r="CG579" s="8"/>
      <c r="CH579" s="8"/>
      <c r="CI579" s="8"/>
      <c r="CJ579" s="8"/>
      <c r="CK579" s="8"/>
      <c r="CL579" s="8"/>
      <c r="CM579" s="8"/>
      <c r="CN579" s="8"/>
    </row>
    <row r="580" spans="7:92" x14ac:dyDescent="0.35">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8"/>
      <c r="BM580" s="8"/>
      <c r="BN580" s="8"/>
      <c r="BO580" s="8"/>
      <c r="BP580" s="8"/>
      <c r="BQ580" s="8"/>
      <c r="BR580" s="8"/>
      <c r="BS580" s="8"/>
      <c r="BT580" s="8"/>
      <c r="BU580" s="8"/>
      <c r="BV580" s="8"/>
      <c r="BW580" s="8"/>
      <c r="BX580" s="8"/>
      <c r="BY580" s="8"/>
      <c r="BZ580" s="8"/>
      <c r="CA580" s="8"/>
      <c r="CB580" s="8"/>
      <c r="CC580" s="8"/>
      <c r="CD580" s="8"/>
      <c r="CE580" s="8"/>
      <c r="CF580" s="8"/>
      <c r="CG580" s="8"/>
      <c r="CH580" s="8"/>
      <c r="CI580" s="8"/>
      <c r="CJ580" s="8"/>
      <c r="CK580" s="8"/>
      <c r="CL580" s="8"/>
      <c r="CM580" s="8"/>
      <c r="CN580" s="8"/>
    </row>
    <row r="581" spans="7:92" x14ac:dyDescent="0.35">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c r="BM581" s="8"/>
      <c r="BN581" s="8"/>
      <c r="BO581" s="8"/>
      <c r="BP581" s="8"/>
      <c r="BQ581" s="8"/>
      <c r="BR581" s="8"/>
      <c r="BS581" s="8"/>
      <c r="BT581" s="8"/>
      <c r="BU581" s="8"/>
      <c r="BV581" s="8"/>
      <c r="BW581" s="8"/>
      <c r="BX581" s="8"/>
      <c r="BY581" s="8"/>
      <c r="BZ581" s="8"/>
      <c r="CA581" s="8"/>
      <c r="CB581" s="8"/>
      <c r="CC581" s="8"/>
      <c r="CD581" s="8"/>
      <c r="CE581" s="8"/>
      <c r="CF581" s="8"/>
      <c r="CG581" s="8"/>
      <c r="CH581" s="8"/>
      <c r="CI581" s="8"/>
      <c r="CJ581" s="8"/>
      <c r="CK581" s="8"/>
      <c r="CL581" s="8"/>
      <c r="CM581" s="8"/>
      <c r="CN581" s="8"/>
    </row>
    <row r="582" spans="7:92" x14ac:dyDescent="0.35">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c r="BG582" s="8"/>
      <c r="BH582" s="8"/>
      <c r="BI582" s="8"/>
      <c r="BJ582" s="8"/>
      <c r="BK582" s="8"/>
      <c r="BL582" s="8"/>
      <c r="BM582" s="8"/>
      <c r="BN582" s="8"/>
      <c r="BO582" s="8"/>
      <c r="BP582" s="8"/>
      <c r="BQ582" s="8"/>
      <c r="BR582" s="8"/>
      <c r="BS582" s="8"/>
      <c r="BT582" s="8"/>
      <c r="BU582" s="8"/>
      <c r="BV582" s="8"/>
      <c r="BW582" s="8"/>
      <c r="BX582" s="8"/>
      <c r="BY582" s="8"/>
      <c r="BZ582" s="8"/>
      <c r="CA582" s="8"/>
      <c r="CB582" s="8"/>
      <c r="CC582" s="8"/>
      <c r="CD582" s="8"/>
      <c r="CE582" s="8"/>
      <c r="CF582" s="8"/>
      <c r="CG582" s="8"/>
      <c r="CH582" s="8"/>
      <c r="CI582" s="8"/>
      <c r="CJ582" s="8"/>
      <c r="CK582" s="8"/>
      <c r="CL582" s="8"/>
      <c r="CM582" s="8"/>
      <c r="CN582" s="8"/>
    </row>
    <row r="583" spans="7:92" x14ac:dyDescent="0.35">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c r="BL583" s="8"/>
      <c r="BM583" s="8"/>
      <c r="BN583" s="8"/>
      <c r="BO583" s="8"/>
      <c r="BP583" s="8"/>
      <c r="BQ583" s="8"/>
      <c r="BR583" s="8"/>
      <c r="BS583" s="8"/>
      <c r="BT583" s="8"/>
      <c r="BU583" s="8"/>
      <c r="BV583" s="8"/>
      <c r="BW583" s="8"/>
      <c r="BX583" s="8"/>
      <c r="BY583" s="8"/>
      <c r="BZ583" s="8"/>
      <c r="CA583" s="8"/>
      <c r="CB583" s="8"/>
      <c r="CC583" s="8"/>
      <c r="CD583" s="8"/>
      <c r="CE583" s="8"/>
      <c r="CF583" s="8"/>
      <c r="CG583" s="8"/>
      <c r="CH583" s="8"/>
      <c r="CI583" s="8"/>
      <c r="CJ583" s="8"/>
      <c r="CK583" s="8"/>
      <c r="CL583" s="8"/>
      <c r="CM583" s="8"/>
      <c r="CN583" s="8"/>
    </row>
    <row r="584" spans="7:92" x14ac:dyDescent="0.35">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8"/>
      <c r="BM584" s="8"/>
      <c r="BN584" s="8"/>
      <c r="BO584" s="8"/>
      <c r="BP584" s="8"/>
      <c r="BQ584" s="8"/>
      <c r="BR584" s="8"/>
      <c r="BS584" s="8"/>
      <c r="BT584" s="8"/>
      <c r="BU584" s="8"/>
      <c r="BV584" s="8"/>
      <c r="BW584" s="8"/>
      <c r="BX584" s="8"/>
      <c r="BY584" s="8"/>
      <c r="BZ584" s="8"/>
      <c r="CA584" s="8"/>
      <c r="CB584" s="8"/>
      <c r="CC584" s="8"/>
      <c r="CD584" s="8"/>
      <c r="CE584" s="8"/>
      <c r="CF584" s="8"/>
      <c r="CG584" s="8"/>
      <c r="CH584" s="8"/>
      <c r="CI584" s="8"/>
      <c r="CJ584" s="8"/>
      <c r="CK584" s="8"/>
      <c r="CL584" s="8"/>
      <c r="CM584" s="8"/>
      <c r="CN584" s="8"/>
    </row>
    <row r="585" spans="7:92" x14ac:dyDescent="0.35">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8"/>
      <c r="BM585" s="8"/>
      <c r="BN585" s="8"/>
      <c r="BO585" s="8"/>
      <c r="BP585" s="8"/>
      <c r="BQ585" s="8"/>
      <c r="BR585" s="8"/>
      <c r="BS585" s="8"/>
      <c r="BT585" s="8"/>
      <c r="BU585" s="8"/>
      <c r="BV585" s="8"/>
      <c r="BW585" s="8"/>
      <c r="BX585" s="8"/>
      <c r="BY585" s="8"/>
      <c r="BZ585" s="8"/>
      <c r="CA585" s="8"/>
      <c r="CB585" s="8"/>
      <c r="CC585" s="8"/>
      <c r="CD585" s="8"/>
      <c r="CE585" s="8"/>
      <c r="CF585" s="8"/>
      <c r="CG585" s="8"/>
      <c r="CH585" s="8"/>
      <c r="CI585" s="8"/>
      <c r="CJ585" s="8"/>
      <c r="CK585" s="8"/>
      <c r="CL585" s="8"/>
      <c r="CM585" s="8"/>
      <c r="CN585" s="8"/>
    </row>
    <row r="586" spans="7:92" x14ac:dyDescent="0.35">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8"/>
      <c r="BM586" s="8"/>
      <c r="BN586" s="8"/>
      <c r="BO586" s="8"/>
      <c r="BP586" s="8"/>
      <c r="BQ586" s="8"/>
      <c r="BR586" s="8"/>
      <c r="BS586" s="8"/>
      <c r="BT586" s="8"/>
      <c r="BU586" s="8"/>
      <c r="BV586" s="8"/>
      <c r="BW586" s="8"/>
      <c r="BX586" s="8"/>
      <c r="BY586" s="8"/>
      <c r="BZ586" s="8"/>
      <c r="CA586" s="8"/>
      <c r="CB586" s="8"/>
      <c r="CC586" s="8"/>
      <c r="CD586" s="8"/>
      <c r="CE586" s="8"/>
      <c r="CF586" s="8"/>
      <c r="CG586" s="8"/>
      <c r="CH586" s="8"/>
      <c r="CI586" s="8"/>
      <c r="CJ586" s="8"/>
      <c r="CK586" s="8"/>
      <c r="CL586" s="8"/>
      <c r="CM586" s="8"/>
      <c r="CN586" s="8"/>
    </row>
    <row r="587" spans="7:92" x14ac:dyDescent="0.35">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8"/>
      <c r="BM587" s="8"/>
      <c r="BN587" s="8"/>
      <c r="BO587" s="8"/>
      <c r="BP587" s="8"/>
      <c r="BQ587" s="8"/>
      <c r="BR587" s="8"/>
      <c r="BS587" s="8"/>
      <c r="BT587" s="8"/>
      <c r="BU587" s="8"/>
      <c r="BV587" s="8"/>
      <c r="BW587" s="8"/>
      <c r="BX587" s="8"/>
      <c r="BY587" s="8"/>
      <c r="BZ587" s="8"/>
      <c r="CA587" s="8"/>
      <c r="CB587" s="8"/>
      <c r="CC587" s="8"/>
      <c r="CD587" s="8"/>
      <c r="CE587" s="8"/>
      <c r="CF587" s="8"/>
      <c r="CG587" s="8"/>
      <c r="CH587" s="8"/>
      <c r="CI587" s="8"/>
      <c r="CJ587" s="8"/>
      <c r="CK587" s="8"/>
      <c r="CL587" s="8"/>
      <c r="CM587" s="8"/>
      <c r="CN587" s="8"/>
    </row>
    <row r="588" spans="7:92" x14ac:dyDescent="0.35">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8"/>
      <c r="BM588" s="8"/>
      <c r="BN588" s="8"/>
      <c r="BO588" s="8"/>
      <c r="BP588" s="8"/>
      <c r="BQ588" s="8"/>
      <c r="BR588" s="8"/>
      <c r="BS588" s="8"/>
      <c r="BT588" s="8"/>
      <c r="BU588" s="8"/>
      <c r="BV588" s="8"/>
      <c r="BW588" s="8"/>
      <c r="BX588" s="8"/>
      <c r="BY588" s="8"/>
      <c r="BZ588" s="8"/>
      <c r="CA588" s="8"/>
      <c r="CB588" s="8"/>
      <c r="CC588" s="8"/>
      <c r="CD588" s="8"/>
      <c r="CE588" s="8"/>
      <c r="CF588" s="8"/>
      <c r="CG588" s="8"/>
      <c r="CH588" s="8"/>
      <c r="CI588" s="8"/>
      <c r="CJ588" s="8"/>
      <c r="CK588" s="8"/>
      <c r="CL588" s="8"/>
      <c r="CM588" s="8"/>
      <c r="CN588" s="8"/>
    </row>
    <row r="589" spans="7:92" x14ac:dyDescent="0.35">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8"/>
      <c r="BM589" s="8"/>
      <c r="BN589" s="8"/>
      <c r="BO589" s="8"/>
      <c r="BP589" s="8"/>
      <c r="BQ589" s="8"/>
      <c r="BR589" s="8"/>
      <c r="BS589" s="8"/>
      <c r="BT589" s="8"/>
      <c r="BU589" s="8"/>
      <c r="BV589" s="8"/>
      <c r="BW589" s="8"/>
      <c r="BX589" s="8"/>
      <c r="BY589" s="8"/>
      <c r="BZ589" s="8"/>
      <c r="CA589" s="8"/>
      <c r="CB589" s="8"/>
      <c r="CC589" s="8"/>
      <c r="CD589" s="8"/>
      <c r="CE589" s="8"/>
      <c r="CF589" s="8"/>
      <c r="CG589" s="8"/>
      <c r="CH589" s="8"/>
      <c r="CI589" s="8"/>
      <c r="CJ589" s="8"/>
      <c r="CK589" s="8"/>
      <c r="CL589" s="8"/>
      <c r="CM589" s="8"/>
      <c r="CN589" s="8"/>
    </row>
    <row r="590" spans="7:92" x14ac:dyDescent="0.35">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c r="BL590" s="8"/>
      <c r="BM590" s="8"/>
      <c r="BN590" s="8"/>
      <c r="BO590" s="8"/>
      <c r="BP590" s="8"/>
      <c r="BQ590" s="8"/>
      <c r="BR590" s="8"/>
      <c r="BS590" s="8"/>
      <c r="BT590" s="8"/>
      <c r="BU590" s="8"/>
      <c r="BV590" s="8"/>
      <c r="BW590" s="8"/>
      <c r="BX590" s="8"/>
      <c r="BY590" s="8"/>
      <c r="BZ590" s="8"/>
      <c r="CA590" s="8"/>
      <c r="CB590" s="8"/>
      <c r="CC590" s="8"/>
      <c r="CD590" s="8"/>
      <c r="CE590" s="8"/>
      <c r="CF590" s="8"/>
      <c r="CG590" s="8"/>
      <c r="CH590" s="8"/>
      <c r="CI590" s="8"/>
      <c r="CJ590" s="8"/>
      <c r="CK590" s="8"/>
      <c r="CL590" s="8"/>
      <c r="CM590" s="8"/>
      <c r="CN590" s="8"/>
    </row>
    <row r="591" spans="7:92" x14ac:dyDescent="0.35">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8"/>
      <c r="BM591" s="8"/>
      <c r="BN591" s="8"/>
      <c r="BO591" s="8"/>
      <c r="BP591" s="8"/>
      <c r="BQ591" s="8"/>
      <c r="BR591" s="8"/>
      <c r="BS591" s="8"/>
      <c r="BT591" s="8"/>
      <c r="BU591" s="8"/>
      <c r="BV591" s="8"/>
      <c r="BW591" s="8"/>
      <c r="BX591" s="8"/>
      <c r="BY591" s="8"/>
      <c r="BZ591" s="8"/>
      <c r="CA591" s="8"/>
      <c r="CB591" s="8"/>
      <c r="CC591" s="8"/>
      <c r="CD591" s="8"/>
      <c r="CE591" s="8"/>
      <c r="CF591" s="8"/>
      <c r="CG591" s="8"/>
      <c r="CH591" s="8"/>
      <c r="CI591" s="8"/>
      <c r="CJ591" s="8"/>
      <c r="CK591" s="8"/>
      <c r="CL591" s="8"/>
      <c r="CM591" s="8"/>
      <c r="CN591" s="8"/>
    </row>
    <row r="592" spans="7:92" x14ac:dyDescent="0.35">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c r="BG592" s="8"/>
      <c r="BH592" s="8"/>
      <c r="BI592" s="8"/>
      <c r="BJ592" s="8"/>
      <c r="BK592" s="8"/>
      <c r="BL592" s="8"/>
      <c r="BM592" s="8"/>
      <c r="BN592" s="8"/>
      <c r="BO592" s="8"/>
      <c r="BP592" s="8"/>
      <c r="BQ592" s="8"/>
      <c r="BR592" s="8"/>
      <c r="BS592" s="8"/>
      <c r="BT592" s="8"/>
      <c r="BU592" s="8"/>
      <c r="BV592" s="8"/>
      <c r="BW592" s="8"/>
      <c r="BX592" s="8"/>
      <c r="BY592" s="8"/>
      <c r="BZ592" s="8"/>
      <c r="CA592" s="8"/>
      <c r="CB592" s="8"/>
      <c r="CC592" s="8"/>
      <c r="CD592" s="8"/>
      <c r="CE592" s="8"/>
      <c r="CF592" s="8"/>
      <c r="CG592" s="8"/>
      <c r="CH592" s="8"/>
      <c r="CI592" s="8"/>
      <c r="CJ592" s="8"/>
      <c r="CK592" s="8"/>
      <c r="CL592" s="8"/>
      <c r="CM592" s="8"/>
      <c r="CN592" s="8"/>
    </row>
    <row r="593" spans="7:92" x14ac:dyDescent="0.35">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c r="BJ593" s="8"/>
      <c r="BK593" s="8"/>
      <c r="BL593" s="8"/>
      <c r="BM593" s="8"/>
      <c r="BN593" s="8"/>
      <c r="BO593" s="8"/>
      <c r="BP593" s="8"/>
      <c r="BQ593" s="8"/>
      <c r="BR593" s="8"/>
      <c r="BS593" s="8"/>
      <c r="BT593" s="8"/>
      <c r="BU593" s="8"/>
      <c r="BV593" s="8"/>
      <c r="BW593" s="8"/>
      <c r="BX593" s="8"/>
      <c r="BY593" s="8"/>
      <c r="BZ593" s="8"/>
      <c r="CA593" s="8"/>
      <c r="CB593" s="8"/>
      <c r="CC593" s="8"/>
      <c r="CD593" s="8"/>
      <c r="CE593" s="8"/>
      <c r="CF593" s="8"/>
      <c r="CG593" s="8"/>
      <c r="CH593" s="8"/>
      <c r="CI593" s="8"/>
      <c r="CJ593" s="8"/>
      <c r="CK593" s="8"/>
      <c r="CL593" s="8"/>
      <c r="CM593" s="8"/>
      <c r="CN593" s="8"/>
    </row>
    <row r="594" spans="7:92" x14ac:dyDescent="0.35">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c r="BL594" s="8"/>
      <c r="BM594" s="8"/>
      <c r="BN594" s="8"/>
      <c r="BO594" s="8"/>
      <c r="BP594" s="8"/>
      <c r="BQ594" s="8"/>
      <c r="BR594" s="8"/>
      <c r="BS594" s="8"/>
      <c r="BT594" s="8"/>
      <c r="BU594" s="8"/>
      <c r="BV594" s="8"/>
      <c r="BW594" s="8"/>
      <c r="BX594" s="8"/>
      <c r="BY594" s="8"/>
      <c r="BZ594" s="8"/>
      <c r="CA594" s="8"/>
      <c r="CB594" s="8"/>
      <c r="CC594" s="8"/>
      <c r="CD594" s="8"/>
      <c r="CE594" s="8"/>
      <c r="CF594" s="8"/>
      <c r="CG594" s="8"/>
      <c r="CH594" s="8"/>
      <c r="CI594" s="8"/>
      <c r="CJ594" s="8"/>
      <c r="CK594" s="8"/>
      <c r="CL594" s="8"/>
      <c r="CM594" s="8"/>
      <c r="CN594" s="8"/>
    </row>
    <row r="595" spans="7:92" x14ac:dyDescent="0.35">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8"/>
      <c r="BM595" s="8"/>
      <c r="BN595" s="8"/>
      <c r="BO595" s="8"/>
      <c r="BP595" s="8"/>
      <c r="BQ595" s="8"/>
      <c r="BR595" s="8"/>
      <c r="BS595" s="8"/>
      <c r="BT595" s="8"/>
      <c r="BU595" s="8"/>
      <c r="BV595" s="8"/>
      <c r="BW595" s="8"/>
      <c r="BX595" s="8"/>
      <c r="BY595" s="8"/>
      <c r="BZ595" s="8"/>
      <c r="CA595" s="8"/>
      <c r="CB595" s="8"/>
      <c r="CC595" s="8"/>
      <c r="CD595" s="8"/>
      <c r="CE595" s="8"/>
      <c r="CF595" s="8"/>
      <c r="CG595" s="8"/>
      <c r="CH595" s="8"/>
      <c r="CI595" s="8"/>
      <c r="CJ595" s="8"/>
      <c r="CK595" s="8"/>
      <c r="CL595" s="8"/>
      <c r="CM595" s="8"/>
      <c r="CN595" s="8"/>
    </row>
    <row r="596" spans="7:92" x14ac:dyDescent="0.35">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8"/>
      <c r="BM596" s="8"/>
      <c r="BN596" s="8"/>
      <c r="BO596" s="8"/>
      <c r="BP596" s="8"/>
      <c r="BQ596" s="8"/>
      <c r="BR596" s="8"/>
      <c r="BS596" s="8"/>
      <c r="BT596" s="8"/>
      <c r="BU596" s="8"/>
      <c r="BV596" s="8"/>
      <c r="BW596" s="8"/>
      <c r="BX596" s="8"/>
      <c r="BY596" s="8"/>
      <c r="BZ596" s="8"/>
      <c r="CA596" s="8"/>
      <c r="CB596" s="8"/>
      <c r="CC596" s="8"/>
      <c r="CD596" s="8"/>
      <c r="CE596" s="8"/>
      <c r="CF596" s="8"/>
      <c r="CG596" s="8"/>
      <c r="CH596" s="8"/>
      <c r="CI596" s="8"/>
      <c r="CJ596" s="8"/>
      <c r="CK596" s="8"/>
      <c r="CL596" s="8"/>
      <c r="CM596" s="8"/>
      <c r="CN596" s="8"/>
    </row>
    <row r="597" spans="7:92" x14ac:dyDescent="0.35">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8"/>
      <c r="BM597" s="8"/>
      <c r="BN597" s="8"/>
      <c r="BO597" s="8"/>
      <c r="BP597" s="8"/>
      <c r="BQ597" s="8"/>
      <c r="BR597" s="8"/>
      <c r="BS597" s="8"/>
      <c r="BT597" s="8"/>
      <c r="BU597" s="8"/>
      <c r="BV597" s="8"/>
      <c r="BW597" s="8"/>
      <c r="BX597" s="8"/>
      <c r="BY597" s="8"/>
      <c r="BZ597" s="8"/>
      <c r="CA597" s="8"/>
      <c r="CB597" s="8"/>
      <c r="CC597" s="8"/>
      <c r="CD597" s="8"/>
      <c r="CE597" s="8"/>
      <c r="CF597" s="8"/>
      <c r="CG597" s="8"/>
      <c r="CH597" s="8"/>
      <c r="CI597" s="8"/>
      <c r="CJ597" s="8"/>
      <c r="CK597" s="8"/>
      <c r="CL597" s="8"/>
      <c r="CM597" s="8"/>
      <c r="CN597" s="8"/>
    </row>
    <row r="598" spans="7:92" x14ac:dyDescent="0.35">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8"/>
      <c r="BM598" s="8"/>
      <c r="BN598" s="8"/>
      <c r="BO598" s="8"/>
      <c r="BP598" s="8"/>
      <c r="BQ598" s="8"/>
      <c r="BR598" s="8"/>
      <c r="BS598" s="8"/>
      <c r="BT598" s="8"/>
      <c r="BU598" s="8"/>
      <c r="BV598" s="8"/>
      <c r="BW598" s="8"/>
      <c r="BX598" s="8"/>
      <c r="BY598" s="8"/>
      <c r="BZ598" s="8"/>
      <c r="CA598" s="8"/>
      <c r="CB598" s="8"/>
      <c r="CC598" s="8"/>
      <c r="CD598" s="8"/>
      <c r="CE598" s="8"/>
      <c r="CF598" s="8"/>
      <c r="CG598" s="8"/>
      <c r="CH598" s="8"/>
      <c r="CI598" s="8"/>
      <c r="CJ598" s="8"/>
      <c r="CK598" s="8"/>
      <c r="CL598" s="8"/>
      <c r="CM598" s="8"/>
      <c r="CN598" s="8"/>
    </row>
    <row r="599" spans="7:92" x14ac:dyDescent="0.35">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8"/>
      <c r="BM599" s="8"/>
      <c r="BN599" s="8"/>
      <c r="BO599" s="8"/>
      <c r="BP599" s="8"/>
      <c r="BQ599" s="8"/>
      <c r="BR599" s="8"/>
      <c r="BS599" s="8"/>
      <c r="BT599" s="8"/>
      <c r="BU599" s="8"/>
      <c r="BV599" s="8"/>
      <c r="BW599" s="8"/>
      <c r="BX599" s="8"/>
      <c r="BY599" s="8"/>
      <c r="BZ599" s="8"/>
      <c r="CA599" s="8"/>
      <c r="CB599" s="8"/>
      <c r="CC599" s="8"/>
      <c r="CD599" s="8"/>
      <c r="CE599" s="8"/>
      <c r="CF599" s="8"/>
      <c r="CG599" s="8"/>
      <c r="CH599" s="8"/>
      <c r="CI599" s="8"/>
      <c r="CJ599" s="8"/>
      <c r="CK599" s="8"/>
      <c r="CL599" s="8"/>
      <c r="CM599" s="8"/>
      <c r="CN599" s="8"/>
    </row>
    <row r="600" spans="7:92" x14ac:dyDescent="0.35">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8"/>
      <c r="BM600" s="8"/>
      <c r="BN600" s="8"/>
      <c r="BO600" s="8"/>
      <c r="BP600" s="8"/>
      <c r="BQ600" s="8"/>
      <c r="BR600" s="8"/>
      <c r="BS600" s="8"/>
      <c r="BT600" s="8"/>
      <c r="BU600" s="8"/>
      <c r="BV600" s="8"/>
      <c r="BW600" s="8"/>
      <c r="BX600" s="8"/>
      <c r="BY600" s="8"/>
      <c r="BZ600" s="8"/>
      <c r="CA600" s="8"/>
      <c r="CB600" s="8"/>
      <c r="CC600" s="8"/>
      <c r="CD600" s="8"/>
      <c r="CE600" s="8"/>
      <c r="CF600" s="8"/>
      <c r="CG600" s="8"/>
      <c r="CH600" s="8"/>
      <c r="CI600" s="8"/>
      <c r="CJ600" s="8"/>
      <c r="CK600" s="8"/>
      <c r="CL600" s="8"/>
      <c r="CM600" s="8"/>
      <c r="CN600" s="8"/>
    </row>
    <row r="601" spans="7:92" x14ac:dyDescent="0.35">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c r="BL601" s="8"/>
      <c r="BM601" s="8"/>
      <c r="BN601" s="8"/>
      <c r="BO601" s="8"/>
      <c r="BP601" s="8"/>
      <c r="BQ601" s="8"/>
      <c r="BR601" s="8"/>
      <c r="BS601" s="8"/>
      <c r="BT601" s="8"/>
      <c r="BU601" s="8"/>
      <c r="BV601" s="8"/>
      <c r="BW601" s="8"/>
      <c r="BX601" s="8"/>
      <c r="BY601" s="8"/>
      <c r="BZ601" s="8"/>
      <c r="CA601" s="8"/>
      <c r="CB601" s="8"/>
      <c r="CC601" s="8"/>
      <c r="CD601" s="8"/>
      <c r="CE601" s="8"/>
      <c r="CF601" s="8"/>
      <c r="CG601" s="8"/>
      <c r="CH601" s="8"/>
      <c r="CI601" s="8"/>
      <c r="CJ601" s="8"/>
      <c r="CK601" s="8"/>
      <c r="CL601" s="8"/>
      <c r="CM601" s="8"/>
      <c r="CN601" s="8"/>
    </row>
    <row r="602" spans="7:92" x14ac:dyDescent="0.35">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c r="BL602" s="8"/>
      <c r="BM602" s="8"/>
      <c r="BN602" s="8"/>
      <c r="BO602" s="8"/>
      <c r="BP602" s="8"/>
      <c r="BQ602" s="8"/>
      <c r="BR602" s="8"/>
      <c r="BS602" s="8"/>
      <c r="BT602" s="8"/>
      <c r="BU602" s="8"/>
      <c r="BV602" s="8"/>
      <c r="BW602" s="8"/>
      <c r="BX602" s="8"/>
      <c r="BY602" s="8"/>
      <c r="BZ602" s="8"/>
      <c r="CA602" s="8"/>
      <c r="CB602" s="8"/>
      <c r="CC602" s="8"/>
      <c r="CD602" s="8"/>
      <c r="CE602" s="8"/>
      <c r="CF602" s="8"/>
      <c r="CG602" s="8"/>
      <c r="CH602" s="8"/>
      <c r="CI602" s="8"/>
      <c r="CJ602" s="8"/>
      <c r="CK602" s="8"/>
      <c r="CL602" s="8"/>
      <c r="CM602" s="8"/>
      <c r="CN602" s="8"/>
    </row>
    <row r="603" spans="7:92" x14ac:dyDescent="0.35">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c r="BL603" s="8"/>
      <c r="BM603" s="8"/>
      <c r="BN603" s="8"/>
      <c r="BO603" s="8"/>
      <c r="BP603" s="8"/>
      <c r="BQ603" s="8"/>
      <c r="BR603" s="8"/>
      <c r="BS603" s="8"/>
      <c r="BT603" s="8"/>
      <c r="BU603" s="8"/>
      <c r="BV603" s="8"/>
      <c r="BW603" s="8"/>
      <c r="BX603" s="8"/>
      <c r="BY603" s="8"/>
      <c r="BZ603" s="8"/>
      <c r="CA603" s="8"/>
      <c r="CB603" s="8"/>
      <c r="CC603" s="8"/>
      <c r="CD603" s="8"/>
      <c r="CE603" s="8"/>
      <c r="CF603" s="8"/>
      <c r="CG603" s="8"/>
      <c r="CH603" s="8"/>
      <c r="CI603" s="8"/>
      <c r="CJ603" s="8"/>
      <c r="CK603" s="8"/>
      <c r="CL603" s="8"/>
      <c r="CM603" s="8"/>
      <c r="CN603" s="8"/>
    </row>
    <row r="604" spans="7:92" x14ac:dyDescent="0.35">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c r="BL604" s="8"/>
      <c r="BM604" s="8"/>
      <c r="BN604" s="8"/>
      <c r="BO604" s="8"/>
      <c r="BP604" s="8"/>
      <c r="BQ604" s="8"/>
      <c r="BR604" s="8"/>
      <c r="BS604" s="8"/>
      <c r="BT604" s="8"/>
      <c r="BU604" s="8"/>
      <c r="BV604" s="8"/>
      <c r="BW604" s="8"/>
      <c r="BX604" s="8"/>
      <c r="BY604" s="8"/>
      <c r="BZ604" s="8"/>
      <c r="CA604" s="8"/>
      <c r="CB604" s="8"/>
      <c r="CC604" s="8"/>
      <c r="CD604" s="8"/>
      <c r="CE604" s="8"/>
      <c r="CF604" s="8"/>
      <c r="CG604" s="8"/>
      <c r="CH604" s="8"/>
      <c r="CI604" s="8"/>
      <c r="CJ604" s="8"/>
      <c r="CK604" s="8"/>
      <c r="CL604" s="8"/>
      <c r="CM604" s="8"/>
      <c r="CN604" s="8"/>
    </row>
    <row r="605" spans="7:92" x14ac:dyDescent="0.35">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c r="BJ605" s="8"/>
      <c r="BK605" s="8"/>
      <c r="BL605" s="8"/>
      <c r="BM605" s="8"/>
      <c r="BN605" s="8"/>
      <c r="BO605" s="8"/>
      <c r="BP605" s="8"/>
      <c r="BQ605" s="8"/>
      <c r="BR605" s="8"/>
      <c r="BS605" s="8"/>
      <c r="BT605" s="8"/>
      <c r="BU605" s="8"/>
      <c r="BV605" s="8"/>
      <c r="BW605" s="8"/>
      <c r="BX605" s="8"/>
      <c r="BY605" s="8"/>
      <c r="BZ605" s="8"/>
      <c r="CA605" s="8"/>
      <c r="CB605" s="8"/>
      <c r="CC605" s="8"/>
      <c r="CD605" s="8"/>
      <c r="CE605" s="8"/>
      <c r="CF605" s="8"/>
      <c r="CG605" s="8"/>
      <c r="CH605" s="8"/>
      <c r="CI605" s="8"/>
      <c r="CJ605" s="8"/>
      <c r="CK605" s="8"/>
      <c r="CL605" s="8"/>
      <c r="CM605" s="8"/>
      <c r="CN605" s="8"/>
    </row>
    <row r="606" spans="7:92" x14ac:dyDescent="0.35">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c r="BJ606" s="8"/>
      <c r="BK606" s="8"/>
      <c r="BL606" s="8"/>
      <c r="BM606" s="8"/>
      <c r="BN606" s="8"/>
      <c r="BO606" s="8"/>
      <c r="BP606" s="8"/>
      <c r="BQ606" s="8"/>
      <c r="BR606" s="8"/>
      <c r="BS606" s="8"/>
      <c r="BT606" s="8"/>
      <c r="BU606" s="8"/>
      <c r="BV606" s="8"/>
      <c r="BW606" s="8"/>
      <c r="BX606" s="8"/>
      <c r="BY606" s="8"/>
      <c r="BZ606" s="8"/>
      <c r="CA606" s="8"/>
      <c r="CB606" s="8"/>
      <c r="CC606" s="8"/>
      <c r="CD606" s="8"/>
      <c r="CE606" s="8"/>
      <c r="CF606" s="8"/>
      <c r="CG606" s="8"/>
      <c r="CH606" s="8"/>
      <c r="CI606" s="8"/>
      <c r="CJ606" s="8"/>
      <c r="CK606" s="8"/>
      <c r="CL606" s="8"/>
      <c r="CM606" s="8"/>
      <c r="CN606" s="8"/>
    </row>
    <row r="607" spans="7:92" x14ac:dyDescent="0.35">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c r="BJ607" s="8"/>
      <c r="BK607" s="8"/>
      <c r="BL607" s="8"/>
      <c r="BM607" s="8"/>
      <c r="BN607" s="8"/>
      <c r="BO607" s="8"/>
      <c r="BP607" s="8"/>
      <c r="BQ607" s="8"/>
      <c r="BR607" s="8"/>
      <c r="BS607" s="8"/>
      <c r="BT607" s="8"/>
      <c r="BU607" s="8"/>
      <c r="BV607" s="8"/>
      <c r="BW607" s="8"/>
      <c r="BX607" s="8"/>
      <c r="BY607" s="8"/>
      <c r="BZ607" s="8"/>
      <c r="CA607" s="8"/>
      <c r="CB607" s="8"/>
      <c r="CC607" s="8"/>
      <c r="CD607" s="8"/>
      <c r="CE607" s="8"/>
      <c r="CF607" s="8"/>
      <c r="CG607" s="8"/>
      <c r="CH607" s="8"/>
      <c r="CI607" s="8"/>
      <c r="CJ607" s="8"/>
      <c r="CK607" s="8"/>
      <c r="CL607" s="8"/>
      <c r="CM607" s="8"/>
      <c r="CN607" s="8"/>
    </row>
    <row r="608" spans="7:92" x14ac:dyDescent="0.35">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c r="BG608" s="8"/>
      <c r="BH608" s="8"/>
      <c r="BI608" s="8"/>
      <c r="BJ608" s="8"/>
      <c r="BK608" s="8"/>
      <c r="BL608" s="8"/>
      <c r="BM608" s="8"/>
      <c r="BN608" s="8"/>
      <c r="BO608" s="8"/>
      <c r="BP608" s="8"/>
      <c r="BQ608" s="8"/>
      <c r="BR608" s="8"/>
      <c r="BS608" s="8"/>
      <c r="BT608" s="8"/>
      <c r="BU608" s="8"/>
      <c r="BV608" s="8"/>
      <c r="BW608" s="8"/>
      <c r="BX608" s="8"/>
      <c r="BY608" s="8"/>
      <c r="BZ608" s="8"/>
      <c r="CA608" s="8"/>
      <c r="CB608" s="8"/>
      <c r="CC608" s="8"/>
      <c r="CD608" s="8"/>
      <c r="CE608" s="8"/>
      <c r="CF608" s="8"/>
      <c r="CG608" s="8"/>
      <c r="CH608" s="8"/>
      <c r="CI608" s="8"/>
      <c r="CJ608" s="8"/>
      <c r="CK608" s="8"/>
      <c r="CL608" s="8"/>
      <c r="CM608" s="8"/>
      <c r="CN608" s="8"/>
    </row>
    <row r="609" spans="7:92" x14ac:dyDescent="0.35">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c r="BG609" s="8"/>
      <c r="BH609" s="8"/>
      <c r="BI609" s="8"/>
      <c r="BJ609" s="8"/>
      <c r="BK609" s="8"/>
      <c r="BL609" s="8"/>
      <c r="BM609" s="8"/>
      <c r="BN609" s="8"/>
      <c r="BO609" s="8"/>
      <c r="BP609" s="8"/>
      <c r="BQ609" s="8"/>
      <c r="BR609" s="8"/>
      <c r="BS609" s="8"/>
      <c r="BT609" s="8"/>
      <c r="BU609" s="8"/>
      <c r="BV609" s="8"/>
      <c r="BW609" s="8"/>
      <c r="BX609" s="8"/>
      <c r="BY609" s="8"/>
      <c r="BZ609" s="8"/>
      <c r="CA609" s="8"/>
      <c r="CB609" s="8"/>
      <c r="CC609" s="8"/>
      <c r="CD609" s="8"/>
      <c r="CE609" s="8"/>
      <c r="CF609" s="8"/>
      <c r="CG609" s="8"/>
      <c r="CH609" s="8"/>
      <c r="CI609" s="8"/>
      <c r="CJ609" s="8"/>
      <c r="CK609" s="8"/>
      <c r="CL609" s="8"/>
      <c r="CM609" s="8"/>
      <c r="CN609" s="8"/>
    </row>
    <row r="610" spans="7:92" x14ac:dyDescent="0.35">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c r="BL610" s="8"/>
      <c r="BM610" s="8"/>
      <c r="BN610" s="8"/>
      <c r="BO610" s="8"/>
      <c r="BP610" s="8"/>
      <c r="BQ610" s="8"/>
      <c r="BR610" s="8"/>
      <c r="BS610" s="8"/>
      <c r="BT610" s="8"/>
      <c r="BU610" s="8"/>
      <c r="BV610" s="8"/>
      <c r="BW610" s="8"/>
      <c r="BX610" s="8"/>
      <c r="BY610" s="8"/>
      <c r="BZ610" s="8"/>
      <c r="CA610" s="8"/>
      <c r="CB610" s="8"/>
      <c r="CC610" s="8"/>
      <c r="CD610" s="8"/>
      <c r="CE610" s="8"/>
      <c r="CF610" s="8"/>
      <c r="CG610" s="8"/>
      <c r="CH610" s="8"/>
      <c r="CI610" s="8"/>
      <c r="CJ610" s="8"/>
      <c r="CK610" s="8"/>
      <c r="CL610" s="8"/>
      <c r="CM610" s="8"/>
      <c r="CN610" s="8"/>
    </row>
    <row r="611" spans="7:92" x14ac:dyDescent="0.35">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c r="BL611" s="8"/>
      <c r="BM611" s="8"/>
      <c r="BN611" s="8"/>
      <c r="BO611" s="8"/>
      <c r="BP611" s="8"/>
      <c r="BQ611" s="8"/>
      <c r="BR611" s="8"/>
      <c r="BS611" s="8"/>
      <c r="BT611" s="8"/>
      <c r="BU611" s="8"/>
      <c r="BV611" s="8"/>
      <c r="BW611" s="8"/>
      <c r="BX611" s="8"/>
      <c r="BY611" s="8"/>
      <c r="BZ611" s="8"/>
      <c r="CA611" s="8"/>
      <c r="CB611" s="8"/>
      <c r="CC611" s="8"/>
      <c r="CD611" s="8"/>
      <c r="CE611" s="8"/>
      <c r="CF611" s="8"/>
      <c r="CG611" s="8"/>
      <c r="CH611" s="8"/>
      <c r="CI611" s="8"/>
      <c r="CJ611" s="8"/>
      <c r="CK611" s="8"/>
      <c r="CL611" s="8"/>
      <c r="CM611" s="8"/>
      <c r="CN611" s="8"/>
    </row>
    <row r="612" spans="7:92" x14ac:dyDescent="0.35">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c r="BJ612" s="8"/>
      <c r="BK612" s="8"/>
      <c r="BL612" s="8"/>
      <c r="BM612" s="8"/>
      <c r="BN612" s="8"/>
      <c r="BO612" s="8"/>
      <c r="BP612" s="8"/>
      <c r="BQ612" s="8"/>
      <c r="BR612" s="8"/>
      <c r="BS612" s="8"/>
      <c r="BT612" s="8"/>
      <c r="BU612" s="8"/>
      <c r="BV612" s="8"/>
      <c r="BW612" s="8"/>
      <c r="BX612" s="8"/>
      <c r="BY612" s="8"/>
      <c r="BZ612" s="8"/>
      <c r="CA612" s="8"/>
      <c r="CB612" s="8"/>
      <c r="CC612" s="8"/>
      <c r="CD612" s="8"/>
      <c r="CE612" s="8"/>
      <c r="CF612" s="8"/>
      <c r="CG612" s="8"/>
      <c r="CH612" s="8"/>
      <c r="CI612" s="8"/>
      <c r="CJ612" s="8"/>
      <c r="CK612" s="8"/>
      <c r="CL612" s="8"/>
      <c r="CM612" s="8"/>
      <c r="CN612" s="8"/>
    </row>
    <row r="613" spans="7:92" x14ac:dyDescent="0.35">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c r="BL613" s="8"/>
      <c r="BM613" s="8"/>
      <c r="BN613" s="8"/>
      <c r="BO613" s="8"/>
      <c r="BP613" s="8"/>
      <c r="BQ613" s="8"/>
      <c r="BR613" s="8"/>
      <c r="BS613" s="8"/>
      <c r="BT613" s="8"/>
      <c r="BU613" s="8"/>
      <c r="BV613" s="8"/>
      <c r="BW613" s="8"/>
      <c r="BX613" s="8"/>
      <c r="BY613" s="8"/>
      <c r="BZ613" s="8"/>
      <c r="CA613" s="8"/>
      <c r="CB613" s="8"/>
      <c r="CC613" s="8"/>
      <c r="CD613" s="8"/>
      <c r="CE613" s="8"/>
      <c r="CF613" s="8"/>
      <c r="CG613" s="8"/>
      <c r="CH613" s="8"/>
      <c r="CI613" s="8"/>
      <c r="CJ613" s="8"/>
      <c r="CK613" s="8"/>
      <c r="CL613" s="8"/>
      <c r="CM613" s="8"/>
      <c r="CN613" s="8"/>
    </row>
    <row r="614" spans="7:92" x14ac:dyDescent="0.35">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8"/>
      <c r="BM614" s="8"/>
      <c r="BN614" s="8"/>
      <c r="BO614" s="8"/>
      <c r="BP614" s="8"/>
      <c r="BQ614" s="8"/>
      <c r="BR614" s="8"/>
      <c r="BS614" s="8"/>
      <c r="BT614" s="8"/>
      <c r="BU614" s="8"/>
      <c r="BV614" s="8"/>
      <c r="BW614" s="8"/>
      <c r="BX614" s="8"/>
      <c r="BY614" s="8"/>
      <c r="BZ614" s="8"/>
      <c r="CA614" s="8"/>
      <c r="CB614" s="8"/>
      <c r="CC614" s="8"/>
      <c r="CD614" s="8"/>
      <c r="CE614" s="8"/>
      <c r="CF614" s="8"/>
      <c r="CG614" s="8"/>
      <c r="CH614" s="8"/>
      <c r="CI614" s="8"/>
      <c r="CJ614" s="8"/>
      <c r="CK614" s="8"/>
      <c r="CL614" s="8"/>
      <c r="CM614" s="8"/>
      <c r="CN614" s="8"/>
    </row>
    <row r="615" spans="7:92" x14ac:dyDescent="0.35">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c r="BL615" s="8"/>
      <c r="BM615" s="8"/>
      <c r="BN615" s="8"/>
      <c r="BO615" s="8"/>
      <c r="BP615" s="8"/>
      <c r="BQ615" s="8"/>
      <c r="BR615" s="8"/>
      <c r="BS615" s="8"/>
      <c r="BT615" s="8"/>
      <c r="BU615" s="8"/>
      <c r="BV615" s="8"/>
      <c r="BW615" s="8"/>
      <c r="BX615" s="8"/>
      <c r="BY615" s="8"/>
      <c r="BZ615" s="8"/>
      <c r="CA615" s="8"/>
      <c r="CB615" s="8"/>
      <c r="CC615" s="8"/>
      <c r="CD615" s="8"/>
      <c r="CE615" s="8"/>
      <c r="CF615" s="8"/>
      <c r="CG615" s="8"/>
      <c r="CH615" s="8"/>
      <c r="CI615" s="8"/>
      <c r="CJ615" s="8"/>
      <c r="CK615" s="8"/>
      <c r="CL615" s="8"/>
      <c r="CM615" s="8"/>
      <c r="CN615" s="8"/>
    </row>
    <row r="616" spans="7:92" x14ac:dyDescent="0.35">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8"/>
      <c r="BM616" s="8"/>
      <c r="BN616" s="8"/>
      <c r="BO616" s="8"/>
      <c r="BP616" s="8"/>
      <c r="BQ616" s="8"/>
      <c r="BR616" s="8"/>
      <c r="BS616" s="8"/>
      <c r="BT616" s="8"/>
      <c r="BU616" s="8"/>
      <c r="BV616" s="8"/>
      <c r="BW616" s="8"/>
      <c r="BX616" s="8"/>
      <c r="BY616" s="8"/>
      <c r="BZ616" s="8"/>
      <c r="CA616" s="8"/>
      <c r="CB616" s="8"/>
      <c r="CC616" s="8"/>
      <c r="CD616" s="8"/>
      <c r="CE616" s="8"/>
      <c r="CF616" s="8"/>
      <c r="CG616" s="8"/>
      <c r="CH616" s="8"/>
      <c r="CI616" s="8"/>
      <c r="CJ616" s="8"/>
      <c r="CK616" s="8"/>
      <c r="CL616" s="8"/>
      <c r="CM616" s="8"/>
      <c r="CN616" s="8"/>
    </row>
    <row r="617" spans="7:92" x14ac:dyDescent="0.35">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c r="BL617" s="8"/>
      <c r="BM617" s="8"/>
      <c r="BN617" s="8"/>
      <c r="BO617" s="8"/>
      <c r="BP617" s="8"/>
      <c r="BQ617" s="8"/>
      <c r="BR617" s="8"/>
      <c r="BS617" s="8"/>
      <c r="BT617" s="8"/>
      <c r="BU617" s="8"/>
      <c r="BV617" s="8"/>
      <c r="BW617" s="8"/>
      <c r="BX617" s="8"/>
      <c r="BY617" s="8"/>
      <c r="BZ617" s="8"/>
      <c r="CA617" s="8"/>
      <c r="CB617" s="8"/>
      <c r="CC617" s="8"/>
      <c r="CD617" s="8"/>
      <c r="CE617" s="8"/>
      <c r="CF617" s="8"/>
      <c r="CG617" s="8"/>
      <c r="CH617" s="8"/>
      <c r="CI617" s="8"/>
      <c r="CJ617" s="8"/>
      <c r="CK617" s="8"/>
      <c r="CL617" s="8"/>
      <c r="CM617" s="8"/>
      <c r="CN617" s="8"/>
    </row>
    <row r="618" spans="7:92" x14ac:dyDescent="0.35">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8"/>
      <c r="BM618" s="8"/>
      <c r="BN618" s="8"/>
      <c r="BO618" s="8"/>
      <c r="BP618" s="8"/>
      <c r="BQ618" s="8"/>
      <c r="BR618" s="8"/>
      <c r="BS618" s="8"/>
      <c r="BT618" s="8"/>
      <c r="BU618" s="8"/>
      <c r="BV618" s="8"/>
      <c r="BW618" s="8"/>
      <c r="BX618" s="8"/>
      <c r="BY618" s="8"/>
      <c r="BZ618" s="8"/>
      <c r="CA618" s="8"/>
      <c r="CB618" s="8"/>
      <c r="CC618" s="8"/>
      <c r="CD618" s="8"/>
      <c r="CE618" s="8"/>
      <c r="CF618" s="8"/>
      <c r="CG618" s="8"/>
      <c r="CH618" s="8"/>
      <c r="CI618" s="8"/>
      <c r="CJ618" s="8"/>
      <c r="CK618" s="8"/>
      <c r="CL618" s="8"/>
      <c r="CM618" s="8"/>
      <c r="CN618" s="8"/>
    </row>
    <row r="619" spans="7:92" x14ac:dyDescent="0.35">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8"/>
      <c r="BM619" s="8"/>
      <c r="BN619" s="8"/>
      <c r="BO619" s="8"/>
      <c r="BP619" s="8"/>
      <c r="BQ619" s="8"/>
      <c r="BR619" s="8"/>
      <c r="BS619" s="8"/>
      <c r="BT619" s="8"/>
      <c r="BU619" s="8"/>
      <c r="BV619" s="8"/>
      <c r="BW619" s="8"/>
      <c r="BX619" s="8"/>
      <c r="BY619" s="8"/>
      <c r="BZ619" s="8"/>
      <c r="CA619" s="8"/>
      <c r="CB619" s="8"/>
      <c r="CC619" s="8"/>
      <c r="CD619" s="8"/>
      <c r="CE619" s="8"/>
      <c r="CF619" s="8"/>
      <c r="CG619" s="8"/>
      <c r="CH619" s="8"/>
      <c r="CI619" s="8"/>
      <c r="CJ619" s="8"/>
      <c r="CK619" s="8"/>
      <c r="CL619" s="8"/>
      <c r="CM619" s="8"/>
      <c r="CN619" s="8"/>
    </row>
    <row r="620" spans="7:92" x14ac:dyDescent="0.35">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8"/>
      <c r="BM620" s="8"/>
      <c r="BN620" s="8"/>
      <c r="BO620" s="8"/>
      <c r="BP620" s="8"/>
      <c r="BQ620" s="8"/>
      <c r="BR620" s="8"/>
      <c r="BS620" s="8"/>
      <c r="BT620" s="8"/>
      <c r="BU620" s="8"/>
      <c r="BV620" s="8"/>
      <c r="BW620" s="8"/>
      <c r="BX620" s="8"/>
      <c r="BY620" s="8"/>
      <c r="BZ620" s="8"/>
      <c r="CA620" s="8"/>
      <c r="CB620" s="8"/>
      <c r="CC620" s="8"/>
      <c r="CD620" s="8"/>
      <c r="CE620" s="8"/>
      <c r="CF620" s="8"/>
      <c r="CG620" s="8"/>
      <c r="CH620" s="8"/>
      <c r="CI620" s="8"/>
      <c r="CJ620" s="8"/>
      <c r="CK620" s="8"/>
      <c r="CL620" s="8"/>
      <c r="CM620" s="8"/>
      <c r="CN620" s="8"/>
    </row>
    <row r="621" spans="7:92" x14ac:dyDescent="0.35">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c r="BL621" s="8"/>
      <c r="BM621" s="8"/>
      <c r="BN621" s="8"/>
      <c r="BO621" s="8"/>
      <c r="BP621" s="8"/>
      <c r="BQ621" s="8"/>
      <c r="BR621" s="8"/>
      <c r="BS621" s="8"/>
      <c r="BT621" s="8"/>
      <c r="BU621" s="8"/>
      <c r="BV621" s="8"/>
      <c r="BW621" s="8"/>
      <c r="BX621" s="8"/>
      <c r="BY621" s="8"/>
      <c r="BZ621" s="8"/>
      <c r="CA621" s="8"/>
      <c r="CB621" s="8"/>
      <c r="CC621" s="8"/>
      <c r="CD621" s="8"/>
      <c r="CE621" s="8"/>
      <c r="CF621" s="8"/>
      <c r="CG621" s="8"/>
      <c r="CH621" s="8"/>
      <c r="CI621" s="8"/>
      <c r="CJ621" s="8"/>
      <c r="CK621" s="8"/>
      <c r="CL621" s="8"/>
      <c r="CM621" s="8"/>
      <c r="CN621" s="8"/>
    </row>
    <row r="622" spans="7:92" x14ac:dyDescent="0.35">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c r="BL622" s="8"/>
      <c r="BM622" s="8"/>
      <c r="BN622" s="8"/>
      <c r="BO622" s="8"/>
      <c r="BP622" s="8"/>
      <c r="BQ622" s="8"/>
      <c r="BR622" s="8"/>
      <c r="BS622" s="8"/>
      <c r="BT622" s="8"/>
      <c r="BU622" s="8"/>
      <c r="BV622" s="8"/>
      <c r="BW622" s="8"/>
      <c r="BX622" s="8"/>
      <c r="BY622" s="8"/>
      <c r="BZ622" s="8"/>
      <c r="CA622" s="8"/>
      <c r="CB622" s="8"/>
      <c r="CC622" s="8"/>
      <c r="CD622" s="8"/>
      <c r="CE622" s="8"/>
      <c r="CF622" s="8"/>
      <c r="CG622" s="8"/>
      <c r="CH622" s="8"/>
      <c r="CI622" s="8"/>
      <c r="CJ622" s="8"/>
      <c r="CK622" s="8"/>
      <c r="CL622" s="8"/>
      <c r="CM622" s="8"/>
      <c r="CN622" s="8"/>
    </row>
    <row r="623" spans="7:92" x14ac:dyDescent="0.35">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c r="BJ623" s="8"/>
      <c r="BK623" s="8"/>
      <c r="BL623" s="8"/>
      <c r="BM623" s="8"/>
      <c r="BN623" s="8"/>
      <c r="BO623" s="8"/>
      <c r="BP623" s="8"/>
      <c r="BQ623" s="8"/>
      <c r="BR623" s="8"/>
      <c r="BS623" s="8"/>
      <c r="BT623" s="8"/>
      <c r="BU623" s="8"/>
      <c r="BV623" s="8"/>
      <c r="BW623" s="8"/>
      <c r="BX623" s="8"/>
      <c r="BY623" s="8"/>
      <c r="BZ623" s="8"/>
      <c r="CA623" s="8"/>
      <c r="CB623" s="8"/>
      <c r="CC623" s="8"/>
      <c r="CD623" s="8"/>
      <c r="CE623" s="8"/>
      <c r="CF623" s="8"/>
      <c r="CG623" s="8"/>
      <c r="CH623" s="8"/>
      <c r="CI623" s="8"/>
      <c r="CJ623" s="8"/>
      <c r="CK623" s="8"/>
      <c r="CL623" s="8"/>
      <c r="CM623" s="8"/>
      <c r="CN623" s="8"/>
    </row>
    <row r="624" spans="7:92" x14ac:dyDescent="0.35">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c r="BL624" s="8"/>
      <c r="BM624" s="8"/>
      <c r="BN624" s="8"/>
      <c r="BO624" s="8"/>
      <c r="BP624" s="8"/>
      <c r="BQ624" s="8"/>
      <c r="BR624" s="8"/>
      <c r="BS624" s="8"/>
      <c r="BT624" s="8"/>
      <c r="BU624" s="8"/>
      <c r="BV624" s="8"/>
      <c r="BW624" s="8"/>
      <c r="BX624" s="8"/>
      <c r="BY624" s="8"/>
      <c r="BZ624" s="8"/>
      <c r="CA624" s="8"/>
      <c r="CB624" s="8"/>
      <c r="CC624" s="8"/>
      <c r="CD624" s="8"/>
      <c r="CE624" s="8"/>
      <c r="CF624" s="8"/>
      <c r="CG624" s="8"/>
      <c r="CH624" s="8"/>
      <c r="CI624" s="8"/>
      <c r="CJ624" s="8"/>
      <c r="CK624" s="8"/>
      <c r="CL624" s="8"/>
      <c r="CM624" s="8"/>
      <c r="CN624" s="8"/>
    </row>
    <row r="625" spans="7:92" x14ac:dyDescent="0.35">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c r="BL625" s="8"/>
      <c r="BM625" s="8"/>
      <c r="BN625" s="8"/>
      <c r="BO625" s="8"/>
      <c r="BP625" s="8"/>
      <c r="BQ625" s="8"/>
      <c r="BR625" s="8"/>
      <c r="BS625" s="8"/>
      <c r="BT625" s="8"/>
      <c r="BU625" s="8"/>
      <c r="BV625" s="8"/>
      <c r="BW625" s="8"/>
      <c r="BX625" s="8"/>
      <c r="BY625" s="8"/>
      <c r="BZ625" s="8"/>
      <c r="CA625" s="8"/>
      <c r="CB625" s="8"/>
      <c r="CC625" s="8"/>
      <c r="CD625" s="8"/>
      <c r="CE625" s="8"/>
      <c r="CF625" s="8"/>
      <c r="CG625" s="8"/>
      <c r="CH625" s="8"/>
      <c r="CI625" s="8"/>
      <c r="CJ625" s="8"/>
      <c r="CK625" s="8"/>
      <c r="CL625" s="8"/>
      <c r="CM625" s="8"/>
      <c r="CN625" s="8"/>
    </row>
    <row r="626" spans="7:92" x14ac:dyDescent="0.35">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c r="BL626" s="8"/>
      <c r="BM626" s="8"/>
      <c r="BN626" s="8"/>
      <c r="BO626" s="8"/>
      <c r="BP626" s="8"/>
      <c r="BQ626" s="8"/>
      <c r="BR626" s="8"/>
      <c r="BS626" s="8"/>
      <c r="BT626" s="8"/>
      <c r="BU626" s="8"/>
      <c r="BV626" s="8"/>
      <c r="BW626" s="8"/>
      <c r="BX626" s="8"/>
      <c r="BY626" s="8"/>
      <c r="BZ626" s="8"/>
      <c r="CA626" s="8"/>
      <c r="CB626" s="8"/>
      <c r="CC626" s="8"/>
      <c r="CD626" s="8"/>
      <c r="CE626" s="8"/>
      <c r="CF626" s="8"/>
      <c r="CG626" s="8"/>
      <c r="CH626" s="8"/>
      <c r="CI626" s="8"/>
      <c r="CJ626" s="8"/>
      <c r="CK626" s="8"/>
      <c r="CL626" s="8"/>
      <c r="CM626" s="8"/>
      <c r="CN626" s="8"/>
    </row>
    <row r="627" spans="7:92" x14ac:dyDescent="0.35">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c r="BL627" s="8"/>
      <c r="BM627" s="8"/>
      <c r="BN627" s="8"/>
      <c r="BO627" s="8"/>
      <c r="BP627" s="8"/>
      <c r="BQ627" s="8"/>
      <c r="BR627" s="8"/>
      <c r="BS627" s="8"/>
      <c r="BT627" s="8"/>
      <c r="BU627" s="8"/>
      <c r="BV627" s="8"/>
      <c r="BW627" s="8"/>
      <c r="BX627" s="8"/>
      <c r="BY627" s="8"/>
      <c r="BZ627" s="8"/>
      <c r="CA627" s="8"/>
      <c r="CB627" s="8"/>
      <c r="CC627" s="8"/>
      <c r="CD627" s="8"/>
      <c r="CE627" s="8"/>
      <c r="CF627" s="8"/>
      <c r="CG627" s="8"/>
      <c r="CH627" s="8"/>
      <c r="CI627" s="8"/>
      <c r="CJ627" s="8"/>
      <c r="CK627" s="8"/>
      <c r="CL627" s="8"/>
      <c r="CM627" s="8"/>
      <c r="CN627" s="8"/>
    </row>
    <row r="628" spans="7:92" x14ac:dyDescent="0.35">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c r="BL628" s="8"/>
      <c r="BM628" s="8"/>
      <c r="BN628" s="8"/>
      <c r="BO628" s="8"/>
      <c r="BP628" s="8"/>
      <c r="BQ628" s="8"/>
      <c r="BR628" s="8"/>
      <c r="BS628" s="8"/>
      <c r="BT628" s="8"/>
      <c r="BU628" s="8"/>
      <c r="BV628" s="8"/>
      <c r="BW628" s="8"/>
      <c r="BX628" s="8"/>
      <c r="BY628" s="8"/>
      <c r="BZ628" s="8"/>
      <c r="CA628" s="8"/>
      <c r="CB628" s="8"/>
      <c r="CC628" s="8"/>
      <c r="CD628" s="8"/>
      <c r="CE628" s="8"/>
      <c r="CF628" s="8"/>
      <c r="CG628" s="8"/>
      <c r="CH628" s="8"/>
      <c r="CI628" s="8"/>
      <c r="CJ628" s="8"/>
      <c r="CK628" s="8"/>
      <c r="CL628" s="8"/>
      <c r="CM628" s="8"/>
      <c r="CN628" s="8"/>
    </row>
    <row r="629" spans="7:92" x14ac:dyDescent="0.35">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c r="BL629" s="8"/>
      <c r="BM629" s="8"/>
      <c r="BN629" s="8"/>
      <c r="BO629" s="8"/>
      <c r="BP629" s="8"/>
      <c r="BQ629" s="8"/>
      <c r="BR629" s="8"/>
      <c r="BS629" s="8"/>
      <c r="BT629" s="8"/>
      <c r="BU629" s="8"/>
      <c r="BV629" s="8"/>
      <c r="BW629" s="8"/>
      <c r="BX629" s="8"/>
      <c r="BY629" s="8"/>
      <c r="BZ629" s="8"/>
      <c r="CA629" s="8"/>
      <c r="CB629" s="8"/>
      <c r="CC629" s="8"/>
      <c r="CD629" s="8"/>
      <c r="CE629" s="8"/>
      <c r="CF629" s="8"/>
      <c r="CG629" s="8"/>
      <c r="CH629" s="8"/>
      <c r="CI629" s="8"/>
      <c r="CJ629" s="8"/>
      <c r="CK629" s="8"/>
      <c r="CL629" s="8"/>
      <c r="CM629" s="8"/>
      <c r="CN629" s="8"/>
    </row>
    <row r="630" spans="7:92" x14ac:dyDescent="0.35">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c r="BL630" s="8"/>
      <c r="BM630" s="8"/>
      <c r="BN630" s="8"/>
      <c r="BO630" s="8"/>
      <c r="BP630" s="8"/>
      <c r="BQ630" s="8"/>
      <c r="BR630" s="8"/>
      <c r="BS630" s="8"/>
      <c r="BT630" s="8"/>
      <c r="BU630" s="8"/>
      <c r="BV630" s="8"/>
      <c r="BW630" s="8"/>
      <c r="BX630" s="8"/>
      <c r="BY630" s="8"/>
      <c r="BZ630" s="8"/>
      <c r="CA630" s="8"/>
      <c r="CB630" s="8"/>
      <c r="CC630" s="8"/>
      <c r="CD630" s="8"/>
      <c r="CE630" s="8"/>
      <c r="CF630" s="8"/>
      <c r="CG630" s="8"/>
      <c r="CH630" s="8"/>
      <c r="CI630" s="8"/>
      <c r="CJ630" s="8"/>
      <c r="CK630" s="8"/>
      <c r="CL630" s="8"/>
      <c r="CM630" s="8"/>
      <c r="CN630" s="8"/>
    </row>
    <row r="631" spans="7:92" x14ac:dyDescent="0.35">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c r="BJ631" s="8"/>
      <c r="BK631" s="8"/>
      <c r="BL631" s="8"/>
      <c r="BM631" s="8"/>
      <c r="BN631" s="8"/>
      <c r="BO631" s="8"/>
      <c r="BP631" s="8"/>
      <c r="BQ631" s="8"/>
      <c r="BR631" s="8"/>
      <c r="BS631" s="8"/>
      <c r="BT631" s="8"/>
      <c r="BU631" s="8"/>
      <c r="BV631" s="8"/>
      <c r="BW631" s="8"/>
      <c r="BX631" s="8"/>
      <c r="BY631" s="8"/>
      <c r="BZ631" s="8"/>
      <c r="CA631" s="8"/>
      <c r="CB631" s="8"/>
      <c r="CC631" s="8"/>
      <c r="CD631" s="8"/>
      <c r="CE631" s="8"/>
      <c r="CF631" s="8"/>
      <c r="CG631" s="8"/>
      <c r="CH631" s="8"/>
      <c r="CI631" s="8"/>
      <c r="CJ631" s="8"/>
      <c r="CK631" s="8"/>
      <c r="CL631" s="8"/>
      <c r="CM631" s="8"/>
      <c r="CN631" s="8"/>
    </row>
    <row r="632" spans="7:92" x14ac:dyDescent="0.35">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c r="BL632" s="8"/>
      <c r="BM632" s="8"/>
      <c r="BN632" s="8"/>
      <c r="BO632" s="8"/>
      <c r="BP632" s="8"/>
      <c r="BQ632" s="8"/>
      <c r="BR632" s="8"/>
      <c r="BS632" s="8"/>
      <c r="BT632" s="8"/>
      <c r="BU632" s="8"/>
      <c r="BV632" s="8"/>
      <c r="BW632" s="8"/>
      <c r="BX632" s="8"/>
      <c r="BY632" s="8"/>
      <c r="BZ632" s="8"/>
      <c r="CA632" s="8"/>
      <c r="CB632" s="8"/>
      <c r="CC632" s="8"/>
      <c r="CD632" s="8"/>
      <c r="CE632" s="8"/>
      <c r="CF632" s="8"/>
      <c r="CG632" s="8"/>
      <c r="CH632" s="8"/>
      <c r="CI632" s="8"/>
      <c r="CJ632" s="8"/>
      <c r="CK632" s="8"/>
      <c r="CL632" s="8"/>
      <c r="CM632" s="8"/>
      <c r="CN632" s="8"/>
    </row>
    <row r="633" spans="7:92" x14ac:dyDescent="0.35">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c r="BJ633" s="8"/>
      <c r="BK633" s="8"/>
      <c r="BL633" s="8"/>
      <c r="BM633" s="8"/>
      <c r="BN633" s="8"/>
      <c r="BO633" s="8"/>
      <c r="BP633" s="8"/>
      <c r="BQ633" s="8"/>
      <c r="BR633" s="8"/>
      <c r="BS633" s="8"/>
      <c r="BT633" s="8"/>
      <c r="BU633" s="8"/>
      <c r="BV633" s="8"/>
      <c r="BW633" s="8"/>
      <c r="BX633" s="8"/>
      <c r="BY633" s="8"/>
      <c r="BZ633" s="8"/>
      <c r="CA633" s="8"/>
      <c r="CB633" s="8"/>
      <c r="CC633" s="8"/>
      <c r="CD633" s="8"/>
      <c r="CE633" s="8"/>
      <c r="CF633" s="8"/>
      <c r="CG633" s="8"/>
      <c r="CH633" s="8"/>
      <c r="CI633" s="8"/>
      <c r="CJ633" s="8"/>
      <c r="CK633" s="8"/>
      <c r="CL633" s="8"/>
      <c r="CM633" s="8"/>
      <c r="CN633" s="8"/>
    </row>
    <row r="634" spans="7:92" x14ac:dyDescent="0.35">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c r="BN634" s="8"/>
      <c r="BO634" s="8"/>
      <c r="BP634" s="8"/>
      <c r="BQ634" s="8"/>
      <c r="BR634" s="8"/>
      <c r="BS634" s="8"/>
      <c r="BT634" s="8"/>
      <c r="BU634" s="8"/>
      <c r="BV634" s="8"/>
      <c r="BW634" s="8"/>
      <c r="BX634" s="8"/>
      <c r="BY634" s="8"/>
      <c r="BZ634" s="8"/>
      <c r="CA634" s="8"/>
      <c r="CB634" s="8"/>
      <c r="CC634" s="8"/>
      <c r="CD634" s="8"/>
      <c r="CE634" s="8"/>
      <c r="CF634" s="8"/>
      <c r="CG634" s="8"/>
      <c r="CH634" s="8"/>
      <c r="CI634" s="8"/>
      <c r="CJ634" s="8"/>
      <c r="CK634" s="8"/>
      <c r="CL634" s="8"/>
      <c r="CM634" s="8"/>
      <c r="CN634" s="8"/>
    </row>
    <row r="635" spans="7:92" x14ac:dyDescent="0.35">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c r="BN635" s="8"/>
      <c r="BO635" s="8"/>
      <c r="BP635" s="8"/>
      <c r="BQ635" s="8"/>
      <c r="BR635" s="8"/>
      <c r="BS635" s="8"/>
      <c r="BT635" s="8"/>
      <c r="BU635" s="8"/>
      <c r="BV635" s="8"/>
      <c r="BW635" s="8"/>
      <c r="BX635" s="8"/>
      <c r="BY635" s="8"/>
      <c r="BZ635" s="8"/>
      <c r="CA635" s="8"/>
      <c r="CB635" s="8"/>
      <c r="CC635" s="8"/>
      <c r="CD635" s="8"/>
      <c r="CE635" s="8"/>
      <c r="CF635" s="8"/>
      <c r="CG635" s="8"/>
      <c r="CH635" s="8"/>
      <c r="CI635" s="8"/>
      <c r="CJ635" s="8"/>
      <c r="CK635" s="8"/>
      <c r="CL635" s="8"/>
      <c r="CM635" s="8"/>
      <c r="CN635" s="8"/>
    </row>
    <row r="636" spans="7:92" x14ac:dyDescent="0.35">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c r="BL636" s="8"/>
      <c r="BM636" s="8"/>
      <c r="BN636" s="8"/>
      <c r="BO636" s="8"/>
      <c r="BP636" s="8"/>
      <c r="BQ636" s="8"/>
      <c r="BR636" s="8"/>
      <c r="BS636" s="8"/>
      <c r="BT636" s="8"/>
      <c r="BU636" s="8"/>
      <c r="BV636" s="8"/>
      <c r="BW636" s="8"/>
      <c r="BX636" s="8"/>
      <c r="BY636" s="8"/>
      <c r="BZ636" s="8"/>
      <c r="CA636" s="8"/>
      <c r="CB636" s="8"/>
      <c r="CC636" s="8"/>
      <c r="CD636" s="8"/>
      <c r="CE636" s="8"/>
      <c r="CF636" s="8"/>
      <c r="CG636" s="8"/>
      <c r="CH636" s="8"/>
      <c r="CI636" s="8"/>
      <c r="CJ636" s="8"/>
      <c r="CK636" s="8"/>
      <c r="CL636" s="8"/>
      <c r="CM636" s="8"/>
      <c r="CN636" s="8"/>
    </row>
    <row r="637" spans="7:92" x14ac:dyDescent="0.35">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c r="BL637" s="8"/>
      <c r="BM637" s="8"/>
      <c r="BN637" s="8"/>
      <c r="BO637" s="8"/>
      <c r="BP637" s="8"/>
      <c r="BQ637" s="8"/>
      <c r="BR637" s="8"/>
      <c r="BS637" s="8"/>
      <c r="BT637" s="8"/>
      <c r="BU637" s="8"/>
      <c r="BV637" s="8"/>
      <c r="BW637" s="8"/>
      <c r="BX637" s="8"/>
      <c r="BY637" s="8"/>
      <c r="BZ637" s="8"/>
      <c r="CA637" s="8"/>
      <c r="CB637" s="8"/>
      <c r="CC637" s="8"/>
      <c r="CD637" s="8"/>
      <c r="CE637" s="8"/>
      <c r="CF637" s="8"/>
      <c r="CG637" s="8"/>
      <c r="CH637" s="8"/>
      <c r="CI637" s="8"/>
      <c r="CJ637" s="8"/>
      <c r="CK637" s="8"/>
      <c r="CL637" s="8"/>
      <c r="CM637" s="8"/>
      <c r="CN637" s="8"/>
    </row>
    <row r="638" spans="7:92" x14ac:dyDescent="0.35">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c r="BJ638" s="8"/>
      <c r="BK638" s="8"/>
      <c r="BL638" s="8"/>
      <c r="BM638" s="8"/>
      <c r="BN638" s="8"/>
      <c r="BO638" s="8"/>
      <c r="BP638" s="8"/>
      <c r="BQ638" s="8"/>
      <c r="BR638" s="8"/>
      <c r="BS638" s="8"/>
      <c r="BT638" s="8"/>
      <c r="BU638" s="8"/>
      <c r="BV638" s="8"/>
      <c r="BW638" s="8"/>
      <c r="BX638" s="8"/>
      <c r="BY638" s="8"/>
      <c r="BZ638" s="8"/>
      <c r="CA638" s="8"/>
      <c r="CB638" s="8"/>
      <c r="CC638" s="8"/>
      <c r="CD638" s="8"/>
      <c r="CE638" s="8"/>
      <c r="CF638" s="8"/>
      <c r="CG638" s="8"/>
      <c r="CH638" s="8"/>
      <c r="CI638" s="8"/>
      <c r="CJ638" s="8"/>
      <c r="CK638" s="8"/>
      <c r="CL638" s="8"/>
      <c r="CM638" s="8"/>
      <c r="CN638" s="8"/>
    </row>
    <row r="639" spans="7:92" x14ac:dyDescent="0.35">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8"/>
      <c r="BB639" s="8"/>
      <c r="BC639" s="8"/>
      <c r="BD639" s="8"/>
      <c r="BE639" s="8"/>
      <c r="BF639" s="8"/>
      <c r="BG639" s="8"/>
      <c r="BH639" s="8"/>
      <c r="BI639" s="8"/>
      <c r="BJ639" s="8"/>
      <c r="BK639" s="8"/>
      <c r="BL639" s="8"/>
      <c r="BM639" s="8"/>
      <c r="BN639" s="8"/>
      <c r="BO639" s="8"/>
      <c r="BP639" s="8"/>
      <c r="BQ639" s="8"/>
      <c r="BR639" s="8"/>
      <c r="BS639" s="8"/>
      <c r="BT639" s="8"/>
      <c r="BU639" s="8"/>
      <c r="BV639" s="8"/>
      <c r="BW639" s="8"/>
      <c r="BX639" s="8"/>
      <c r="BY639" s="8"/>
      <c r="BZ639" s="8"/>
      <c r="CA639" s="8"/>
      <c r="CB639" s="8"/>
      <c r="CC639" s="8"/>
      <c r="CD639" s="8"/>
      <c r="CE639" s="8"/>
      <c r="CF639" s="8"/>
      <c r="CG639" s="8"/>
      <c r="CH639" s="8"/>
      <c r="CI639" s="8"/>
      <c r="CJ639" s="8"/>
      <c r="CK639" s="8"/>
      <c r="CL639" s="8"/>
      <c r="CM639" s="8"/>
      <c r="CN639" s="8"/>
    </row>
    <row r="640" spans="7:92" x14ac:dyDescent="0.35">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c r="BF640" s="8"/>
      <c r="BG640" s="8"/>
      <c r="BH640" s="8"/>
      <c r="BI640" s="8"/>
      <c r="BJ640" s="8"/>
      <c r="BK640" s="8"/>
      <c r="BL640" s="8"/>
      <c r="BM640" s="8"/>
      <c r="BN640" s="8"/>
      <c r="BO640" s="8"/>
      <c r="BP640" s="8"/>
      <c r="BQ640" s="8"/>
      <c r="BR640" s="8"/>
      <c r="BS640" s="8"/>
      <c r="BT640" s="8"/>
      <c r="BU640" s="8"/>
      <c r="BV640" s="8"/>
      <c r="BW640" s="8"/>
      <c r="BX640" s="8"/>
      <c r="BY640" s="8"/>
      <c r="BZ640" s="8"/>
      <c r="CA640" s="8"/>
      <c r="CB640" s="8"/>
      <c r="CC640" s="8"/>
      <c r="CD640" s="8"/>
      <c r="CE640" s="8"/>
      <c r="CF640" s="8"/>
      <c r="CG640" s="8"/>
      <c r="CH640" s="8"/>
      <c r="CI640" s="8"/>
      <c r="CJ640" s="8"/>
      <c r="CK640" s="8"/>
      <c r="CL640" s="8"/>
      <c r="CM640" s="8"/>
      <c r="CN640" s="8"/>
    </row>
    <row r="641" spans="7:92" x14ac:dyDescent="0.35">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c r="BF641" s="8"/>
      <c r="BG641" s="8"/>
      <c r="BH641" s="8"/>
      <c r="BI641" s="8"/>
      <c r="BJ641" s="8"/>
      <c r="BK641" s="8"/>
      <c r="BL641" s="8"/>
      <c r="BM641" s="8"/>
      <c r="BN641" s="8"/>
      <c r="BO641" s="8"/>
      <c r="BP641" s="8"/>
      <c r="BQ641" s="8"/>
      <c r="BR641" s="8"/>
      <c r="BS641" s="8"/>
      <c r="BT641" s="8"/>
      <c r="BU641" s="8"/>
      <c r="BV641" s="8"/>
      <c r="BW641" s="8"/>
      <c r="BX641" s="8"/>
      <c r="BY641" s="8"/>
      <c r="BZ641" s="8"/>
      <c r="CA641" s="8"/>
      <c r="CB641" s="8"/>
      <c r="CC641" s="8"/>
      <c r="CD641" s="8"/>
      <c r="CE641" s="8"/>
      <c r="CF641" s="8"/>
      <c r="CG641" s="8"/>
      <c r="CH641" s="8"/>
      <c r="CI641" s="8"/>
      <c r="CJ641" s="8"/>
      <c r="CK641" s="8"/>
      <c r="CL641" s="8"/>
      <c r="CM641" s="8"/>
      <c r="CN641" s="8"/>
    </row>
    <row r="642" spans="7:92" x14ac:dyDescent="0.35">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c r="BG642" s="8"/>
      <c r="BH642" s="8"/>
      <c r="BI642" s="8"/>
      <c r="BJ642" s="8"/>
      <c r="BK642" s="8"/>
      <c r="BL642" s="8"/>
      <c r="BM642" s="8"/>
      <c r="BN642" s="8"/>
      <c r="BO642" s="8"/>
      <c r="BP642" s="8"/>
      <c r="BQ642" s="8"/>
      <c r="BR642" s="8"/>
      <c r="BS642" s="8"/>
      <c r="BT642" s="8"/>
      <c r="BU642" s="8"/>
      <c r="BV642" s="8"/>
      <c r="BW642" s="8"/>
      <c r="BX642" s="8"/>
      <c r="BY642" s="8"/>
      <c r="BZ642" s="8"/>
      <c r="CA642" s="8"/>
      <c r="CB642" s="8"/>
      <c r="CC642" s="8"/>
      <c r="CD642" s="8"/>
      <c r="CE642" s="8"/>
      <c r="CF642" s="8"/>
      <c r="CG642" s="8"/>
      <c r="CH642" s="8"/>
      <c r="CI642" s="8"/>
      <c r="CJ642" s="8"/>
      <c r="CK642" s="8"/>
      <c r="CL642" s="8"/>
      <c r="CM642" s="8"/>
      <c r="CN642" s="8"/>
    </row>
    <row r="643" spans="7:92" x14ac:dyDescent="0.35">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c r="AZ643" s="8"/>
      <c r="BA643" s="8"/>
      <c r="BB643" s="8"/>
      <c r="BC643" s="8"/>
      <c r="BD643" s="8"/>
      <c r="BE643" s="8"/>
      <c r="BF643" s="8"/>
      <c r="BG643" s="8"/>
      <c r="BH643" s="8"/>
      <c r="BI643" s="8"/>
      <c r="BJ643" s="8"/>
      <c r="BK643" s="8"/>
      <c r="BL643" s="8"/>
      <c r="BM643" s="8"/>
      <c r="BN643" s="8"/>
      <c r="BO643" s="8"/>
      <c r="BP643" s="8"/>
      <c r="BQ643" s="8"/>
      <c r="BR643" s="8"/>
      <c r="BS643" s="8"/>
      <c r="BT643" s="8"/>
      <c r="BU643" s="8"/>
      <c r="BV643" s="8"/>
      <c r="BW643" s="8"/>
      <c r="BX643" s="8"/>
      <c r="BY643" s="8"/>
      <c r="BZ643" s="8"/>
      <c r="CA643" s="8"/>
      <c r="CB643" s="8"/>
      <c r="CC643" s="8"/>
      <c r="CD643" s="8"/>
      <c r="CE643" s="8"/>
      <c r="CF643" s="8"/>
      <c r="CG643" s="8"/>
      <c r="CH643" s="8"/>
      <c r="CI643" s="8"/>
      <c r="CJ643" s="8"/>
      <c r="CK643" s="8"/>
      <c r="CL643" s="8"/>
      <c r="CM643" s="8"/>
      <c r="CN643" s="8"/>
    </row>
    <row r="644" spans="7:92" x14ac:dyDescent="0.35">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c r="AZ644" s="8"/>
      <c r="BA644" s="8"/>
      <c r="BB644" s="8"/>
      <c r="BC644" s="8"/>
      <c r="BD644" s="8"/>
      <c r="BE644" s="8"/>
      <c r="BF644" s="8"/>
      <c r="BG644" s="8"/>
      <c r="BH644" s="8"/>
      <c r="BI644" s="8"/>
      <c r="BJ644" s="8"/>
      <c r="BK644" s="8"/>
      <c r="BL644" s="8"/>
      <c r="BM644" s="8"/>
      <c r="BN644" s="8"/>
      <c r="BO644" s="8"/>
      <c r="BP644" s="8"/>
      <c r="BQ644" s="8"/>
      <c r="BR644" s="8"/>
      <c r="BS644" s="8"/>
      <c r="BT644" s="8"/>
      <c r="BU644" s="8"/>
      <c r="BV644" s="8"/>
      <c r="BW644" s="8"/>
      <c r="BX644" s="8"/>
      <c r="BY644" s="8"/>
      <c r="BZ644" s="8"/>
      <c r="CA644" s="8"/>
      <c r="CB644" s="8"/>
      <c r="CC644" s="8"/>
      <c r="CD644" s="8"/>
      <c r="CE644" s="8"/>
      <c r="CF644" s="8"/>
      <c r="CG644" s="8"/>
      <c r="CH644" s="8"/>
      <c r="CI644" s="8"/>
      <c r="CJ644" s="8"/>
      <c r="CK644" s="8"/>
      <c r="CL644" s="8"/>
      <c r="CM644" s="8"/>
      <c r="CN644" s="8"/>
    </row>
    <row r="645" spans="7:92" x14ac:dyDescent="0.35">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c r="AZ645" s="8"/>
      <c r="BA645" s="8"/>
      <c r="BB645" s="8"/>
      <c r="BC645" s="8"/>
      <c r="BD645" s="8"/>
      <c r="BE645" s="8"/>
      <c r="BF645" s="8"/>
      <c r="BG645" s="8"/>
      <c r="BH645" s="8"/>
      <c r="BI645" s="8"/>
      <c r="BJ645" s="8"/>
      <c r="BK645" s="8"/>
      <c r="BL645" s="8"/>
      <c r="BM645" s="8"/>
      <c r="BN645" s="8"/>
      <c r="BO645" s="8"/>
      <c r="BP645" s="8"/>
      <c r="BQ645" s="8"/>
      <c r="BR645" s="8"/>
      <c r="BS645" s="8"/>
      <c r="BT645" s="8"/>
      <c r="BU645" s="8"/>
      <c r="BV645" s="8"/>
      <c r="BW645" s="8"/>
      <c r="BX645" s="8"/>
      <c r="BY645" s="8"/>
      <c r="BZ645" s="8"/>
      <c r="CA645" s="8"/>
      <c r="CB645" s="8"/>
      <c r="CC645" s="8"/>
      <c r="CD645" s="8"/>
      <c r="CE645" s="8"/>
      <c r="CF645" s="8"/>
      <c r="CG645" s="8"/>
      <c r="CH645" s="8"/>
      <c r="CI645" s="8"/>
      <c r="CJ645" s="8"/>
      <c r="CK645" s="8"/>
      <c r="CL645" s="8"/>
      <c r="CM645" s="8"/>
      <c r="CN645" s="8"/>
    </row>
    <row r="646" spans="7:92" x14ac:dyDescent="0.35">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c r="AX646" s="8"/>
      <c r="AY646" s="8"/>
      <c r="AZ646" s="8"/>
      <c r="BA646" s="8"/>
      <c r="BB646" s="8"/>
      <c r="BC646" s="8"/>
      <c r="BD646" s="8"/>
      <c r="BE646" s="8"/>
      <c r="BF646" s="8"/>
      <c r="BG646" s="8"/>
      <c r="BH646" s="8"/>
      <c r="BI646" s="8"/>
      <c r="BJ646" s="8"/>
      <c r="BK646" s="8"/>
      <c r="BL646" s="8"/>
      <c r="BM646" s="8"/>
      <c r="BN646" s="8"/>
      <c r="BO646" s="8"/>
      <c r="BP646" s="8"/>
      <c r="BQ646" s="8"/>
      <c r="BR646" s="8"/>
      <c r="BS646" s="8"/>
      <c r="BT646" s="8"/>
      <c r="BU646" s="8"/>
      <c r="BV646" s="8"/>
      <c r="BW646" s="8"/>
      <c r="BX646" s="8"/>
      <c r="BY646" s="8"/>
      <c r="BZ646" s="8"/>
      <c r="CA646" s="8"/>
      <c r="CB646" s="8"/>
      <c r="CC646" s="8"/>
      <c r="CD646" s="8"/>
      <c r="CE646" s="8"/>
      <c r="CF646" s="8"/>
      <c r="CG646" s="8"/>
      <c r="CH646" s="8"/>
      <c r="CI646" s="8"/>
      <c r="CJ646" s="8"/>
      <c r="CK646" s="8"/>
      <c r="CL646" s="8"/>
      <c r="CM646" s="8"/>
      <c r="CN646" s="8"/>
    </row>
    <row r="647" spans="7:92" x14ac:dyDescent="0.35">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8"/>
      <c r="AX647" s="8"/>
      <c r="AY647" s="8"/>
      <c r="AZ647" s="8"/>
      <c r="BA647" s="8"/>
      <c r="BB647" s="8"/>
      <c r="BC647" s="8"/>
      <c r="BD647" s="8"/>
      <c r="BE647" s="8"/>
      <c r="BF647" s="8"/>
      <c r="BG647" s="8"/>
      <c r="BH647" s="8"/>
      <c r="BI647" s="8"/>
      <c r="BJ647" s="8"/>
      <c r="BK647" s="8"/>
      <c r="BL647" s="8"/>
      <c r="BM647" s="8"/>
      <c r="BN647" s="8"/>
      <c r="BO647" s="8"/>
      <c r="BP647" s="8"/>
      <c r="BQ647" s="8"/>
      <c r="BR647" s="8"/>
      <c r="BS647" s="8"/>
      <c r="BT647" s="8"/>
      <c r="BU647" s="8"/>
      <c r="BV647" s="8"/>
      <c r="BW647" s="8"/>
      <c r="BX647" s="8"/>
      <c r="BY647" s="8"/>
      <c r="BZ647" s="8"/>
      <c r="CA647" s="8"/>
      <c r="CB647" s="8"/>
      <c r="CC647" s="8"/>
      <c r="CD647" s="8"/>
      <c r="CE647" s="8"/>
      <c r="CF647" s="8"/>
      <c r="CG647" s="8"/>
      <c r="CH647" s="8"/>
      <c r="CI647" s="8"/>
      <c r="CJ647" s="8"/>
      <c r="CK647" s="8"/>
      <c r="CL647" s="8"/>
      <c r="CM647" s="8"/>
      <c r="CN647" s="8"/>
    </row>
    <row r="648" spans="7:92" x14ac:dyDescent="0.35">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8"/>
      <c r="AX648" s="8"/>
      <c r="AY648" s="8"/>
      <c r="AZ648" s="8"/>
      <c r="BA648" s="8"/>
      <c r="BB648" s="8"/>
      <c r="BC648" s="8"/>
      <c r="BD648" s="8"/>
      <c r="BE648" s="8"/>
      <c r="BF648" s="8"/>
      <c r="BG648" s="8"/>
      <c r="BH648" s="8"/>
      <c r="BI648" s="8"/>
      <c r="BJ648" s="8"/>
      <c r="BK648" s="8"/>
      <c r="BL648" s="8"/>
      <c r="BM648" s="8"/>
      <c r="BN648" s="8"/>
      <c r="BO648" s="8"/>
      <c r="BP648" s="8"/>
      <c r="BQ648" s="8"/>
      <c r="BR648" s="8"/>
      <c r="BS648" s="8"/>
      <c r="BT648" s="8"/>
      <c r="BU648" s="8"/>
      <c r="BV648" s="8"/>
      <c r="BW648" s="8"/>
      <c r="BX648" s="8"/>
      <c r="BY648" s="8"/>
      <c r="BZ648" s="8"/>
      <c r="CA648" s="8"/>
      <c r="CB648" s="8"/>
      <c r="CC648" s="8"/>
      <c r="CD648" s="8"/>
      <c r="CE648" s="8"/>
      <c r="CF648" s="8"/>
      <c r="CG648" s="8"/>
      <c r="CH648" s="8"/>
      <c r="CI648" s="8"/>
      <c r="CJ648" s="8"/>
      <c r="CK648" s="8"/>
      <c r="CL648" s="8"/>
      <c r="CM648" s="8"/>
      <c r="CN648" s="8"/>
    </row>
    <row r="649" spans="7:92" x14ac:dyDescent="0.35">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c r="AZ649" s="8"/>
      <c r="BA649" s="8"/>
      <c r="BB649" s="8"/>
      <c r="BC649" s="8"/>
      <c r="BD649" s="8"/>
      <c r="BE649" s="8"/>
      <c r="BF649" s="8"/>
      <c r="BG649" s="8"/>
      <c r="BH649" s="8"/>
      <c r="BI649" s="8"/>
      <c r="BJ649" s="8"/>
      <c r="BK649" s="8"/>
      <c r="BL649" s="8"/>
      <c r="BM649" s="8"/>
      <c r="BN649" s="8"/>
      <c r="BO649" s="8"/>
      <c r="BP649" s="8"/>
      <c r="BQ649" s="8"/>
      <c r="BR649" s="8"/>
      <c r="BS649" s="8"/>
      <c r="BT649" s="8"/>
      <c r="BU649" s="8"/>
      <c r="BV649" s="8"/>
      <c r="BW649" s="8"/>
      <c r="BX649" s="8"/>
      <c r="BY649" s="8"/>
      <c r="BZ649" s="8"/>
      <c r="CA649" s="8"/>
      <c r="CB649" s="8"/>
      <c r="CC649" s="8"/>
      <c r="CD649" s="8"/>
      <c r="CE649" s="8"/>
      <c r="CF649" s="8"/>
      <c r="CG649" s="8"/>
      <c r="CH649" s="8"/>
      <c r="CI649" s="8"/>
      <c r="CJ649" s="8"/>
      <c r="CK649" s="8"/>
      <c r="CL649" s="8"/>
      <c r="CM649" s="8"/>
      <c r="CN649" s="8"/>
    </row>
    <row r="650" spans="7:92" x14ac:dyDescent="0.35">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c r="AX650" s="8"/>
      <c r="AY650" s="8"/>
      <c r="AZ650" s="8"/>
      <c r="BA650" s="8"/>
      <c r="BB650" s="8"/>
      <c r="BC650" s="8"/>
      <c r="BD650" s="8"/>
      <c r="BE650" s="8"/>
      <c r="BF650" s="8"/>
      <c r="BG650" s="8"/>
      <c r="BH650" s="8"/>
      <c r="BI650" s="8"/>
      <c r="BJ650" s="8"/>
      <c r="BK650" s="8"/>
      <c r="BL650" s="8"/>
      <c r="BM650" s="8"/>
      <c r="BN650" s="8"/>
      <c r="BO650" s="8"/>
      <c r="BP650" s="8"/>
      <c r="BQ650" s="8"/>
      <c r="BR650" s="8"/>
      <c r="BS650" s="8"/>
      <c r="BT650" s="8"/>
      <c r="BU650" s="8"/>
      <c r="BV650" s="8"/>
      <c r="BW650" s="8"/>
      <c r="BX650" s="8"/>
      <c r="BY650" s="8"/>
      <c r="BZ650" s="8"/>
      <c r="CA650" s="8"/>
      <c r="CB650" s="8"/>
      <c r="CC650" s="8"/>
      <c r="CD650" s="8"/>
      <c r="CE650" s="8"/>
      <c r="CF650" s="8"/>
      <c r="CG650" s="8"/>
      <c r="CH650" s="8"/>
      <c r="CI650" s="8"/>
      <c r="CJ650" s="8"/>
      <c r="CK650" s="8"/>
      <c r="CL650" s="8"/>
      <c r="CM650" s="8"/>
      <c r="CN650" s="8"/>
    </row>
    <row r="651" spans="7:92" x14ac:dyDescent="0.35">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c r="AU651" s="8"/>
      <c r="AV651" s="8"/>
      <c r="AW651" s="8"/>
      <c r="AX651" s="8"/>
      <c r="AY651" s="8"/>
      <c r="AZ651" s="8"/>
      <c r="BA651" s="8"/>
      <c r="BB651" s="8"/>
      <c r="BC651" s="8"/>
      <c r="BD651" s="8"/>
      <c r="BE651" s="8"/>
      <c r="BF651" s="8"/>
      <c r="BG651" s="8"/>
      <c r="BH651" s="8"/>
      <c r="BI651" s="8"/>
      <c r="BJ651" s="8"/>
      <c r="BK651" s="8"/>
      <c r="BL651" s="8"/>
      <c r="BM651" s="8"/>
      <c r="BN651" s="8"/>
      <c r="BO651" s="8"/>
      <c r="BP651" s="8"/>
      <c r="BQ651" s="8"/>
      <c r="BR651" s="8"/>
      <c r="BS651" s="8"/>
      <c r="BT651" s="8"/>
      <c r="BU651" s="8"/>
      <c r="BV651" s="8"/>
      <c r="BW651" s="8"/>
      <c r="BX651" s="8"/>
      <c r="BY651" s="8"/>
      <c r="BZ651" s="8"/>
      <c r="CA651" s="8"/>
      <c r="CB651" s="8"/>
      <c r="CC651" s="8"/>
      <c r="CD651" s="8"/>
      <c r="CE651" s="8"/>
      <c r="CF651" s="8"/>
      <c r="CG651" s="8"/>
      <c r="CH651" s="8"/>
      <c r="CI651" s="8"/>
      <c r="CJ651" s="8"/>
      <c r="CK651" s="8"/>
      <c r="CL651" s="8"/>
      <c r="CM651" s="8"/>
      <c r="CN651" s="8"/>
    </row>
    <row r="652" spans="7:92" x14ac:dyDescent="0.35">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c r="AU652" s="8"/>
      <c r="AV652" s="8"/>
      <c r="AW652" s="8"/>
      <c r="AX652" s="8"/>
      <c r="AY652" s="8"/>
      <c r="AZ652" s="8"/>
      <c r="BA652" s="8"/>
      <c r="BB652" s="8"/>
      <c r="BC652" s="8"/>
      <c r="BD652" s="8"/>
      <c r="BE652" s="8"/>
      <c r="BF652" s="8"/>
      <c r="BG652" s="8"/>
      <c r="BH652" s="8"/>
      <c r="BI652" s="8"/>
      <c r="BJ652" s="8"/>
      <c r="BK652" s="8"/>
      <c r="BL652" s="8"/>
      <c r="BM652" s="8"/>
      <c r="BN652" s="8"/>
      <c r="BO652" s="8"/>
      <c r="BP652" s="8"/>
      <c r="BQ652" s="8"/>
      <c r="BR652" s="8"/>
      <c r="BS652" s="8"/>
      <c r="BT652" s="8"/>
      <c r="BU652" s="8"/>
      <c r="BV652" s="8"/>
      <c r="BW652" s="8"/>
      <c r="BX652" s="8"/>
      <c r="BY652" s="8"/>
      <c r="BZ652" s="8"/>
      <c r="CA652" s="8"/>
      <c r="CB652" s="8"/>
      <c r="CC652" s="8"/>
      <c r="CD652" s="8"/>
      <c r="CE652" s="8"/>
      <c r="CF652" s="8"/>
      <c r="CG652" s="8"/>
      <c r="CH652" s="8"/>
      <c r="CI652" s="8"/>
      <c r="CJ652" s="8"/>
      <c r="CK652" s="8"/>
      <c r="CL652" s="8"/>
      <c r="CM652" s="8"/>
      <c r="CN652" s="8"/>
    </row>
    <row r="653" spans="7:92" x14ac:dyDescent="0.35">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8"/>
      <c r="AX653" s="8"/>
      <c r="AY653" s="8"/>
      <c r="AZ653" s="8"/>
      <c r="BA653" s="8"/>
      <c r="BB653" s="8"/>
      <c r="BC653" s="8"/>
      <c r="BD653" s="8"/>
      <c r="BE653" s="8"/>
      <c r="BF653" s="8"/>
      <c r="BG653" s="8"/>
      <c r="BH653" s="8"/>
      <c r="BI653" s="8"/>
      <c r="BJ653" s="8"/>
      <c r="BK653" s="8"/>
      <c r="BL653" s="8"/>
      <c r="BM653" s="8"/>
      <c r="BN653" s="8"/>
      <c r="BO653" s="8"/>
      <c r="BP653" s="8"/>
      <c r="BQ653" s="8"/>
      <c r="BR653" s="8"/>
      <c r="BS653" s="8"/>
      <c r="BT653" s="8"/>
      <c r="BU653" s="8"/>
      <c r="BV653" s="8"/>
      <c r="BW653" s="8"/>
      <c r="BX653" s="8"/>
      <c r="BY653" s="8"/>
      <c r="BZ653" s="8"/>
      <c r="CA653" s="8"/>
      <c r="CB653" s="8"/>
      <c r="CC653" s="8"/>
      <c r="CD653" s="8"/>
      <c r="CE653" s="8"/>
      <c r="CF653" s="8"/>
      <c r="CG653" s="8"/>
      <c r="CH653" s="8"/>
      <c r="CI653" s="8"/>
      <c r="CJ653" s="8"/>
      <c r="CK653" s="8"/>
      <c r="CL653" s="8"/>
      <c r="CM653" s="8"/>
      <c r="CN653" s="8"/>
    </row>
    <row r="654" spans="7:92" x14ac:dyDescent="0.35">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c r="AU654" s="8"/>
      <c r="AV654" s="8"/>
      <c r="AW654" s="8"/>
      <c r="AX654" s="8"/>
      <c r="AY654" s="8"/>
      <c r="AZ654" s="8"/>
      <c r="BA654" s="8"/>
      <c r="BB654" s="8"/>
      <c r="BC654" s="8"/>
      <c r="BD654" s="8"/>
      <c r="BE654" s="8"/>
      <c r="BF654" s="8"/>
      <c r="BG654" s="8"/>
      <c r="BH654" s="8"/>
      <c r="BI654" s="8"/>
      <c r="BJ654" s="8"/>
      <c r="BK654" s="8"/>
      <c r="BL654" s="8"/>
      <c r="BM654" s="8"/>
      <c r="BN654" s="8"/>
      <c r="BO654" s="8"/>
      <c r="BP654" s="8"/>
      <c r="BQ654" s="8"/>
      <c r="BR654" s="8"/>
      <c r="BS654" s="8"/>
      <c r="BT654" s="8"/>
      <c r="BU654" s="8"/>
      <c r="BV654" s="8"/>
      <c r="BW654" s="8"/>
      <c r="BX654" s="8"/>
      <c r="BY654" s="8"/>
      <c r="BZ654" s="8"/>
      <c r="CA654" s="8"/>
      <c r="CB654" s="8"/>
      <c r="CC654" s="8"/>
      <c r="CD654" s="8"/>
      <c r="CE654" s="8"/>
      <c r="CF654" s="8"/>
      <c r="CG654" s="8"/>
      <c r="CH654" s="8"/>
      <c r="CI654" s="8"/>
      <c r="CJ654" s="8"/>
      <c r="CK654" s="8"/>
      <c r="CL654" s="8"/>
      <c r="CM654" s="8"/>
      <c r="CN654" s="8"/>
    </row>
    <row r="655" spans="7:92" x14ac:dyDescent="0.35">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c r="AU655" s="8"/>
      <c r="AV655" s="8"/>
      <c r="AW655" s="8"/>
      <c r="AX655" s="8"/>
      <c r="AY655" s="8"/>
      <c r="AZ655" s="8"/>
      <c r="BA655" s="8"/>
      <c r="BB655" s="8"/>
      <c r="BC655" s="8"/>
      <c r="BD655" s="8"/>
      <c r="BE655" s="8"/>
      <c r="BF655" s="8"/>
      <c r="BG655" s="8"/>
      <c r="BH655" s="8"/>
      <c r="BI655" s="8"/>
      <c r="BJ655" s="8"/>
      <c r="BK655" s="8"/>
      <c r="BL655" s="8"/>
      <c r="BM655" s="8"/>
      <c r="BN655" s="8"/>
      <c r="BO655" s="8"/>
      <c r="BP655" s="8"/>
      <c r="BQ655" s="8"/>
      <c r="BR655" s="8"/>
      <c r="BS655" s="8"/>
      <c r="BT655" s="8"/>
      <c r="BU655" s="8"/>
      <c r="BV655" s="8"/>
      <c r="BW655" s="8"/>
      <c r="BX655" s="8"/>
      <c r="BY655" s="8"/>
      <c r="BZ655" s="8"/>
      <c r="CA655" s="8"/>
      <c r="CB655" s="8"/>
      <c r="CC655" s="8"/>
      <c r="CD655" s="8"/>
      <c r="CE655" s="8"/>
      <c r="CF655" s="8"/>
      <c r="CG655" s="8"/>
      <c r="CH655" s="8"/>
      <c r="CI655" s="8"/>
      <c r="CJ655" s="8"/>
      <c r="CK655" s="8"/>
      <c r="CL655" s="8"/>
      <c r="CM655" s="8"/>
      <c r="CN655" s="8"/>
    </row>
    <row r="656" spans="7:92" x14ac:dyDescent="0.35">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c r="AU656" s="8"/>
      <c r="AV656" s="8"/>
      <c r="AW656" s="8"/>
      <c r="AX656" s="8"/>
      <c r="AY656" s="8"/>
      <c r="AZ656" s="8"/>
      <c r="BA656" s="8"/>
      <c r="BB656" s="8"/>
      <c r="BC656" s="8"/>
      <c r="BD656" s="8"/>
      <c r="BE656" s="8"/>
      <c r="BF656" s="8"/>
      <c r="BG656" s="8"/>
      <c r="BH656" s="8"/>
      <c r="BI656" s="8"/>
      <c r="BJ656" s="8"/>
      <c r="BK656" s="8"/>
      <c r="BL656" s="8"/>
      <c r="BM656" s="8"/>
      <c r="BN656" s="8"/>
      <c r="BO656" s="8"/>
      <c r="BP656" s="8"/>
      <c r="BQ656" s="8"/>
      <c r="BR656" s="8"/>
      <c r="BS656" s="8"/>
      <c r="BT656" s="8"/>
      <c r="BU656" s="8"/>
      <c r="BV656" s="8"/>
      <c r="BW656" s="8"/>
      <c r="BX656" s="8"/>
      <c r="BY656" s="8"/>
      <c r="BZ656" s="8"/>
      <c r="CA656" s="8"/>
      <c r="CB656" s="8"/>
      <c r="CC656" s="8"/>
      <c r="CD656" s="8"/>
      <c r="CE656" s="8"/>
      <c r="CF656" s="8"/>
      <c r="CG656" s="8"/>
      <c r="CH656" s="8"/>
      <c r="CI656" s="8"/>
      <c r="CJ656" s="8"/>
      <c r="CK656" s="8"/>
      <c r="CL656" s="8"/>
      <c r="CM656" s="8"/>
      <c r="CN656" s="8"/>
    </row>
    <row r="657" spans="7:92" x14ac:dyDescent="0.35">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c r="AU657" s="8"/>
      <c r="AV657" s="8"/>
      <c r="AW657" s="8"/>
      <c r="AX657" s="8"/>
      <c r="AY657" s="8"/>
      <c r="AZ657" s="8"/>
      <c r="BA657" s="8"/>
      <c r="BB657" s="8"/>
      <c r="BC657" s="8"/>
      <c r="BD657" s="8"/>
      <c r="BE657" s="8"/>
      <c r="BF657" s="8"/>
      <c r="BG657" s="8"/>
      <c r="BH657" s="8"/>
      <c r="BI657" s="8"/>
      <c r="BJ657" s="8"/>
      <c r="BK657" s="8"/>
      <c r="BL657" s="8"/>
      <c r="BM657" s="8"/>
      <c r="BN657" s="8"/>
      <c r="BO657" s="8"/>
      <c r="BP657" s="8"/>
      <c r="BQ657" s="8"/>
      <c r="BR657" s="8"/>
      <c r="BS657" s="8"/>
      <c r="BT657" s="8"/>
      <c r="BU657" s="8"/>
      <c r="BV657" s="8"/>
      <c r="BW657" s="8"/>
      <c r="BX657" s="8"/>
      <c r="BY657" s="8"/>
      <c r="BZ657" s="8"/>
      <c r="CA657" s="8"/>
      <c r="CB657" s="8"/>
      <c r="CC657" s="8"/>
      <c r="CD657" s="8"/>
      <c r="CE657" s="8"/>
      <c r="CF657" s="8"/>
      <c r="CG657" s="8"/>
      <c r="CH657" s="8"/>
      <c r="CI657" s="8"/>
      <c r="CJ657" s="8"/>
      <c r="CK657" s="8"/>
      <c r="CL657" s="8"/>
      <c r="CM657" s="8"/>
      <c r="CN657" s="8"/>
    </row>
    <row r="658" spans="7:92" x14ac:dyDescent="0.35">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c r="AU658" s="8"/>
      <c r="AV658" s="8"/>
      <c r="AW658" s="8"/>
      <c r="AX658" s="8"/>
      <c r="AY658" s="8"/>
      <c r="AZ658" s="8"/>
      <c r="BA658" s="8"/>
      <c r="BB658" s="8"/>
      <c r="BC658" s="8"/>
      <c r="BD658" s="8"/>
      <c r="BE658" s="8"/>
      <c r="BF658" s="8"/>
      <c r="BG658" s="8"/>
      <c r="BH658" s="8"/>
      <c r="BI658" s="8"/>
      <c r="BJ658" s="8"/>
      <c r="BK658" s="8"/>
      <c r="BL658" s="8"/>
      <c r="BM658" s="8"/>
      <c r="BN658" s="8"/>
      <c r="BO658" s="8"/>
      <c r="BP658" s="8"/>
      <c r="BQ658" s="8"/>
      <c r="BR658" s="8"/>
      <c r="BS658" s="8"/>
      <c r="BT658" s="8"/>
      <c r="BU658" s="8"/>
      <c r="BV658" s="8"/>
      <c r="BW658" s="8"/>
      <c r="BX658" s="8"/>
      <c r="BY658" s="8"/>
      <c r="BZ658" s="8"/>
      <c r="CA658" s="8"/>
      <c r="CB658" s="8"/>
      <c r="CC658" s="8"/>
      <c r="CD658" s="8"/>
      <c r="CE658" s="8"/>
      <c r="CF658" s="8"/>
      <c r="CG658" s="8"/>
      <c r="CH658" s="8"/>
      <c r="CI658" s="8"/>
      <c r="CJ658" s="8"/>
      <c r="CK658" s="8"/>
      <c r="CL658" s="8"/>
      <c r="CM658" s="8"/>
      <c r="CN658" s="8"/>
    </row>
    <row r="659" spans="7:92" x14ac:dyDescent="0.35">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c r="AU659" s="8"/>
      <c r="AV659" s="8"/>
      <c r="AW659" s="8"/>
      <c r="AX659" s="8"/>
      <c r="AY659" s="8"/>
      <c r="AZ659" s="8"/>
      <c r="BA659" s="8"/>
      <c r="BB659" s="8"/>
      <c r="BC659" s="8"/>
      <c r="BD659" s="8"/>
      <c r="BE659" s="8"/>
      <c r="BF659" s="8"/>
      <c r="BG659" s="8"/>
      <c r="BH659" s="8"/>
      <c r="BI659" s="8"/>
      <c r="BJ659" s="8"/>
      <c r="BK659" s="8"/>
      <c r="BL659" s="8"/>
      <c r="BM659" s="8"/>
      <c r="BN659" s="8"/>
      <c r="BO659" s="8"/>
      <c r="BP659" s="8"/>
      <c r="BQ659" s="8"/>
      <c r="BR659" s="8"/>
      <c r="BS659" s="8"/>
      <c r="BT659" s="8"/>
      <c r="BU659" s="8"/>
      <c r="BV659" s="8"/>
      <c r="BW659" s="8"/>
      <c r="BX659" s="8"/>
      <c r="BY659" s="8"/>
      <c r="BZ659" s="8"/>
      <c r="CA659" s="8"/>
      <c r="CB659" s="8"/>
      <c r="CC659" s="8"/>
      <c r="CD659" s="8"/>
      <c r="CE659" s="8"/>
      <c r="CF659" s="8"/>
      <c r="CG659" s="8"/>
      <c r="CH659" s="8"/>
      <c r="CI659" s="8"/>
      <c r="CJ659" s="8"/>
      <c r="CK659" s="8"/>
      <c r="CL659" s="8"/>
      <c r="CM659" s="8"/>
      <c r="CN659" s="8"/>
    </row>
    <row r="660" spans="7:92" x14ac:dyDescent="0.35">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c r="AU660" s="8"/>
      <c r="AV660" s="8"/>
      <c r="AW660" s="8"/>
      <c r="AX660" s="8"/>
      <c r="AY660" s="8"/>
      <c r="AZ660" s="8"/>
      <c r="BA660" s="8"/>
      <c r="BB660" s="8"/>
      <c r="BC660" s="8"/>
      <c r="BD660" s="8"/>
      <c r="BE660" s="8"/>
      <c r="BF660" s="8"/>
      <c r="BG660" s="8"/>
      <c r="BH660" s="8"/>
      <c r="BI660" s="8"/>
      <c r="BJ660" s="8"/>
      <c r="BK660" s="8"/>
      <c r="BL660" s="8"/>
      <c r="BM660" s="8"/>
      <c r="BN660" s="8"/>
      <c r="BO660" s="8"/>
      <c r="BP660" s="8"/>
      <c r="BQ660" s="8"/>
      <c r="BR660" s="8"/>
      <c r="BS660" s="8"/>
      <c r="BT660" s="8"/>
      <c r="BU660" s="8"/>
      <c r="BV660" s="8"/>
      <c r="BW660" s="8"/>
      <c r="BX660" s="8"/>
      <c r="BY660" s="8"/>
      <c r="BZ660" s="8"/>
      <c r="CA660" s="8"/>
      <c r="CB660" s="8"/>
      <c r="CC660" s="8"/>
      <c r="CD660" s="8"/>
      <c r="CE660" s="8"/>
      <c r="CF660" s="8"/>
      <c r="CG660" s="8"/>
      <c r="CH660" s="8"/>
      <c r="CI660" s="8"/>
      <c r="CJ660" s="8"/>
      <c r="CK660" s="8"/>
      <c r="CL660" s="8"/>
      <c r="CM660" s="8"/>
      <c r="CN660" s="8"/>
    </row>
    <row r="661" spans="7:92" x14ac:dyDescent="0.35">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c r="AU661" s="8"/>
      <c r="AV661" s="8"/>
      <c r="AW661" s="8"/>
      <c r="AX661" s="8"/>
      <c r="AY661" s="8"/>
      <c r="AZ661" s="8"/>
      <c r="BA661" s="8"/>
      <c r="BB661" s="8"/>
      <c r="BC661" s="8"/>
      <c r="BD661" s="8"/>
      <c r="BE661" s="8"/>
      <c r="BF661" s="8"/>
      <c r="BG661" s="8"/>
      <c r="BH661" s="8"/>
      <c r="BI661" s="8"/>
      <c r="BJ661" s="8"/>
      <c r="BK661" s="8"/>
      <c r="BL661" s="8"/>
      <c r="BM661" s="8"/>
      <c r="BN661" s="8"/>
      <c r="BO661" s="8"/>
      <c r="BP661" s="8"/>
      <c r="BQ661" s="8"/>
      <c r="BR661" s="8"/>
      <c r="BS661" s="8"/>
      <c r="BT661" s="8"/>
      <c r="BU661" s="8"/>
      <c r="BV661" s="8"/>
      <c r="BW661" s="8"/>
      <c r="BX661" s="8"/>
      <c r="BY661" s="8"/>
      <c r="BZ661" s="8"/>
      <c r="CA661" s="8"/>
      <c r="CB661" s="8"/>
      <c r="CC661" s="8"/>
      <c r="CD661" s="8"/>
      <c r="CE661" s="8"/>
      <c r="CF661" s="8"/>
      <c r="CG661" s="8"/>
      <c r="CH661" s="8"/>
      <c r="CI661" s="8"/>
      <c r="CJ661" s="8"/>
      <c r="CK661" s="8"/>
      <c r="CL661" s="8"/>
      <c r="CM661" s="8"/>
      <c r="CN661" s="8"/>
    </row>
    <row r="662" spans="7:92" x14ac:dyDescent="0.35">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8"/>
      <c r="AX662" s="8"/>
      <c r="AY662" s="8"/>
      <c r="AZ662" s="8"/>
      <c r="BA662" s="8"/>
      <c r="BB662" s="8"/>
      <c r="BC662" s="8"/>
      <c r="BD662" s="8"/>
      <c r="BE662" s="8"/>
      <c r="BF662" s="8"/>
      <c r="BG662" s="8"/>
      <c r="BH662" s="8"/>
      <c r="BI662" s="8"/>
      <c r="BJ662" s="8"/>
      <c r="BK662" s="8"/>
      <c r="BL662" s="8"/>
      <c r="BM662" s="8"/>
      <c r="BN662" s="8"/>
      <c r="BO662" s="8"/>
      <c r="BP662" s="8"/>
      <c r="BQ662" s="8"/>
      <c r="BR662" s="8"/>
      <c r="BS662" s="8"/>
      <c r="BT662" s="8"/>
      <c r="BU662" s="8"/>
      <c r="BV662" s="8"/>
      <c r="BW662" s="8"/>
      <c r="BX662" s="8"/>
      <c r="BY662" s="8"/>
      <c r="BZ662" s="8"/>
      <c r="CA662" s="8"/>
      <c r="CB662" s="8"/>
      <c r="CC662" s="8"/>
      <c r="CD662" s="8"/>
      <c r="CE662" s="8"/>
      <c r="CF662" s="8"/>
      <c r="CG662" s="8"/>
      <c r="CH662" s="8"/>
      <c r="CI662" s="8"/>
      <c r="CJ662" s="8"/>
      <c r="CK662" s="8"/>
      <c r="CL662" s="8"/>
      <c r="CM662" s="8"/>
      <c r="CN662" s="8"/>
    </row>
    <row r="663" spans="7:92" x14ac:dyDescent="0.35">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c r="AU663" s="8"/>
      <c r="AV663" s="8"/>
      <c r="AW663" s="8"/>
      <c r="AX663" s="8"/>
      <c r="AY663" s="8"/>
      <c r="AZ663" s="8"/>
      <c r="BA663" s="8"/>
      <c r="BB663" s="8"/>
      <c r="BC663" s="8"/>
      <c r="BD663" s="8"/>
      <c r="BE663" s="8"/>
      <c r="BF663" s="8"/>
      <c r="BG663" s="8"/>
      <c r="BH663" s="8"/>
      <c r="BI663" s="8"/>
      <c r="BJ663" s="8"/>
      <c r="BK663" s="8"/>
      <c r="BL663" s="8"/>
      <c r="BM663" s="8"/>
      <c r="BN663" s="8"/>
      <c r="BO663" s="8"/>
      <c r="BP663" s="8"/>
      <c r="BQ663" s="8"/>
      <c r="BR663" s="8"/>
      <c r="BS663" s="8"/>
      <c r="BT663" s="8"/>
      <c r="BU663" s="8"/>
      <c r="BV663" s="8"/>
      <c r="BW663" s="8"/>
      <c r="BX663" s="8"/>
      <c r="BY663" s="8"/>
      <c r="BZ663" s="8"/>
      <c r="CA663" s="8"/>
      <c r="CB663" s="8"/>
      <c r="CC663" s="8"/>
      <c r="CD663" s="8"/>
      <c r="CE663" s="8"/>
      <c r="CF663" s="8"/>
      <c r="CG663" s="8"/>
      <c r="CH663" s="8"/>
      <c r="CI663" s="8"/>
      <c r="CJ663" s="8"/>
      <c r="CK663" s="8"/>
      <c r="CL663" s="8"/>
      <c r="CM663" s="8"/>
      <c r="CN663" s="8"/>
    </row>
    <row r="664" spans="7:92" x14ac:dyDescent="0.35">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c r="AU664" s="8"/>
      <c r="AV664" s="8"/>
      <c r="AW664" s="8"/>
      <c r="AX664" s="8"/>
      <c r="AY664" s="8"/>
      <c r="AZ664" s="8"/>
      <c r="BA664" s="8"/>
      <c r="BB664" s="8"/>
      <c r="BC664" s="8"/>
      <c r="BD664" s="8"/>
      <c r="BE664" s="8"/>
      <c r="BF664" s="8"/>
      <c r="BG664" s="8"/>
      <c r="BH664" s="8"/>
      <c r="BI664" s="8"/>
      <c r="BJ664" s="8"/>
      <c r="BK664" s="8"/>
      <c r="BL664" s="8"/>
      <c r="BM664" s="8"/>
      <c r="BN664" s="8"/>
      <c r="BO664" s="8"/>
      <c r="BP664" s="8"/>
      <c r="BQ664" s="8"/>
      <c r="BR664" s="8"/>
      <c r="BS664" s="8"/>
      <c r="BT664" s="8"/>
      <c r="BU664" s="8"/>
      <c r="BV664" s="8"/>
      <c r="BW664" s="8"/>
      <c r="BX664" s="8"/>
      <c r="BY664" s="8"/>
      <c r="BZ664" s="8"/>
      <c r="CA664" s="8"/>
      <c r="CB664" s="8"/>
      <c r="CC664" s="8"/>
      <c r="CD664" s="8"/>
      <c r="CE664" s="8"/>
      <c r="CF664" s="8"/>
      <c r="CG664" s="8"/>
      <c r="CH664" s="8"/>
      <c r="CI664" s="8"/>
      <c r="CJ664" s="8"/>
      <c r="CK664" s="8"/>
      <c r="CL664" s="8"/>
      <c r="CM664" s="8"/>
      <c r="CN664" s="8"/>
    </row>
    <row r="665" spans="7:92" x14ac:dyDescent="0.35">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c r="AU665" s="8"/>
      <c r="AV665" s="8"/>
      <c r="AW665" s="8"/>
      <c r="AX665" s="8"/>
      <c r="AY665" s="8"/>
      <c r="AZ665" s="8"/>
      <c r="BA665" s="8"/>
      <c r="BB665" s="8"/>
      <c r="BC665" s="8"/>
      <c r="BD665" s="8"/>
      <c r="BE665" s="8"/>
      <c r="BF665" s="8"/>
      <c r="BG665" s="8"/>
      <c r="BH665" s="8"/>
      <c r="BI665" s="8"/>
      <c r="BJ665" s="8"/>
      <c r="BK665" s="8"/>
      <c r="BL665" s="8"/>
      <c r="BM665" s="8"/>
      <c r="BN665" s="8"/>
      <c r="BO665" s="8"/>
      <c r="BP665" s="8"/>
      <c r="BQ665" s="8"/>
      <c r="BR665" s="8"/>
      <c r="BS665" s="8"/>
      <c r="BT665" s="8"/>
      <c r="BU665" s="8"/>
      <c r="BV665" s="8"/>
      <c r="BW665" s="8"/>
      <c r="BX665" s="8"/>
      <c r="BY665" s="8"/>
      <c r="BZ665" s="8"/>
      <c r="CA665" s="8"/>
      <c r="CB665" s="8"/>
      <c r="CC665" s="8"/>
      <c r="CD665" s="8"/>
      <c r="CE665" s="8"/>
      <c r="CF665" s="8"/>
      <c r="CG665" s="8"/>
      <c r="CH665" s="8"/>
      <c r="CI665" s="8"/>
      <c r="CJ665" s="8"/>
      <c r="CK665" s="8"/>
      <c r="CL665" s="8"/>
      <c r="CM665" s="8"/>
      <c r="CN665" s="8"/>
    </row>
    <row r="666" spans="7:92" x14ac:dyDescent="0.35">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c r="AU666" s="8"/>
      <c r="AV666" s="8"/>
      <c r="AW666" s="8"/>
      <c r="AX666" s="8"/>
      <c r="AY666" s="8"/>
      <c r="AZ666" s="8"/>
      <c r="BA666" s="8"/>
      <c r="BB666" s="8"/>
      <c r="BC666" s="8"/>
      <c r="BD666" s="8"/>
      <c r="BE666" s="8"/>
      <c r="BF666" s="8"/>
      <c r="BG666" s="8"/>
      <c r="BH666" s="8"/>
      <c r="BI666" s="8"/>
      <c r="BJ666" s="8"/>
      <c r="BK666" s="8"/>
      <c r="BL666" s="8"/>
      <c r="BM666" s="8"/>
      <c r="BN666" s="8"/>
      <c r="BO666" s="8"/>
      <c r="BP666" s="8"/>
      <c r="BQ666" s="8"/>
      <c r="BR666" s="8"/>
      <c r="BS666" s="8"/>
      <c r="BT666" s="8"/>
      <c r="BU666" s="8"/>
      <c r="BV666" s="8"/>
      <c r="BW666" s="8"/>
      <c r="BX666" s="8"/>
      <c r="BY666" s="8"/>
      <c r="BZ666" s="8"/>
      <c r="CA666" s="8"/>
      <c r="CB666" s="8"/>
      <c r="CC666" s="8"/>
      <c r="CD666" s="8"/>
      <c r="CE666" s="8"/>
      <c r="CF666" s="8"/>
      <c r="CG666" s="8"/>
      <c r="CH666" s="8"/>
      <c r="CI666" s="8"/>
      <c r="CJ666" s="8"/>
      <c r="CK666" s="8"/>
      <c r="CL666" s="8"/>
      <c r="CM666" s="8"/>
      <c r="CN666" s="8"/>
    </row>
    <row r="667" spans="7:92" x14ac:dyDescent="0.35">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c r="AU667" s="8"/>
      <c r="AV667" s="8"/>
      <c r="AW667" s="8"/>
      <c r="AX667" s="8"/>
      <c r="AY667" s="8"/>
      <c r="AZ667" s="8"/>
      <c r="BA667" s="8"/>
      <c r="BB667" s="8"/>
      <c r="BC667" s="8"/>
      <c r="BD667" s="8"/>
      <c r="BE667" s="8"/>
      <c r="BF667" s="8"/>
      <c r="BG667" s="8"/>
      <c r="BH667" s="8"/>
      <c r="BI667" s="8"/>
      <c r="BJ667" s="8"/>
      <c r="BK667" s="8"/>
      <c r="BL667" s="8"/>
      <c r="BM667" s="8"/>
      <c r="BN667" s="8"/>
      <c r="BO667" s="8"/>
      <c r="BP667" s="8"/>
      <c r="BQ667" s="8"/>
      <c r="BR667" s="8"/>
      <c r="BS667" s="8"/>
      <c r="BT667" s="8"/>
      <c r="BU667" s="8"/>
      <c r="BV667" s="8"/>
      <c r="BW667" s="8"/>
      <c r="BX667" s="8"/>
      <c r="BY667" s="8"/>
      <c r="BZ667" s="8"/>
      <c r="CA667" s="8"/>
      <c r="CB667" s="8"/>
      <c r="CC667" s="8"/>
      <c r="CD667" s="8"/>
      <c r="CE667" s="8"/>
      <c r="CF667" s="8"/>
      <c r="CG667" s="8"/>
      <c r="CH667" s="8"/>
      <c r="CI667" s="8"/>
      <c r="CJ667" s="8"/>
      <c r="CK667" s="8"/>
      <c r="CL667" s="8"/>
      <c r="CM667" s="8"/>
      <c r="CN667" s="8"/>
    </row>
    <row r="668" spans="7:92" x14ac:dyDescent="0.35">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c r="AU668" s="8"/>
      <c r="AV668" s="8"/>
      <c r="AW668" s="8"/>
      <c r="AX668" s="8"/>
      <c r="AY668" s="8"/>
      <c r="AZ668" s="8"/>
      <c r="BA668" s="8"/>
      <c r="BB668" s="8"/>
      <c r="BC668" s="8"/>
      <c r="BD668" s="8"/>
      <c r="BE668" s="8"/>
      <c r="BF668" s="8"/>
      <c r="BG668" s="8"/>
      <c r="BH668" s="8"/>
      <c r="BI668" s="8"/>
      <c r="BJ668" s="8"/>
      <c r="BK668" s="8"/>
      <c r="BL668" s="8"/>
      <c r="BM668" s="8"/>
      <c r="BN668" s="8"/>
      <c r="BO668" s="8"/>
      <c r="BP668" s="8"/>
      <c r="BQ668" s="8"/>
      <c r="BR668" s="8"/>
      <c r="BS668" s="8"/>
      <c r="BT668" s="8"/>
      <c r="BU668" s="8"/>
      <c r="BV668" s="8"/>
      <c r="BW668" s="8"/>
      <c r="BX668" s="8"/>
      <c r="BY668" s="8"/>
      <c r="BZ668" s="8"/>
      <c r="CA668" s="8"/>
      <c r="CB668" s="8"/>
      <c r="CC668" s="8"/>
      <c r="CD668" s="8"/>
      <c r="CE668" s="8"/>
      <c r="CF668" s="8"/>
      <c r="CG668" s="8"/>
      <c r="CH668" s="8"/>
      <c r="CI668" s="8"/>
      <c r="CJ668" s="8"/>
      <c r="CK668" s="8"/>
      <c r="CL668" s="8"/>
      <c r="CM668" s="8"/>
      <c r="CN668" s="8"/>
    </row>
    <row r="669" spans="7:92" x14ac:dyDescent="0.35">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c r="AU669" s="8"/>
      <c r="AV669" s="8"/>
      <c r="AW669" s="8"/>
      <c r="AX669" s="8"/>
      <c r="AY669" s="8"/>
      <c r="AZ669" s="8"/>
      <c r="BA669" s="8"/>
      <c r="BB669" s="8"/>
      <c r="BC669" s="8"/>
      <c r="BD669" s="8"/>
      <c r="BE669" s="8"/>
      <c r="BF669" s="8"/>
      <c r="BG669" s="8"/>
      <c r="BH669" s="8"/>
      <c r="BI669" s="8"/>
      <c r="BJ669" s="8"/>
      <c r="BK669" s="8"/>
      <c r="BL669" s="8"/>
      <c r="BM669" s="8"/>
      <c r="BN669" s="8"/>
      <c r="BO669" s="8"/>
      <c r="BP669" s="8"/>
      <c r="BQ669" s="8"/>
      <c r="BR669" s="8"/>
      <c r="BS669" s="8"/>
      <c r="BT669" s="8"/>
      <c r="BU669" s="8"/>
      <c r="BV669" s="8"/>
      <c r="BW669" s="8"/>
      <c r="BX669" s="8"/>
      <c r="BY669" s="8"/>
      <c r="BZ669" s="8"/>
      <c r="CA669" s="8"/>
      <c r="CB669" s="8"/>
      <c r="CC669" s="8"/>
      <c r="CD669" s="8"/>
      <c r="CE669" s="8"/>
      <c r="CF669" s="8"/>
      <c r="CG669" s="8"/>
      <c r="CH669" s="8"/>
      <c r="CI669" s="8"/>
      <c r="CJ669" s="8"/>
      <c r="CK669" s="8"/>
      <c r="CL669" s="8"/>
      <c r="CM669" s="8"/>
      <c r="CN669" s="8"/>
    </row>
    <row r="670" spans="7:92" x14ac:dyDescent="0.35">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c r="AU670" s="8"/>
      <c r="AV670" s="8"/>
      <c r="AW670" s="8"/>
      <c r="AX670" s="8"/>
      <c r="AY670" s="8"/>
      <c r="AZ670" s="8"/>
      <c r="BA670" s="8"/>
      <c r="BB670" s="8"/>
      <c r="BC670" s="8"/>
      <c r="BD670" s="8"/>
      <c r="BE670" s="8"/>
      <c r="BF670" s="8"/>
      <c r="BG670" s="8"/>
      <c r="BH670" s="8"/>
      <c r="BI670" s="8"/>
      <c r="BJ670" s="8"/>
      <c r="BK670" s="8"/>
      <c r="BL670" s="8"/>
      <c r="BM670" s="8"/>
      <c r="BN670" s="8"/>
      <c r="BO670" s="8"/>
      <c r="BP670" s="8"/>
      <c r="BQ670" s="8"/>
      <c r="BR670" s="8"/>
      <c r="BS670" s="8"/>
      <c r="BT670" s="8"/>
      <c r="BU670" s="8"/>
      <c r="BV670" s="8"/>
      <c r="BW670" s="8"/>
      <c r="BX670" s="8"/>
      <c r="BY670" s="8"/>
      <c r="BZ670" s="8"/>
      <c r="CA670" s="8"/>
      <c r="CB670" s="8"/>
      <c r="CC670" s="8"/>
      <c r="CD670" s="8"/>
      <c r="CE670" s="8"/>
      <c r="CF670" s="8"/>
      <c r="CG670" s="8"/>
      <c r="CH670" s="8"/>
      <c r="CI670" s="8"/>
      <c r="CJ670" s="8"/>
      <c r="CK670" s="8"/>
      <c r="CL670" s="8"/>
      <c r="CM670" s="8"/>
      <c r="CN670" s="8"/>
    </row>
    <row r="671" spans="7:92" x14ac:dyDescent="0.35">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c r="AU671" s="8"/>
      <c r="AV671" s="8"/>
      <c r="AW671" s="8"/>
      <c r="AX671" s="8"/>
      <c r="AY671" s="8"/>
      <c r="AZ671" s="8"/>
      <c r="BA671" s="8"/>
      <c r="BB671" s="8"/>
      <c r="BC671" s="8"/>
      <c r="BD671" s="8"/>
      <c r="BE671" s="8"/>
      <c r="BF671" s="8"/>
      <c r="BG671" s="8"/>
      <c r="BH671" s="8"/>
      <c r="BI671" s="8"/>
      <c r="BJ671" s="8"/>
      <c r="BK671" s="8"/>
      <c r="BL671" s="8"/>
      <c r="BM671" s="8"/>
      <c r="BN671" s="8"/>
      <c r="BO671" s="8"/>
      <c r="BP671" s="8"/>
      <c r="BQ671" s="8"/>
      <c r="BR671" s="8"/>
      <c r="BS671" s="8"/>
      <c r="BT671" s="8"/>
      <c r="BU671" s="8"/>
      <c r="BV671" s="8"/>
      <c r="BW671" s="8"/>
      <c r="BX671" s="8"/>
      <c r="BY671" s="8"/>
      <c r="BZ671" s="8"/>
      <c r="CA671" s="8"/>
      <c r="CB671" s="8"/>
      <c r="CC671" s="8"/>
      <c r="CD671" s="8"/>
      <c r="CE671" s="8"/>
      <c r="CF671" s="8"/>
      <c r="CG671" s="8"/>
      <c r="CH671" s="8"/>
      <c r="CI671" s="8"/>
      <c r="CJ671" s="8"/>
      <c r="CK671" s="8"/>
      <c r="CL671" s="8"/>
      <c r="CM671" s="8"/>
      <c r="CN671" s="8"/>
    </row>
    <row r="672" spans="7:92" x14ac:dyDescent="0.35">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c r="AU672" s="8"/>
      <c r="AV672" s="8"/>
      <c r="AW672" s="8"/>
      <c r="AX672" s="8"/>
      <c r="AY672" s="8"/>
      <c r="AZ672" s="8"/>
      <c r="BA672" s="8"/>
      <c r="BB672" s="8"/>
      <c r="BC672" s="8"/>
      <c r="BD672" s="8"/>
      <c r="BE672" s="8"/>
      <c r="BF672" s="8"/>
      <c r="BG672" s="8"/>
      <c r="BH672" s="8"/>
      <c r="BI672" s="8"/>
      <c r="BJ672" s="8"/>
      <c r="BK672" s="8"/>
      <c r="BL672" s="8"/>
      <c r="BM672" s="8"/>
      <c r="BN672" s="8"/>
      <c r="BO672" s="8"/>
      <c r="BP672" s="8"/>
      <c r="BQ672" s="8"/>
      <c r="BR672" s="8"/>
      <c r="BS672" s="8"/>
      <c r="BT672" s="8"/>
      <c r="BU672" s="8"/>
      <c r="BV672" s="8"/>
      <c r="BW672" s="8"/>
      <c r="BX672" s="8"/>
      <c r="BY672" s="8"/>
      <c r="BZ672" s="8"/>
      <c r="CA672" s="8"/>
      <c r="CB672" s="8"/>
      <c r="CC672" s="8"/>
      <c r="CD672" s="8"/>
      <c r="CE672" s="8"/>
      <c r="CF672" s="8"/>
      <c r="CG672" s="8"/>
      <c r="CH672" s="8"/>
      <c r="CI672" s="8"/>
      <c r="CJ672" s="8"/>
      <c r="CK672" s="8"/>
      <c r="CL672" s="8"/>
      <c r="CM672" s="8"/>
      <c r="CN672" s="8"/>
    </row>
    <row r="673" spans="7:92" x14ac:dyDescent="0.35">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c r="AU673" s="8"/>
      <c r="AV673" s="8"/>
      <c r="AW673" s="8"/>
      <c r="AX673" s="8"/>
      <c r="AY673" s="8"/>
      <c r="AZ673" s="8"/>
      <c r="BA673" s="8"/>
      <c r="BB673" s="8"/>
      <c r="BC673" s="8"/>
      <c r="BD673" s="8"/>
      <c r="BE673" s="8"/>
      <c r="BF673" s="8"/>
      <c r="BG673" s="8"/>
      <c r="BH673" s="8"/>
      <c r="BI673" s="8"/>
      <c r="BJ673" s="8"/>
      <c r="BK673" s="8"/>
      <c r="BL673" s="8"/>
      <c r="BM673" s="8"/>
      <c r="BN673" s="8"/>
      <c r="BO673" s="8"/>
      <c r="BP673" s="8"/>
      <c r="BQ673" s="8"/>
      <c r="BR673" s="8"/>
      <c r="BS673" s="8"/>
      <c r="BT673" s="8"/>
      <c r="BU673" s="8"/>
      <c r="BV673" s="8"/>
      <c r="BW673" s="8"/>
      <c r="BX673" s="8"/>
      <c r="BY673" s="8"/>
      <c r="BZ673" s="8"/>
      <c r="CA673" s="8"/>
      <c r="CB673" s="8"/>
      <c r="CC673" s="8"/>
      <c r="CD673" s="8"/>
      <c r="CE673" s="8"/>
      <c r="CF673" s="8"/>
      <c r="CG673" s="8"/>
      <c r="CH673" s="8"/>
      <c r="CI673" s="8"/>
      <c r="CJ673" s="8"/>
      <c r="CK673" s="8"/>
      <c r="CL673" s="8"/>
      <c r="CM673" s="8"/>
      <c r="CN673" s="8"/>
    </row>
    <row r="674" spans="7:92" x14ac:dyDescent="0.35">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c r="AU674" s="8"/>
      <c r="AV674" s="8"/>
      <c r="AW674" s="8"/>
      <c r="AX674" s="8"/>
      <c r="AY674" s="8"/>
      <c r="AZ674" s="8"/>
      <c r="BA674" s="8"/>
      <c r="BB674" s="8"/>
      <c r="BC674" s="8"/>
      <c r="BD674" s="8"/>
      <c r="BE674" s="8"/>
      <c r="BF674" s="8"/>
      <c r="BG674" s="8"/>
      <c r="BH674" s="8"/>
      <c r="BI674" s="8"/>
      <c r="BJ674" s="8"/>
      <c r="BK674" s="8"/>
      <c r="BL674" s="8"/>
      <c r="BM674" s="8"/>
      <c r="BN674" s="8"/>
      <c r="BO674" s="8"/>
      <c r="BP674" s="8"/>
      <c r="BQ674" s="8"/>
      <c r="BR674" s="8"/>
      <c r="BS674" s="8"/>
      <c r="BT674" s="8"/>
      <c r="BU674" s="8"/>
      <c r="BV674" s="8"/>
      <c r="BW674" s="8"/>
      <c r="BX674" s="8"/>
      <c r="BY674" s="8"/>
      <c r="BZ674" s="8"/>
      <c r="CA674" s="8"/>
      <c r="CB674" s="8"/>
      <c r="CC674" s="8"/>
      <c r="CD674" s="8"/>
      <c r="CE674" s="8"/>
      <c r="CF674" s="8"/>
      <c r="CG674" s="8"/>
      <c r="CH674" s="8"/>
      <c r="CI674" s="8"/>
      <c r="CJ674" s="8"/>
      <c r="CK674" s="8"/>
      <c r="CL674" s="8"/>
      <c r="CM674" s="8"/>
      <c r="CN674" s="8"/>
    </row>
    <row r="675" spans="7:92" x14ac:dyDescent="0.35">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c r="AU675" s="8"/>
      <c r="AV675" s="8"/>
      <c r="AW675" s="8"/>
      <c r="AX675" s="8"/>
      <c r="AY675" s="8"/>
      <c r="AZ675" s="8"/>
      <c r="BA675" s="8"/>
      <c r="BB675" s="8"/>
      <c r="BC675" s="8"/>
      <c r="BD675" s="8"/>
      <c r="BE675" s="8"/>
      <c r="BF675" s="8"/>
      <c r="BG675" s="8"/>
      <c r="BH675" s="8"/>
      <c r="BI675" s="8"/>
      <c r="BJ675" s="8"/>
      <c r="BK675" s="8"/>
      <c r="BL675" s="8"/>
      <c r="BM675" s="8"/>
      <c r="BN675" s="8"/>
      <c r="BO675" s="8"/>
      <c r="BP675" s="8"/>
      <c r="BQ675" s="8"/>
      <c r="BR675" s="8"/>
      <c r="BS675" s="8"/>
      <c r="BT675" s="8"/>
      <c r="BU675" s="8"/>
      <c r="BV675" s="8"/>
      <c r="BW675" s="8"/>
      <c r="BX675" s="8"/>
      <c r="BY675" s="8"/>
      <c r="BZ675" s="8"/>
      <c r="CA675" s="8"/>
      <c r="CB675" s="8"/>
      <c r="CC675" s="8"/>
      <c r="CD675" s="8"/>
      <c r="CE675" s="8"/>
      <c r="CF675" s="8"/>
      <c r="CG675" s="8"/>
      <c r="CH675" s="8"/>
      <c r="CI675" s="8"/>
      <c r="CJ675" s="8"/>
      <c r="CK675" s="8"/>
      <c r="CL675" s="8"/>
      <c r="CM675" s="8"/>
      <c r="CN675" s="8"/>
    </row>
    <row r="676" spans="7:92" x14ac:dyDescent="0.35">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c r="AU676" s="8"/>
      <c r="AV676" s="8"/>
      <c r="AW676" s="8"/>
      <c r="AX676" s="8"/>
      <c r="AY676" s="8"/>
      <c r="AZ676" s="8"/>
      <c r="BA676" s="8"/>
      <c r="BB676" s="8"/>
      <c r="BC676" s="8"/>
      <c r="BD676" s="8"/>
      <c r="BE676" s="8"/>
      <c r="BF676" s="8"/>
      <c r="BG676" s="8"/>
      <c r="BH676" s="8"/>
      <c r="BI676" s="8"/>
      <c r="BJ676" s="8"/>
      <c r="BK676" s="8"/>
      <c r="BL676" s="8"/>
      <c r="BM676" s="8"/>
      <c r="BN676" s="8"/>
      <c r="BO676" s="8"/>
      <c r="BP676" s="8"/>
      <c r="BQ676" s="8"/>
      <c r="BR676" s="8"/>
      <c r="BS676" s="8"/>
      <c r="BT676" s="8"/>
      <c r="BU676" s="8"/>
      <c r="BV676" s="8"/>
      <c r="BW676" s="8"/>
      <c r="BX676" s="8"/>
      <c r="BY676" s="8"/>
      <c r="BZ676" s="8"/>
      <c r="CA676" s="8"/>
      <c r="CB676" s="8"/>
      <c r="CC676" s="8"/>
      <c r="CD676" s="8"/>
      <c r="CE676" s="8"/>
      <c r="CF676" s="8"/>
      <c r="CG676" s="8"/>
      <c r="CH676" s="8"/>
      <c r="CI676" s="8"/>
      <c r="CJ676" s="8"/>
      <c r="CK676" s="8"/>
      <c r="CL676" s="8"/>
      <c r="CM676" s="8"/>
      <c r="CN676" s="8"/>
    </row>
    <row r="677" spans="7:92" x14ac:dyDescent="0.35">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c r="AU677" s="8"/>
      <c r="AV677" s="8"/>
      <c r="AW677" s="8"/>
      <c r="AX677" s="8"/>
      <c r="AY677" s="8"/>
      <c r="AZ677" s="8"/>
      <c r="BA677" s="8"/>
      <c r="BB677" s="8"/>
      <c r="BC677" s="8"/>
      <c r="BD677" s="8"/>
      <c r="BE677" s="8"/>
      <c r="BF677" s="8"/>
      <c r="BG677" s="8"/>
      <c r="BH677" s="8"/>
      <c r="BI677" s="8"/>
      <c r="BJ677" s="8"/>
      <c r="BK677" s="8"/>
      <c r="BL677" s="8"/>
      <c r="BM677" s="8"/>
      <c r="BN677" s="8"/>
      <c r="BO677" s="8"/>
      <c r="BP677" s="8"/>
      <c r="BQ677" s="8"/>
      <c r="BR677" s="8"/>
      <c r="BS677" s="8"/>
      <c r="BT677" s="8"/>
      <c r="BU677" s="8"/>
      <c r="BV677" s="8"/>
      <c r="BW677" s="8"/>
      <c r="BX677" s="8"/>
      <c r="BY677" s="8"/>
      <c r="BZ677" s="8"/>
      <c r="CA677" s="8"/>
      <c r="CB677" s="8"/>
      <c r="CC677" s="8"/>
      <c r="CD677" s="8"/>
      <c r="CE677" s="8"/>
      <c r="CF677" s="8"/>
      <c r="CG677" s="8"/>
      <c r="CH677" s="8"/>
      <c r="CI677" s="8"/>
      <c r="CJ677" s="8"/>
      <c r="CK677" s="8"/>
      <c r="CL677" s="8"/>
      <c r="CM677" s="8"/>
      <c r="CN677" s="8"/>
    </row>
    <row r="678" spans="7:92" x14ac:dyDescent="0.35">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c r="AU678" s="8"/>
      <c r="AV678" s="8"/>
      <c r="AW678" s="8"/>
      <c r="AX678" s="8"/>
      <c r="AY678" s="8"/>
      <c r="AZ678" s="8"/>
      <c r="BA678" s="8"/>
      <c r="BB678" s="8"/>
      <c r="BC678" s="8"/>
      <c r="BD678" s="8"/>
      <c r="BE678" s="8"/>
      <c r="BF678" s="8"/>
      <c r="BG678" s="8"/>
      <c r="BH678" s="8"/>
      <c r="BI678" s="8"/>
      <c r="BJ678" s="8"/>
      <c r="BK678" s="8"/>
      <c r="BL678" s="8"/>
      <c r="BM678" s="8"/>
      <c r="BN678" s="8"/>
      <c r="BO678" s="8"/>
      <c r="BP678" s="8"/>
      <c r="BQ678" s="8"/>
      <c r="BR678" s="8"/>
      <c r="BS678" s="8"/>
      <c r="BT678" s="8"/>
      <c r="BU678" s="8"/>
      <c r="BV678" s="8"/>
      <c r="BW678" s="8"/>
      <c r="BX678" s="8"/>
      <c r="BY678" s="8"/>
      <c r="BZ678" s="8"/>
      <c r="CA678" s="8"/>
      <c r="CB678" s="8"/>
      <c r="CC678" s="8"/>
      <c r="CD678" s="8"/>
      <c r="CE678" s="8"/>
      <c r="CF678" s="8"/>
      <c r="CG678" s="8"/>
      <c r="CH678" s="8"/>
      <c r="CI678" s="8"/>
      <c r="CJ678" s="8"/>
      <c r="CK678" s="8"/>
      <c r="CL678" s="8"/>
      <c r="CM678" s="8"/>
      <c r="CN678" s="8"/>
    </row>
    <row r="679" spans="7:92" x14ac:dyDescent="0.35">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c r="AR679" s="8"/>
      <c r="AS679" s="8"/>
      <c r="AT679" s="8"/>
      <c r="AU679" s="8"/>
      <c r="AV679" s="8"/>
      <c r="AW679" s="8"/>
      <c r="AX679" s="8"/>
      <c r="AY679" s="8"/>
      <c r="AZ679" s="8"/>
      <c r="BA679" s="8"/>
      <c r="BB679" s="8"/>
      <c r="BC679" s="8"/>
      <c r="BD679" s="8"/>
      <c r="BE679" s="8"/>
      <c r="BF679" s="8"/>
      <c r="BG679" s="8"/>
      <c r="BH679" s="8"/>
      <c r="BI679" s="8"/>
      <c r="BJ679" s="8"/>
      <c r="BK679" s="8"/>
      <c r="BL679" s="8"/>
      <c r="BM679" s="8"/>
      <c r="BN679" s="8"/>
      <c r="BO679" s="8"/>
      <c r="BP679" s="8"/>
      <c r="BQ679" s="8"/>
      <c r="BR679" s="8"/>
      <c r="BS679" s="8"/>
      <c r="BT679" s="8"/>
      <c r="BU679" s="8"/>
      <c r="BV679" s="8"/>
      <c r="BW679" s="8"/>
      <c r="BX679" s="8"/>
      <c r="BY679" s="8"/>
      <c r="BZ679" s="8"/>
      <c r="CA679" s="8"/>
      <c r="CB679" s="8"/>
      <c r="CC679" s="8"/>
      <c r="CD679" s="8"/>
      <c r="CE679" s="8"/>
      <c r="CF679" s="8"/>
      <c r="CG679" s="8"/>
      <c r="CH679" s="8"/>
      <c r="CI679" s="8"/>
      <c r="CJ679" s="8"/>
      <c r="CK679" s="8"/>
      <c r="CL679" s="8"/>
      <c r="CM679" s="8"/>
      <c r="CN679" s="8"/>
    </row>
    <row r="680" spans="7:92" x14ac:dyDescent="0.35">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c r="AR680" s="8"/>
      <c r="AS680" s="8"/>
      <c r="AT680" s="8"/>
      <c r="AU680" s="8"/>
      <c r="AV680" s="8"/>
      <c r="AW680" s="8"/>
      <c r="AX680" s="8"/>
      <c r="AY680" s="8"/>
      <c r="AZ680" s="8"/>
      <c r="BA680" s="8"/>
      <c r="BB680" s="8"/>
      <c r="BC680" s="8"/>
      <c r="BD680" s="8"/>
      <c r="BE680" s="8"/>
      <c r="BF680" s="8"/>
      <c r="BG680" s="8"/>
      <c r="BH680" s="8"/>
      <c r="BI680" s="8"/>
      <c r="BJ680" s="8"/>
      <c r="BK680" s="8"/>
      <c r="BL680" s="8"/>
      <c r="BM680" s="8"/>
      <c r="BN680" s="8"/>
      <c r="BO680" s="8"/>
      <c r="BP680" s="8"/>
      <c r="BQ680" s="8"/>
      <c r="BR680" s="8"/>
      <c r="BS680" s="8"/>
      <c r="BT680" s="8"/>
      <c r="BU680" s="8"/>
      <c r="BV680" s="8"/>
      <c r="BW680" s="8"/>
      <c r="BX680" s="8"/>
      <c r="BY680" s="8"/>
      <c r="BZ680" s="8"/>
      <c r="CA680" s="8"/>
      <c r="CB680" s="8"/>
      <c r="CC680" s="8"/>
      <c r="CD680" s="8"/>
      <c r="CE680" s="8"/>
      <c r="CF680" s="8"/>
      <c r="CG680" s="8"/>
      <c r="CH680" s="8"/>
      <c r="CI680" s="8"/>
      <c r="CJ680" s="8"/>
      <c r="CK680" s="8"/>
      <c r="CL680" s="8"/>
      <c r="CM680" s="8"/>
      <c r="CN680" s="8"/>
    </row>
    <row r="681" spans="7:92" x14ac:dyDescent="0.35">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c r="AU681" s="8"/>
      <c r="AV681" s="8"/>
      <c r="AW681" s="8"/>
      <c r="AX681" s="8"/>
      <c r="AY681" s="8"/>
      <c r="AZ681" s="8"/>
      <c r="BA681" s="8"/>
      <c r="BB681" s="8"/>
      <c r="BC681" s="8"/>
      <c r="BD681" s="8"/>
      <c r="BE681" s="8"/>
      <c r="BF681" s="8"/>
      <c r="BG681" s="8"/>
      <c r="BH681" s="8"/>
      <c r="BI681" s="8"/>
      <c r="BJ681" s="8"/>
      <c r="BK681" s="8"/>
      <c r="BL681" s="8"/>
      <c r="BM681" s="8"/>
      <c r="BN681" s="8"/>
      <c r="BO681" s="8"/>
      <c r="BP681" s="8"/>
      <c r="BQ681" s="8"/>
      <c r="BR681" s="8"/>
      <c r="BS681" s="8"/>
      <c r="BT681" s="8"/>
      <c r="BU681" s="8"/>
      <c r="BV681" s="8"/>
      <c r="BW681" s="8"/>
      <c r="BX681" s="8"/>
      <c r="BY681" s="8"/>
      <c r="BZ681" s="8"/>
      <c r="CA681" s="8"/>
      <c r="CB681" s="8"/>
      <c r="CC681" s="8"/>
      <c r="CD681" s="8"/>
      <c r="CE681" s="8"/>
      <c r="CF681" s="8"/>
      <c r="CG681" s="8"/>
      <c r="CH681" s="8"/>
      <c r="CI681" s="8"/>
      <c r="CJ681" s="8"/>
      <c r="CK681" s="8"/>
      <c r="CL681" s="8"/>
      <c r="CM681" s="8"/>
      <c r="CN681" s="8"/>
    </row>
    <row r="682" spans="7:92" x14ac:dyDescent="0.35">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c r="AR682" s="8"/>
      <c r="AS682" s="8"/>
      <c r="AT682" s="8"/>
      <c r="AU682" s="8"/>
      <c r="AV682" s="8"/>
      <c r="AW682" s="8"/>
      <c r="AX682" s="8"/>
      <c r="AY682" s="8"/>
      <c r="AZ682" s="8"/>
      <c r="BA682" s="8"/>
      <c r="BB682" s="8"/>
      <c r="BC682" s="8"/>
      <c r="BD682" s="8"/>
      <c r="BE682" s="8"/>
      <c r="BF682" s="8"/>
      <c r="BG682" s="8"/>
      <c r="BH682" s="8"/>
      <c r="BI682" s="8"/>
      <c r="BJ682" s="8"/>
      <c r="BK682" s="8"/>
      <c r="BL682" s="8"/>
      <c r="BM682" s="8"/>
      <c r="BN682" s="8"/>
      <c r="BO682" s="8"/>
      <c r="BP682" s="8"/>
      <c r="BQ682" s="8"/>
      <c r="BR682" s="8"/>
      <c r="BS682" s="8"/>
      <c r="BT682" s="8"/>
      <c r="BU682" s="8"/>
      <c r="BV682" s="8"/>
      <c r="BW682" s="8"/>
      <c r="BX682" s="8"/>
      <c r="BY682" s="8"/>
      <c r="BZ682" s="8"/>
      <c r="CA682" s="8"/>
      <c r="CB682" s="8"/>
      <c r="CC682" s="8"/>
      <c r="CD682" s="8"/>
      <c r="CE682" s="8"/>
      <c r="CF682" s="8"/>
      <c r="CG682" s="8"/>
      <c r="CH682" s="8"/>
      <c r="CI682" s="8"/>
      <c r="CJ682" s="8"/>
      <c r="CK682" s="8"/>
      <c r="CL682" s="8"/>
      <c r="CM682" s="8"/>
      <c r="CN682" s="8"/>
    </row>
    <row r="683" spans="7:92" x14ac:dyDescent="0.35">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c r="AR683" s="8"/>
      <c r="AS683" s="8"/>
      <c r="AT683" s="8"/>
      <c r="AU683" s="8"/>
      <c r="AV683" s="8"/>
      <c r="AW683" s="8"/>
      <c r="AX683" s="8"/>
      <c r="AY683" s="8"/>
      <c r="AZ683" s="8"/>
      <c r="BA683" s="8"/>
      <c r="BB683" s="8"/>
      <c r="BC683" s="8"/>
      <c r="BD683" s="8"/>
      <c r="BE683" s="8"/>
      <c r="BF683" s="8"/>
      <c r="BG683" s="8"/>
      <c r="BH683" s="8"/>
      <c r="BI683" s="8"/>
      <c r="BJ683" s="8"/>
      <c r="BK683" s="8"/>
      <c r="BL683" s="8"/>
      <c r="BM683" s="8"/>
      <c r="BN683" s="8"/>
      <c r="BO683" s="8"/>
      <c r="BP683" s="8"/>
      <c r="BQ683" s="8"/>
      <c r="BR683" s="8"/>
      <c r="BS683" s="8"/>
      <c r="BT683" s="8"/>
      <c r="BU683" s="8"/>
      <c r="BV683" s="8"/>
      <c r="BW683" s="8"/>
      <c r="BX683" s="8"/>
      <c r="BY683" s="8"/>
      <c r="BZ683" s="8"/>
      <c r="CA683" s="8"/>
      <c r="CB683" s="8"/>
      <c r="CC683" s="8"/>
      <c r="CD683" s="8"/>
      <c r="CE683" s="8"/>
      <c r="CF683" s="8"/>
      <c r="CG683" s="8"/>
      <c r="CH683" s="8"/>
      <c r="CI683" s="8"/>
      <c r="CJ683" s="8"/>
      <c r="CK683" s="8"/>
      <c r="CL683" s="8"/>
      <c r="CM683" s="8"/>
      <c r="CN683" s="8"/>
    </row>
    <row r="684" spans="7:92" x14ac:dyDescent="0.35">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8"/>
      <c r="AN684" s="8"/>
      <c r="AO684" s="8"/>
      <c r="AP684" s="8"/>
      <c r="AQ684" s="8"/>
      <c r="AR684" s="8"/>
      <c r="AS684" s="8"/>
      <c r="AT684" s="8"/>
      <c r="AU684" s="8"/>
      <c r="AV684" s="8"/>
      <c r="AW684" s="8"/>
      <c r="AX684" s="8"/>
      <c r="AY684" s="8"/>
      <c r="AZ684" s="8"/>
      <c r="BA684" s="8"/>
      <c r="BB684" s="8"/>
      <c r="BC684" s="8"/>
      <c r="BD684" s="8"/>
      <c r="BE684" s="8"/>
      <c r="BF684" s="8"/>
      <c r="BG684" s="8"/>
      <c r="BH684" s="8"/>
      <c r="BI684" s="8"/>
      <c r="BJ684" s="8"/>
      <c r="BK684" s="8"/>
      <c r="BL684" s="8"/>
      <c r="BM684" s="8"/>
      <c r="BN684" s="8"/>
      <c r="BO684" s="8"/>
      <c r="BP684" s="8"/>
      <c r="BQ684" s="8"/>
      <c r="BR684" s="8"/>
      <c r="BS684" s="8"/>
      <c r="BT684" s="8"/>
      <c r="BU684" s="8"/>
      <c r="BV684" s="8"/>
      <c r="BW684" s="8"/>
      <c r="BX684" s="8"/>
      <c r="BY684" s="8"/>
      <c r="BZ684" s="8"/>
      <c r="CA684" s="8"/>
      <c r="CB684" s="8"/>
      <c r="CC684" s="8"/>
      <c r="CD684" s="8"/>
      <c r="CE684" s="8"/>
      <c r="CF684" s="8"/>
      <c r="CG684" s="8"/>
      <c r="CH684" s="8"/>
      <c r="CI684" s="8"/>
      <c r="CJ684" s="8"/>
      <c r="CK684" s="8"/>
      <c r="CL684" s="8"/>
      <c r="CM684" s="8"/>
      <c r="CN684" s="8"/>
    </row>
    <row r="685" spans="7:92" x14ac:dyDescent="0.35">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c r="AM685" s="8"/>
      <c r="AN685" s="8"/>
      <c r="AO685" s="8"/>
      <c r="AP685" s="8"/>
      <c r="AQ685" s="8"/>
      <c r="AR685" s="8"/>
      <c r="AS685" s="8"/>
      <c r="AT685" s="8"/>
      <c r="AU685" s="8"/>
      <c r="AV685" s="8"/>
      <c r="AW685" s="8"/>
      <c r="AX685" s="8"/>
      <c r="AY685" s="8"/>
      <c r="AZ685" s="8"/>
      <c r="BA685" s="8"/>
      <c r="BB685" s="8"/>
      <c r="BC685" s="8"/>
      <c r="BD685" s="8"/>
      <c r="BE685" s="8"/>
      <c r="BF685" s="8"/>
      <c r="BG685" s="8"/>
      <c r="BH685" s="8"/>
      <c r="BI685" s="8"/>
      <c r="BJ685" s="8"/>
      <c r="BK685" s="8"/>
      <c r="BL685" s="8"/>
      <c r="BM685" s="8"/>
      <c r="BN685" s="8"/>
      <c r="BO685" s="8"/>
      <c r="BP685" s="8"/>
      <c r="BQ685" s="8"/>
      <c r="BR685" s="8"/>
      <c r="BS685" s="8"/>
      <c r="BT685" s="8"/>
      <c r="BU685" s="8"/>
      <c r="BV685" s="8"/>
      <c r="BW685" s="8"/>
      <c r="BX685" s="8"/>
      <c r="BY685" s="8"/>
      <c r="BZ685" s="8"/>
      <c r="CA685" s="8"/>
      <c r="CB685" s="8"/>
      <c r="CC685" s="8"/>
      <c r="CD685" s="8"/>
      <c r="CE685" s="8"/>
      <c r="CF685" s="8"/>
      <c r="CG685" s="8"/>
      <c r="CH685" s="8"/>
      <c r="CI685" s="8"/>
      <c r="CJ685" s="8"/>
      <c r="CK685" s="8"/>
      <c r="CL685" s="8"/>
      <c r="CM685" s="8"/>
      <c r="CN685" s="8"/>
    </row>
    <row r="686" spans="7:92" x14ac:dyDescent="0.35">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c r="AN686" s="8"/>
      <c r="AO686" s="8"/>
      <c r="AP686" s="8"/>
      <c r="AQ686" s="8"/>
      <c r="AR686" s="8"/>
      <c r="AS686" s="8"/>
      <c r="AT686" s="8"/>
      <c r="AU686" s="8"/>
      <c r="AV686" s="8"/>
      <c r="AW686" s="8"/>
      <c r="AX686" s="8"/>
      <c r="AY686" s="8"/>
      <c r="AZ686" s="8"/>
      <c r="BA686" s="8"/>
      <c r="BB686" s="8"/>
      <c r="BC686" s="8"/>
      <c r="BD686" s="8"/>
      <c r="BE686" s="8"/>
      <c r="BF686" s="8"/>
      <c r="BG686" s="8"/>
      <c r="BH686" s="8"/>
      <c r="BI686" s="8"/>
      <c r="BJ686" s="8"/>
      <c r="BK686" s="8"/>
      <c r="BL686" s="8"/>
      <c r="BM686" s="8"/>
      <c r="BN686" s="8"/>
      <c r="BO686" s="8"/>
      <c r="BP686" s="8"/>
      <c r="BQ686" s="8"/>
      <c r="BR686" s="8"/>
      <c r="BS686" s="8"/>
      <c r="BT686" s="8"/>
      <c r="BU686" s="8"/>
      <c r="BV686" s="8"/>
      <c r="BW686" s="8"/>
      <c r="BX686" s="8"/>
      <c r="BY686" s="8"/>
      <c r="BZ686" s="8"/>
      <c r="CA686" s="8"/>
      <c r="CB686" s="8"/>
      <c r="CC686" s="8"/>
      <c r="CD686" s="8"/>
      <c r="CE686" s="8"/>
      <c r="CF686" s="8"/>
      <c r="CG686" s="8"/>
      <c r="CH686" s="8"/>
      <c r="CI686" s="8"/>
      <c r="CJ686" s="8"/>
      <c r="CK686" s="8"/>
      <c r="CL686" s="8"/>
      <c r="CM686" s="8"/>
      <c r="CN686" s="8"/>
    </row>
    <row r="687" spans="7:92" x14ac:dyDescent="0.35">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c r="AN687" s="8"/>
      <c r="AO687" s="8"/>
      <c r="AP687" s="8"/>
      <c r="AQ687" s="8"/>
      <c r="AR687" s="8"/>
      <c r="AS687" s="8"/>
      <c r="AT687" s="8"/>
      <c r="AU687" s="8"/>
      <c r="AV687" s="8"/>
      <c r="AW687" s="8"/>
      <c r="AX687" s="8"/>
      <c r="AY687" s="8"/>
      <c r="AZ687" s="8"/>
      <c r="BA687" s="8"/>
      <c r="BB687" s="8"/>
      <c r="BC687" s="8"/>
      <c r="BD687" s="8"/>
      <c r="BE687" s="8"/>
      <c r="BF687" s="8"/>
      <c r="BG687" s="8"/>
      <c r="BH687" s="8"/>
      <c r="BI687" s="8"/>
      <c r="BJ687" s="8"/>
      <c r="BK687" s="8"/>
      <c r="BL687" s="8"/>
      <c r="BM687" s="8"/>
      <c r="BN687" s="8"/>
      <c r="BO687" s="8"/>
      <c r="BP687" s="8"/>
      <c r="BQ687" s="8"/>
      <c r="BR687" s="8"/>
      <c r="BS687" s="8"/>
      <c r="BT687" s="8"/>
      <c r="BU687" s="8"/>
      <c r="BV687" s="8"/>
      <c r="BW687" s="8"/>
      <c r="BX687" s="8"/>
      <c r="BY687" s="8"/>
      <c r="BZ687" s="8"/>
      <c r="CA687" s="8"/>
      <c r="CB687" s="8"/>
      <c r="CC687" s="8"/>
      <c r="CD687" s="8"/>
      <c r="CE687" s="8"/>
      <c r="CF687" s="8"/>
      <c r="CG687" s="8"/>
      <c r="CH687" s="8"/>
      <c r="CI687" s="8"/>
      <c r="CJ687" s="8"/>
      <c r="CK687" s="8"/>
      <c r="CL687" s="8"/>
      <c r="CM687" s="8"/>
      <c r="CN687" s="8"/>
    </row>
    <row r="688" spans="7:92" x14ac:dyDescent="0.35">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8"/>
      <c r="AN688" s="8"/>
      <c r="AO688" s="8"/>
      <c r="AP688" s="8"/>
      <c r="AQ688" s="8"/>
      <c r="AR688" s="8"/>
      <c r="AS688" s="8"/>
      <c r="AT688" s="8"/>
      <c r="AU688" s="8"/>
      <c r="AV688" s="8"/>
      <c r="AW688" s="8"/>
      <c r="AX688" s="8"/>
      <c r="AY688" s="8"/>
      <c r="AZ688" s="8"/>
      <c r="BA688" s="8"/>
      <c r="BB688" s="8"/>
      <c r="BC688" s="8"/>
      <c r="BD688" s="8"/>
      <c r="BE688" s="8"/>
      <c r="BF688" s="8"/>
      <c r="BG688" s="8"/>
      <c r="BH688" s="8"/>
      <c r="BI688" s="8"/>
      <c r="BJ688" s="8"/>
      <c r="BK688" s="8"/>
      <c r="BL688" s="8"/>
      <c r="BM688" s="8"/>
      <c r="BN688" s="8"/>
      <c r="BO688" s="8"/>
      <c r="BP688" s="8"/>
      <c r="BQ688" s="8"/>
      <c r="BR688" s="8"/>
      <c r="BS688" s="8"/>
      <c r="BT688" s="8"/>
      <c r="BU688" s="8"/>
      <c r="BV688" s="8"/>
      <c r="BW688" s="8"/>
      <c r="BX688" s="8"/>
      <c r="BY688" s="8"/>
      <c r="BZ688" s="8"/>
      <c r="CA688" s="8"/>
      <c r="CB688" s="8"/>
      <c r="CC688" s="8"/>
      <c r="CD688" s="8"/>
      <c r="CE688" s="8"/>
      <c r="CF688" s="8"/>
      <c r="CG688" s="8"/>
      <c r="CH688" s="8"/>
      <c r="CI688" s="8"/>
      <c r="CJ688" s="8"/>
      <c r="CK688" s="8"/>
      <c r="CL688" s="8"/>
      <c r="CM688" s="8"/>
      <c r="CN688" s="8"/>
    </row>
    <row r="689" spans="7:92" x14ac:dyDescent="0.35">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8"/>
      <c r="AO689" s="8"/>
      <c r="AP689" s="8"/>
      <c r="AQ689" s="8"/>
      <c r="AR689" s="8"/>
      <c r="AS689" s="8"/>
      <c r="AT689" s="8"/>
      <c r="AU689" s="8"/>
      <c r="AV689" s="8"/>
      <c r="AW689" s="8"/>
      <c r="AX689" s="8"/>
      <c r="AY689" s="8"/>
      <c r="AZ689" s="8"/>
      <c r="BA689" s="8"/>
      <c r="BB689" s="8"/>
      <c r="BC689" s="8"/>
      <c r="BD689" s="8"/>
      <c r="BE689" s="8"/>
      <c r="BF689" s="8"/>
      <c r="BG689" s="8"/>
      <c r="BH689" s="8"/>
      <c r="BI689" s="8"/>
      <c r="BJ689" s="8"/>
      <c r="BK689" s="8"/>
      <c r="BL689" s="8"/>
      <c r="BM689" s="8"/>
      <c r="BN689" s="8"/>
      <c r="BO689" s="8"/>
      <c r="BP689" s="8"/>
      <c r="BQ689" s="8"/>
      <c r="BR689" s="8"/>
      <c r="BS689" s="8"/>
      <c r="BT689" s="8"/>
      <c r="BU689" s="8"/>
      <c r="BV689" s="8"/>
      <c r="BW689" s="8"/>
      <c r="BX689" s="8"/>
      <c r="BY689" s="8"/>
      <c r="BZ689" s="8"/>
      <c r="CA689" s="8"/>
      <c r="CB689" s="8"/>
      <c r="CC689" s="8"/>
      <c r="CD689" s="8"/>
      <c r="CE689" s="8"/>
      <c r="CF689" s="8"/>
      <c r="CG689" s="8"/>
      <c r="CH689" s="8"/>
      <c r="CI689" s="8"/>
      <c r="CJ689" s="8"/>
      <c r="CK689" s="8"/>
      <c r="CL689" s="8"/>
      <c r="CM689" s="8"/>
      <c r="CN689" s="8"/>
    </row>
    <row r="690" spans="7:92" x14ac:dyDescent="0.35">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c r="AM690" s="8"/>
      <c r="AN690" s="8"/>
      <c r="AO690" s="8"/>
      <c r="AP690" s="8"/>
      <c r="AQ690" s="8"/>
      <c r="AR690" s="8"/>
      <c r="AS690" s="8"/>
      <c r="AT690" s="8"/>
      <c r="AU690" s="8"/>
      <c r="AV690" s="8"/>
      <c r="AW690" s="8"/>
      <c r="AX690" s="8"/>
      <c r="AY690" s="8"/>
      <c r="AZ690" s="8"/>
      <c r="BA690" s="8"/>
      <c r="BB690" s="8"/>
      <c r="BC690" s="8"/>
      <c r="BD690" s="8"/>
      <c r="BE690" s="8"/>
      <c r="BF690" s="8"/>
      <c r="BG690" s="8"/>
      <c r="BH690" s="8"/>
      <c r="BI690" s="8"/>
      <c r="BJ690" s="8"/>
      <c r="BK690" s="8"/>
      <c r="BL690" s="8"/>
      <c r="BM690" s="8"/>
      <c r="BN690" s="8"/>
      <c r="BO690" s="8"/>
      <c r="BP690" s="8"/>
      <c r="BQ690" s="8"/>
      <c r="BR690" s="8"/>
      <c r="BS690" s="8"/>
      <c r="BT690" s="8"/>
      <c r="BU690" s="8"/>
      <c r="BV690" s="8"/>
      <c r="BW690" s="8"/>
      <c r="BX690" s="8"/>
      <c r="BY690" s="8"/>
      <c r="BZ690" s="8"/>
      <c r="CA690" s="8"/>
      <c r="CB690" s="8"/>
      <c r="CC690" s="8"/>
      <c r="CD690" s="8"/>
      <c r="CE690" s="8"/>
      <c r="CF690" s="8"/>
      <c r="CG690" s="8"/>
      <c r="CH690" s="8"/>
      <c r="CI690" s="8"/>
      <c r="CJ690" s="8"/>
      <c r="CK690" s="8"/>
      <c r="CL690" s="8"/>
      <c r="CM690" s="8"/>
      <c r="CN690" s="8"/>
    </row>
    <row r="691" spans="7:92" x14ac:dyDescent="0.35">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c r="AM691" s="8"/>
      <c r="AN691" s="8"/>
      <c r="AO691" s="8"/>
      <c r="AP691" s="8"/>
      <c r="AQ691" s="8"/>
      <c r="AR691" s="8"/>
      <c r="AS691" s="8"/>
      <c r="AT691" s="8"/>
      <c r="AU691" s="8"/>
      <c r="AV691" s="8"/>
      <c r="AW691" s="8"/>
      <c r="AX691" s="8"/>
      <c r="AY691" s="8"/>
      <c r="AZ691" s="8"/>
      <c r="BA691" s="8"/>
      <c r="BB691" s="8"/>
      <c r="BC691" s="8"/>
      <c r="BD691" s="8"/>
      <c r="BE691" s="8"/>
      <c r="BF691" s="8"/>
      <c r="BG691" s="8"/>
      <c r="BH691" s="8"/>
      <c r="BI691" s="8"/>
      <c r="BJ691" s="8"/>
      <c r="BK691" s="8"/>
      <c r="BL691" s="8"/>
      <c r="BM691" s="8"/>
      <c r="BN691" s="8"/>
      <c r="BO691" s="8"/>
      <c r="BP691" s="8"/>
      <c r="BQ691" s="8"/>
      <c r="BR691" s="8"/>
      <c r="BS691" s="8"/>
      <c r="BT691" s="8"/>
      <c r="BU691" s="8"/>
      <c r="BV691" s="8"/>
      <c r="BW691" s="8"/>
      <c r="BX691" s="8"/>
      <c r="BY691" s="8"/>
      <c r="BZ691" s="8"/>
      <c r="CA691" s="8"/>
      <c r="CB691" s="8"/>
      <c r="CC691" s="8"/>
      <c r="CD691" s="8"/>
      <c r="CE691" s="8"/>
      <c r="CF691" s="8"/>
      <c r="CG691" s="8"/>
      <c r="CH691" s="8"/>
      <c r="CI691" s="8"/>
      <c r="CJ691" s="8"/>
      <c r="CK691" s="8"/>
      <c r="CL691" s="8"/>
      <c r="CM691" s="8"/>
      <c r="CN691" s="8"/>
    </row>
    <row r="692" spans="7:92" x14ac:dyDescent="0.35">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8"/>
      <c r="AN692" s="8"/>
      <c r="AO692" s="8"/>
      <c r="AP692" s="8"/>
      <c r="AQ692" s="8"/>
      <c r="AR692" s="8"/>
      <c r="AS692" s="8"/>
      <c r="AT692" s="8"/>
      <c r="AU692" s="8"/>
      <c r="AV692" s="8"/>
      <c r="AW692" s="8"/>
      <c r="AX692" s="8"/>
      <c r="AY692" s="8"/>
      <c r="AZ692" s="8"/>
      <c r="BA692" s="8"/>
      <c r="BB692" s="8"/>
      <c r="BC692" s="8"/>
      <c r="BD692" s="8"/>
      <c r="BE692" s="8"/>
      <c r="BF692" s="8"/>
      <c r="BG692" s="8"/>
      <c r="BH692" s="8"/>
      <c r="BI692" s="8"/>
      <c r="BJ692" s="8"/>
      <c r="BK692" s="8"/>
      <c r="BL692" s="8"/>
      <c r="BM692" s="8"/>
      <c r="BN692" s="8"/>
      <c r="BO692" s="8"/>
      <c r="BP692" s="8"/>
      <c r="BQ692" s="8"/>
      <c r="BR692" s="8"/>
      <c r="BS692" s="8"/>
      <c r="BT692" s="8"/>
      <c r="BU692" s="8"/>
      <c r="BV692" s="8"/>
      <c r="BW692" s="8"/>
      <c r="BX692" s="8"/>
      <c r="BY692" s="8"/>
      <c r="BZ692" s="8"/>
      <c r="CA692" s="8"/>
      <c r="CB692" s="8"/>
      <c r="CC692" s="8"/>
      <c r="CD692" s="8"/>
      <c r="CE692" s="8"/>
      <c r="CF692" s="8"/>
      <c r="CG692" s="8"/>
      <c r="CH692" s="8"/>
      <c r="CI692" s="8"/>
      <c r="CJ692" s="8"/>
      <c r="CK692" s="8"/>
      <c r="CL692" s="8"/>
      <c r="CM692" s="8"/>
      <c r="CN692" s="8"/>
    </row>
    <row r="693" spans="7:92" x14ac:dyDescent="0.35">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c r="AN693" s="8"/>
      <c r="AO693" s="8"/>
      <c r="AP693" s="8"/>
      <c r="AQ693" s="8"/>
      <c r="AR693" s="8"/>
      <c r="AS693" s="8"/>
      <c r="AT693" s="8"/>
      <c r="AU693" s="8"/>
      <c r="AV693" s="8"/>
      <c r="AW693" s="8"/>
      <c r="AX693" s="8"/>
      <c r="AY693" s="8"/>
      <c r="AZ693" s="8"/>
      <c r="BA693" s="8"/>
      <c r="BB693" s="8"/>
      <c r="BC693" s="8"/>
      <c r="BD693" s="8"/>
      <c r="BE693" s="8"/>
      <c r="BF693" s="8"/>
      <c r="BG693" s="8"/>
      <c r="BH693" s="8"/>
      <c r="BI693" s="8"/>
      <c r="BJ693" s="8"/>
      <c r="BK693" s="8"/>
      <c r="BL693" s="8"/>
      <c r="BM693" s="8"/>
      <c r="BN693" s="8"/>
      <c r="BO693" s="8"/>
      <c r="BP693" s="8"/>
      <c r="BQ693" s="8"/>
      <c r="BR693" s="8"/>
      <c r="BS693" s="8"/>
      <c r="BT693" s="8"/>
      <c r="BU693" s="8"/>
      <c r="BV693" s="8"/>
      <c r="BW693" s="8"/>
      <c r="BX693" s="8"/>
      <c r="BY693" s="8"/>
      <c r="BZ693" s="8"/>
      <c r="CA693" s="8"/>
      <c r="CB693" s="8"/>
      <c r="CC693" s="8"/>
      <c r="CD693" s="8"/>
      <c r="CE693" s="8"/>
      <c r="CF693" s="8"/>
      <c r="CG693" s="8"/>
      <c r="CH693" s="8"/>
      <c r="CI693" s="8"/>
      <c r="CJ693" s="8"/>
      <c r="CK693" s="8"/>
      <c r="CL693" s="8"/>
      <c r="CM693" s="8"/>
      <c r="CN693" s="8"/>
    </row>
    <row r="694" spans="7:92" x14ac:dyDescent="0.35">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c r="AM694" s="8"/>
      <c r="AN694" s="8"/>
      <c r="AO694" s="8"/>
      <c r="AP694" s="8"/>
      <c r="AQ694" s="8"/>
      <c r="AR694" s="8"/>
      <c r="AS694" s="8"/>
      <c r="AT694" s="8"/>
      <c r="AU694" s="8"/>
      <c r="AV694" s="8"/>
      <c r="AW694" s="8"/>
      <c r="AX694" s="8"/>
      <c r="AY694" s="8"/>
      <c r="AZ694" s="8"/>
      <c r="BA694" s="8"/>
      <c r="BB694" s="8"/>
      <c r="BC694" s="8"/>
      <c r="BD694" s="8"/>
      <c r="BE694" s="8"/>
      <c r="BF694" s="8"/>
      <c r="BG694" s="8"/>
      <c r="BH694" s="8"/>
      <c r="BI694" s="8"/>
      <c r="BJ694" s="8"/>
      <c r="BK694" s="8"/>
      <c r="BL694" s="8"/>
      <c r="BM694" s="8"/>
      <c r="BN694" s="8"/>
      <c r="BO694" s="8"/>
      <c r="BP694" s="8"/>
      <c r="BQ694" s="8"/>
      <c r="BR694" s="8"/>
      <c r="BS694" s="8"/>
      <c r="BT694" s="8"/>
      <c r="BU694" s="8"/>
      <c r="BV694" s="8"/>
      <c r="BW694" s="8"/>
      <c r="BX694" s="8"/>
      <c r="BY694" s="8"/>
      <c r="BZ694" s="8"/>
      <c r="CA694" s="8"/>
      <c r="CB694" s="8"/>
      <c r="CC694" s="8"/>
      <c r="CD694" s="8"/>
      <c r="CE694" s="8"/>
      <c r="CF694" s="8"/>
      <c r="CG694" s="8"/>
      <c r="CH694" s="8"/>
      <c r="CI694" s="8"/>
      <c r="CJ694" s="8"/>
      <c r="CK694" s="8"/>
      <c r="CL694" s="8"/>
      <c r="CM694" s="8"/>
      <c r="CN694" s="8"/>
    </row>
    <row r="695" spans="7:92" x14ac:dyDescent="0.35">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8"/>
      <c r="AN695" s="8"/>
      <c r="AO695" s="8"/>
      <c r="AP695" s="8"/>
      <c r="AQ695" s="8"/>
      <c r="AR695" s="8"/>
      <c r="AS695" s="8"/>
      <c r="AT695" s="8"/>
      <c r="AU695" s="8"/>
      <c r="AV695" s="8"/>
      <c r="AW695" s="8"/>
      <c r="AX695" s="8"/>
      <c r="AY695" s="8"/>
      <c r="AZ695" s="8"/>
      <c r="BA695" s="8"/>
      <c r="BB695" s="8"/>
      <c r="BC695" s="8"/>
      <c r="BD695" s="8"/>
      <c r="BE695" s="8"/>
      <c r="BF695" s="8"/>
      <c r="BG695" s="8"/>
      <c r="BH695" s="8"/>
      <c r="BI695" s="8"/>
      <c r="BJ695" s="8"/>
      <c r="BK695" s="8"/>
      <c r="BL695" s="8"/>
      <c r="BM695" s="8"/>
      <c r="BN695" s="8"/>
      <c r="BO695" s="8"/>
      <c r="BP695" s="8"/>
      <c r="BQ695" s="8"/>
      <c r="BR695" s="8"/>
      <c r="BS695" s="8"/>
      <c r="BT695" s="8"/>
      <c r="BU695" s="8"/>
      <c r="BV695" s="8"/>
      <c r="BW695" s="8"/>
      <c r="BX695" s="8"/>
      <c r="BY695" s="8"/>
      <c r="BZ695" s="8"/>
      <c r="CA695" s="8"/>
      <c r="CB695" s="8"/>
      <c r="CC695" s="8"/>
      <c r="CD695" s="8"/>
      <c r="CE695" s="8"/>
      <c r="CF695" s="8"/>
      <c r="CG695" s="8"/>
      <c r="CH695" s="8"/>
      <c r="CI695" s="8"/>
      <c r="CJ695" s="8"/>
      <c r="CK695" s="8"/>
      <c r="CL695" s="8"/>
      <c r="CM695" s="8"/>
      <c r="CN695" s="8"/>
    </row>
    <row r="696" spans="7:92" x14ac:dyDescent="0.35">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c r="AM696" s="8"/>
      <c r="AN696" s="8"/>
      <c r="AO696" s="8"/>
      <c r="AP696" s="8"/>
      <c r="AQ696" s="8"/>
      <c r="AR696" s="8"/>
      <c r="AS696" s="8"/>
      <c r="AT696" s="8"/>
      <c r="AU696" s="8"/>
      <c r="AV696" s="8"/>
      <c r="AW696" s="8"/>
      <c r="AX696" s="8"/>
      <c r="AY696" s="8"/>
      <c r="AZ696" s="8"/>
      <c r="BA696" s="8"/>
      <c r="BB696" s="8"/>
      <c r="BC696" s="8"/>
      <c r="BD696" s="8"/>
      <c r="BE696" s="8"/>
      <c r="BF696" s="8"/>
      <c r="BG696" s="8"/>
      <c r="BH696" s="8"/>
      <c r="BI696" s="8"/>
      <c r="BJ696" s="8"/>
      <c r="BK696" s="8"/>
      <c r="BL696" s="8"/>
      <c r="BM696" s="8"/>
      <c r="BN696" s="8"/>
      <c r="BO696" s="8"/>
      <c r="BP696" s="8"/>
      <c r="BQ696" s="8"/>
      <c r="BR696" s="8"/>
      <c r="BS696" s="8"/>
      <c r="BT696" s="8"/>
      <c r="BU696" s="8"/>
      <c r="BV696" s="8"/>
      <c r="BW696" s="8"/>
      <c r="BX696" s="8"/>
      <c r="BY696" s="8"/>
      <c r="BZ696" s="8"/>
      <c r="CA696" s="8"/>
      <c r="CB696" s="8"/>
      <c r="CC696" s="8"/>
      <c r="CD696" s="8"/>
      <c r="CE696" s="8"/>
      <c r="CF696" s="8"/>
      <c r="CG696" s="8"/>
      <c r="CH696" s="8"/>
      <c r="CI696" s="8"/>
      <c r="CJ696" s="8"/>
      <c r="CK696" s="8"/>
      <c r="CL696" s="8"/>
      <c r="CM696" s="8"/>
      <c r="CN696" s="8"/>
    </row>
    <row r="697" spans="7:92" x14ac:dyDescent="0.35">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c r="AM697" s="8"/>
      <c r="AN697" s="8"/>
      <c r="AO697" s="8"/>
      <c r="AP697" s="8"/>
      <c r="AQ697" s="8"/>
      <c r="AR697" s="8"/>
      <c r="AS697" s="8"/>
      <c r="AT697" s="8"/>
      <c r="AU697" s="8"/>
      <c r="AV697" s="8"/>
      <c r="AW697" s="8"/>
      <c r="AX697" s="8"/>
      <c r="AY697" s="8"/>
      <c r="AZ697" s="8"/>
      <c r="BA697" s="8"/>
      <c r="BB697" s="8"/>
      <c r="BC697" s="8"/>
      <c r="BD697" s="8"/>
      <c r="BE697" s="8"/>
      <c r="BF697" s="8"/>
      <c r="BG697" s="8"/>
      <c r="BH697" s="8"/>
      <c r="BI697" s="8"/>
      <c r="BJ697" s="8"/>
      <c r="BK697" s="8"/>
      <c r="BL697" s="8"/>
      <c r="BM697" s="8"/>
      <c r="BN697" s="8"/>
      <c r="BO697" s="8"/>
      <c r="BP697" s="8"/>
      <c r="BQ697" s="8"/>
      <c r="BR697" s="8"/>
      <c r="BS697" s="8"/>
      <c r="BT697" s="8"/>
      <c r="BU697" s="8"/>
      <c r="BV697" s="8"/>
      <c r="BW697" s="8"/>
      <c r="BX697" s="8"/>
      <c r="BY697" s="8"/>
      <c r="BZ697" s="8"/>
      <c r="CA697" s="8"/>
      <c r="CB697" s="8"/>
      <c r="CC697" s="8"/>
      <c r="CD697" s="8"/>
      <c r="CE697" s="8"/>
      <c r="CF697" s="8"/>
      <c r="CG697" s="8"/>
      <c r="CH697" s="8"/>
      <c r="CI697" s="8"/>
      <c r="CJ697" s="8"/>
      <c r="CK697" s="8"/>
      <c r="CL697" s="8"/>
      <c r="CM697" s="8"/>
      <c r="CN697" s="8"/>
    </row>
    <row r="698" spans="7:92" x14ac:dyDescent="0.35">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c r="AM698" s="8"/>
      <c r="AN698" s="8"/>
      <c r="AO698" s="8"/>
      <c r="AP698" s="8"/>
      <c r="AQ698" s="8"/>
      <c r="AR698" s="8"/>
      <c r="AS698" s="8"/>
      <c r="AT698" s="8"/>
      <c r="AU698" s="8"/>
      <c r="AV698" s="8"/>
      <c r="AW698" s="8"/>
      <c r="AX698" s="8"/>
      <c r="AY698" s="8"/>
      <c r="AZ698" s="8"/>
      <c r="BA698" s="8"/>
      <c r="BB698" s="8"/>
      <c r="BC698" s="8"/>
      <c r="BD698" s="8"/>
      <c r="BE698" s="8"/>
      <c r="BF698" s="8"/>
      <c r="BG698" s="8"/>
      <c r="BH698" s="8"/>
      <c r="BI698" s="8"/>
      <c r="BJ698" s="8"/>
      <c r="BK698" s="8"/>
      <c r="BL698" s="8"/>
      <c r="BM698" s="8"/>
      <c r="BN698" s="8"/>
      <c r="BO698" s="8"/>
      <c r="BP698" s="8"/>
      <c r="BQ698" s="8"/>
      <c r="BR698" s="8"/>
      <c r="BS698" s="8"/>
      <c r="BT698" s="8"/>
      <c r="BU698" s="8"/>
      <c r="BV698" s="8"/>
      <c r="BW698" s="8"/>
      <c r="BX698" s="8"/>
      <c r="BY698" s="8"/>
      <c r="BZ698" s="8"/>
      <c r="CA698" s="8"/>
      <c r="CB698" s="8"/>
      <c r="CC698" s="8"/>
      <c r="CD698" s="8"/>
      <c r="CE698" s="8"/>
      <c r="CF698" s="8"/>
      <c r="CG698" s="8"/>
      <c r="CH698" s="8"/>
      <c r="CI698" s="8"/>
      <c r="CJ698" s="8"/>
      <c r="CK698" s="8"/>
      <c r="CL698" s="8"/>
      <c r="CM698" s="8"/>
      <c r="CN698" s="8"/>
    </row>
    <row r="699" spans="7:92" x14ac:dyDescent="0.35">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c r="AL699" s="8"/>
      <c r="AM699" s="8"/>
      <c r="AN699" s="8"/>
      <c r="AO699" s="8"/>
      <c r="AP699" s="8"/>
      <c r="AQ699" s="8"/>
      <c r="AR699" s="8"/>
      <c r="AS699" s="8"/>
      <c r="AT699" s="8"/>
      <c r="AU699" s="8"/>
      <c r="AV699" s="8"/>
      <c r="AW699" s="8"/>
      <c r="AX699" s="8"/>
      <c r="AY699" s="8"/>
      <c r="AZ699" s="8"/>
      <c r="BA699" s="8"/>
      <c r="BB699" s="8"/>
      <c r="BC699" s="8"/>
      <c r="BD699" s="8"/>
      <c r="BE699" s="8"/>
      <c r="BF699" s="8"/>
      <c r="BG699" s="8"/>
      <c r="BH699" s="8"/>
      <c r="BI699" s="8"/>
      <c r="BJ699" s="8"/>
      <c r="BK699" s="8"/>
      <c r="BL699" s="8"/>
      <c r="BM699" s="8"/>
      <c r="BN699" s="8"/>
      <c r="BO699" s="8"/>
      <c r="BP699" s="8"/>
      <c r="BQ699" s="8"/>
      <c r="BR699" s="8"/>
      <c r="BS699" s="8"/>
      <c r="BT699" s="8"/>
      <c r="BU699" s="8"/>
      <c r="BV699" s="8"/>
      <c r="BW699" s="8"/>
      <c r="BX699" s="8"/>
      <c r="BY699" s="8"/>
      <c r="BZ699" s="8"/>
      <c r="CA699" s="8"/>
      <c r="CB699" s="8"/>
      <c r="CC699" s="8"/>
      <c r="CD699" s="8"/>
      <c r="CE699" s="8"/>
      <c r="CF699" s="8"/>
      <c r="CG699" s="8"/>
      <c r="CH699" s="8"/>
      <c r="CI699" s="8"/>
      <c r="CJ699" s="8"/>
      <c r="CK699" s="8"/>
      <c r="CL699" s="8"/>
      <c r="CM699" s="8"/>
      <c r="CN699" s="8"/>
    </row>
    <row r="700" spans="7:92" x14ac:dyDescent="0.35">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c r="AM700" s="8"/>
      <c r="AN700" s="8"/>
      <c r="AO700" s="8"/>
      <c r="AP700" s="8"/>
      <c r="AQ700" s="8"/>
      <c r="AR700" s="8"/>
      <c r="AS700" s="8"/>
      <c r="AT700" s="8"/>
      <c r="AU700" s="8"/>
      <c r="AV700" s="8"/>
      <c r="AW700" s="8"/>
      <c r="AX700" s="8"/>
      <c r="AY700" s="8"/>
      <c r="AZ700" s="8"/>
      <c r="BA700" s="8"/>
      <c r="BB700" s="8"/>
      <c r="BC700" s="8"/>
      <c r="BD700" s="8"/>
      <c r="BE700" s="8"/>
      <c r="BF700" s="8"/>
      <c r="BG700" s="8"/>
      <c r="BH700" s="8"/>
      <c r="BI700" s="8"/>
      <c r="BJ700" s="8"/>
      <c r="BK700" s="8"/>
      <c r="BL700" s="8"/>
      <c r="BM700" s="8"/>
      <c r="BN700" s="8"/>
      <c r="BO700" s="8"/>
      <c r="BP700" s="8"/>
      <c r="BQ700" s="8"/>
      <c r="BR700" s="8"/>
      <c r="BS700" s="8"/>
      <c r="BT700" s="8"/>
      <c r="BU700" s="8"/>
      <c r="BV700" s="8"/>
      <c r="BW700" s="8"/>
      <c r="BX700" s="8"/>
      <c r="BY700" s="8"/>
      <c r="BZ700" s="8"/>
      <c r="CA700" s="8"/>
      <c r="CB700" s="8"/>
      <c r="CC700" s="8"/>
      <c r="CD700" s="8"/>
      <c r="CE700" s="8"/>
      <c r="CF700" s="8"/>
      <c r="CG700" s="8"/>
      <c r="CH700" s="8"/>
      <c r="CI700" s="8"/>
      <c r="CJ700" s="8"/>
      <c r="CK700" s="8"/>
      <c r="CL700" s="8"/>
      <c r="CM700" s="8"/>
      <c r="CN700" s="8"/>
    </row>
    <row r="701" spans="7:92" x14ac:dyDescent="0.35">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c r="AM701" s="8"/>
      <c r="AN701" s="8"/>
      <c r="AO701" s="8"/>
      <c r="AP701" s="8"/>
      <c r="AQ701" s="8"/>
      <c r="AR701" s="8"/>
      <c r="AS701" s="8"/>
      <c r="AT701" s="8"/>
      <c r="AU701" s="8"/>
      <c r="AV701" s="8"/>
      <c r="AW701" s="8"/>
      <c r="AX701" s="8"/>
      <c r="AY701" s="8"/>
      <c r="AZ701" s="8"/>
      <c r="BA701" s="8"/>
      <c r="BB701" s="8"/>
      <c r="BC701" s="8"/>
      <c r="BD701" s="8"/>
      <c r="BE701" s="8"/>
      <c r="BF701" s="8"/>
      <c r="BG701" s="8"/>
      <c r="BH701" s="8"/>
      <c r="BI701" s="8"/>
      <c r="BJ701" s="8"/>
      <c r="BK701" s="8"/>
      <c r="BL701" s="8"/>
      <c r="BM701" s="8"/>
      <c r="BN701" s="8"/>
      <c r="BO701" s="8"/>
      <c r="BP701" s="8"/>
      <c r="BQ701" s="8"/>
      <c r="BR701" s="8"/>
      <c r="BS701" s="8"/>
      <c r="BT701" s="8"/>
      <c r="BU701" s="8"/>
      <c r="BV701" s="8"/>
      <c r="BW701" s="8"/>
      <c r="BX701" s="8"/>
      <c r="BY701" s="8"/>
      <c r="BZ701" s="8"/>
      <c r="CA701" s="8"/>
      <c r="CB701" s="8"/>
      <c r="CC701" s="8"/>
      <c r="CD701" s="8"/>
      <c r="CE701" s="8"/>
      <c r="CF701" s="8"/>
      <c r="CG701" s="8"/>
      <c r="CH701" s="8"/>
      <c r="CI701" s="8"/>
      <c r="CJ701" s="8"/>
      <c r="CK701" s="8"/>
      <c r="CL701" s="8"/>
      <c r="CM701" s="8"/>
      <c r="CN701" s="8"/>
    </row>
    <row r="702" spans="7:92" x14ac:dyDescent="0.35">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c r="AM702" s="8"/>
      <c r="AN702" s="8"/>
      <c r="AO702" s="8"/>
      <c r="AP702" s="8"/>
      <c r="AQ702" s="8"/>
      <c r="AR702" s="8"/>
      <c r="AS702" s="8"/>
      <c r="AT702" s="8"/>
      <c r="AU702" s="8"/>
      <c r="AV702" s="8"/>
      <c r="AW702" s="8"/>
      <c r="AX702" s="8"/>
      <c r="AY702" s="8"/>
      <c r="AZ702" s="8"/>
      <c r="BA702" s="8"/>
      <c r="BB702" s="8"/>
      <c r="BC702" s="8"/>
      <c r="BD702" s="8"/>
      <c r="BE702" s="8"/>
      <c r="BF702" s="8"/>
      <c r="BG702" s="8"/>
      <c r="BH702" s="8"/>
      <c r="BI702" s="8"/>
      <c r="BJ702" s="8"/>
      <c r="BK702" s="8"/>
      <c r="BL702" s="8"/>
      <c r="BM702" s="8"/>
      <c r="BN702" s="8"/>
      <c r="BO702" s="8"/>
      <c r="BP702" s="8"/>
      <c r="BQ702" s="8"/>
      <c r="BR702" s="8"/>
      <c r="BS702" s="8"/>
      <c r="BT702" s="8"/>
      <c r="BU702" s="8"/>
      <c r="BV702" s="8"/>
      <c r="BW702" s="8"/>
      <c r="BX702" s="8"/>
      <c r="BY702" s="8"/>
      <c r="BZ702" s="8"/>
      <c r="CA702" s="8"/>
      <c r="CB702" s="8"/>
      <c r="CC702" s="8"/>
      <c r="CD702" s="8"/>
      <c r="CE702" s="8"/>
      <c r="CF702" s="8"/>
      <c r="CG702" s="8"/>
      <c r="CH702" s="8"/>
      <c r="CI702" s="8"/>
      <c r="CJ702" s="8"/>
      <c r="CK702" s="8"/>
      <c r="CL702" s="8"/>
      <c r="CM702" s="8"/>
      <c r="CN702" s="8"/>
    </row>
    <row r="703" spans="7:92" x14ac:dyDescent="0.35">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c r="AL703" s="8"/>
      <c r="AM703" s="8"/>
      <c r="AN703" s="8"/>
      <c r="AO703" s="8"/>
      <c r="AP703" s="8"/>
      <c r="AQ703" s="8"/>
      <c r="AR703" s="8"/>
      <c r="AS703" s="8"/>
      <c r="AT703" s="8"/>
      <c r="AU703" s="8"/>
      <c r="AV703" s="8"/>
      <c r="AW703" s="8"/>
      <c r="AX703" s="8"/>
      <c r="AY703" s="8"/>
      <c r="AZ703" s="8"/>
      <c r="BA703" s="8"/>
      <c r="BB703" s="8"/>
      <c r="BC703" s="8"/>
      <c r="BD703" s="8"/>
      <c r="BE703" s="8"/>
      <c r="BF703" s="8"/>
      <c r="BG703" s="8"/>
      <c r="BH703" s="8"/>
      <c r="BI703" s="8"/>
      <c r="BJ703" s="8"/>
      <c r="BK703" s="8"/>
      <c r="BL703" s="8"/>
      <c r="BM703" s="8"/>
      <c r="BN703" s="8"/>
      <c r="BO703" s="8"/>
      <c r="BP703" s="8"/>
      <c r="BQ703" s="8"/>
      <c r="BR703" s="8"/>
      <c r="BS703" s="8"/>
      <c r="BT703" s="8"/>
      <c r="BU703" s="8"/>
      <c r="BV703" s="8"/>
      <c r="BW703" s="8"/>
      <c r="BX703" s="8"/>
      <c r="BY703" s="8"/>
      <c r="BZ703" s="8"/>
      <c r="CA703" s="8"/>
      <c r="CB703" s="8"/>
      <c r="CC703" s="8"/>
      <c r="CD703" s="8"/>
      <c r="CE703" s="8"/>
      <c r="CF703" s="8"/>
      <c r="CG703" s="8"/>
      <c r="CH703" s="8"/>
      <c r="CI703" s="8"/>
      <c r="CJ703" s="8"/>
      <c r="CK703" s="8"/>
      <c r="CL703" s="8"/>
      <c r="CM703" s="8"/>
      <c r="CN703" s="8"/>
    </row>
    <row r="704" spans="7:92" x14ac:dyDescent="0.35">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c r="AM704" s="8"/>
      <c r="AN704" s="8"/>
      <c r="AO704" s="8"/>
      <c r="AP704" s="8"/>
      <c r="AQ704" s="8"/>
      <c r="AR704" s="8"/>
      <c r="AS704" s="8"/>
      <c r="AT704" s="8"/>
      <c r="AU704" s="8"/>
      <c r="AV704" s="8"/>
      <c r="AW704" s="8"/>
      <c r="AX704" s="8"/>
      <c r="AY704" s="8"/>
      <c r="AZ704" s="8"/>
      <c r="BA704" s="8"/>
      <c r="BB704" s="8"/>
      <c r="BC704" s="8"/>
      <c r="BD704" s="8"/>
      <c r="BE704" s="8"/>
      <c r="BF704" s="8"/>
      <c r="BG704" s="8"/>
      <c r="BH704" s="8"/>
      <c r="BI704" s="8"/>
      <c r="BJ704" s="8"/>
      <c r="BK704" s="8"/>
      <c r="BL704" s="8"/>
      <c r="BM704" s="8"/>
      <c r="BN704" s="8"/>
      <c r="BO704" s="8"/>
      <c r="BP704" s="8"/>
      <c r="BQ704" s="8"/>
      <c r="BR704" s="8"/>
      <c r="BS704" s="8"/>
      <c r="BT704" s="8"/>
      <c r="BU704" s="8"/>
      <c r="BV704" s="8"/>
      <c r="BW704" s="8"/>
      <c r="BX704" s="8"/>
      <c r="BY704" s="8"/>
      <c r="BZ704" s="8"/>
      <c r="CA704" s="8"/>
      <c r="CB704" s="8"/>
      <c r="CC704" s="8"/>
      <c r="CD704" s="8"/>
      <c r="CE704" s="8"/>
      <c r="CF704" s="8"/>
      <c r="CG704" s="8"/>
      <c r="CH704" s="8"/>
      <c r="CI704" s="8"/>
      <c r="CJ704" s="8"/>
      <c r="CK704" s="8"/>
      <c r="CL704" s="8"/>
      <c r="CM704" s="8"/>
      <c r="CN704" s="8"/>
    </row>
    <row r="705" spans="7:92" x14ac:dyDescent="0.35">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c r="AM705" s="8"/>
      <c r="AN705" s="8"/>
      <c r="AO705" s="8"/>
      <c r="AP705" s="8"/>
      <c r="AQ705" s="8"/>
      <c r="AR705" s="8"/>
      <c r="AS705" s="8"/>
      <c r="AT705" s="8"/>
      <c r="AU705" s="8"/>
      <c r="AV705" s="8"/>
      <c r="AW705" s="8"/>
      <c r="AX705" s="8"/>
      <c r="AY705" s="8"/>
      <c r="AZ705" s="8"/>
      <c r="BA705" s="8"/>
      <c r="BB705" s="8"/>
      <c r="BC705" s="8"/>
      <c r="BD705" s="8"/>
      <c r="BE705" s="8"/>
      <c r="BF705" s="8"/>
      <c r="BG705" s="8"/>
      <c r="BH705" s="8"/>
      <c r="BI705" s="8"/>
      <c r="BJ705" s="8"/>
      <c r="BK705" s="8"/>
      <c r="BL705" s="8"/>
      <c r="BM705" s="8"/>
      <c r="BN705" s="8"/>
      <c r="BO705" s="8"/>
      <c r="BP705" s="8"/>
      <c r="BQ705" s="8"/>
      <c r="BR705" s="8"/>
      <c r="BS705" s="8"/>
      <c r="BT705" s="8"/>
      <c r="BU705" s="8"/>
      <c r="BV705" s="8"/>
      <c r="BW705" s="8"/>
      <c r="BX705" s="8"/>
      <c r="BY705" s="8"/>
      <c r="BZ705" s="8"/>
      <c r="CA705" s="8"/>
      <c r="CB705" s="8"/>
      <c r="CC705" s="8"/>
      <c r="CD705" s="8"/>
      <c r="CE705" s="8"/>
      <c r="CF705" s="8"/>
      <c r="CG705" s="8"/>
      <c r="CH705" s="8"/>
      <c r="CI705" s="8"/>
      <c r="CJ705" s="8"/>
      <c r="CK705" s="8"/>
      <c r="CL705" s="8"/>
      <c r="CM705" s="8"/>
      <c r="CN705" s="8"/>
    </row>
    <row r="706" spans="7:92" x14ac:dyDescent="0.35">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c r="AM706" s="8"/>
      <c r="AN706" s="8"/>
      <c r="AO706" s="8"/>
      <c r="AP706" s="8"/>
      <c r="AQ706" s="8"/>
      <c r="AR706" s="8"/>
      <c r="AS706" s="8"/>
      <c r="AT706" s="8"/>
      <c r="AU706" s="8"/>
      <c r="AV706" s="8"/>
      <c r="AW706" s="8"/>
      <c r="AX706" s="8"/>
      <c r="AY706" s="8"/>
      <c r="AZ706" s="8"/>
      <c r="BA706" s="8"/>
      <c r="BB706" s="8"/>
      <c r="BC706" s="8"/>
      <c r="BD706" s="8"/>
      <c r="BE706" s="8"/>
      <c r="BF706" s="8"/>
      <c r="BG706" s="8"/>
      <c r="BH706" s="8"/>
      <c r="BI706" s="8"/>
      <c r="BJ706" s="8"/>
      <c r="BK706" s="8"/>
      <c r="BL706" s="8"/>
      <c r="BM706" s="8"/>
      <c r="BN706" s="8"/>
      <c r="BO706" s="8"/>
      <c r="BP706" s="8"/>
      <c r="BQ706" s="8"/>
      <c r="BR706" s="8"/>
      <c r="BS706" s="8"/>
      <c r="BT706" s="8"/>
      <c r="BU706" s="8"/>
      <c r="BV706" s="8"/>
      <c r="BW706" s="8"/>
      <c r="BX706" s="8"/>
      <c r="BY706" s="8"/>
      <c r="BZ706" s="8"/>
      <c r="CA706" s="8"/>
      <c r="CB706" s="8"/>
      <c r="CC706" s="8"/>
      <c r="CD706" s="8"/>
      <c r="CE706" s="8"/>
      <c r="CF706" s="8"/>
      <c r="CG706" s="8"/>
      <c r="CH706" s="8"/>
      <c r="CI706" s="8"/>
      <c r="CJ706" s="8"/>
      <c r="CK706" s="8"/>
      <c r="CL706" s="8"/>
      <c r="CM706" s="8"/>
      <c r="CN706" s="8"/>
    </row>
    <row r="707" spans="7:92" x14ac:dyDescent="0.35">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c r="AL707" s="8"/>
      <c r="AM707" s="8"/>
      <c r="AN707" s="8"/>
      <c r="AO707" s="8"/>
      <c r="AP707" s="8"/>
      <c r="AQ707" s="8"/>
      <c r="AR707" s="8"/>
      <c r="AS707" s="8"/>
      <c r="AT707" s="8"/>
      <c r="AU707" s="8"/>
      <c r="AV707" s="8"/>
      <c r="AW707" s="8"/>
      <c r="AX707" s="8"/>
      <c r="AY707" s="8"/>
      <c r="AZ707" s="8"/>
      <c r="BA707" s="8"/>
      <c r="BB707" s="8"/>
      <c r="BC707" s="8"/>
      <c r="BD707" s="8"/>
      <c r="BE707" s="8"/>
      <c r="BF707" s="8"/>
      <c r="BG707" s="8"/>
      <c r="BH707" s="8"/>
      <c r="BI707" s="8"/>
      <c r="BJ707" s="8"/>
      <c r="BK707" s="8"/>
      <c r="BL707" s="8"/>
      <c r="BM707" s="8"/>
      <c r="BN707" s="8"/>
      <c r="BO707" s="8"/>
      <c r="BP707" s="8"/>
      <c r="BQ707" s="8"/>
      <c r="BR707" s="8"/>
      <c r="BS707" s="8"/>
      <c r="BT707" s="8"/>
      <c r="BU707" s="8"/>
      <c r="BV707" s="8"/>
      <c r="BW707" s="8"/>
      <c r="BX707" s="8"/>
      <c r="BY707" s="8"/>
      <c r="BZ707" s="8"/>
      <c r="CA707" s="8"/>
      <c r="CB707" s="8"/>
      <c r="CC707" s="8"/>
      <c r="CD707" s="8"/>
      <c r="CE707" s="8"/>
      <c r="CF707" s="8"/>
      <c r="CG707" s="8"/>
      <c r="CH707" s="8"/>
      <c r="CI707" s="8"/>
      <c r="CJ707" s="8"/>
      <c r="CK707" s="8"/>
      <c r="CL707" s="8"/>
      <c r="CM707" s="8"/>
      <c r="CN707" s="8"/>
    </row>
    <row r="708" spans="7:92" x14ac:dyDescent="0.35">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c r="AM708" s="8"/>
      <c r="AN708" s="8"/>
      <c r="AO708" s="8"/>
      <c r="AP708" s="8"/>
      <c r="AQ708" s="8"/>
      <c r="AR708" s="8"/>
      <c r="AS708" s="8"/>
      <c r="AT708" s="8"/>
      <c r="AU708" s="8"/>
      <c r="AV708" s="8"/>
      <c r="AW708" s="8"/>
      <c r="AX708" s="8"/>
      <c r="AY708" s="8"/>
      <c r="AZ708" s="8"/>
      <c r="BA708" s="8"/>
      <c r="BB708" s="8"/>
      <c r="BC708" s="8"/>
      <c r="BD708" s="8"/>
      <c r="BE708" s="8"/>
      <c r="BF708" s="8"/>
      <c r="BG708" s="8"/>
      <c r="BH708" s="8"/>
      <c r="BI708" s="8"/>
      <c r="BJ708" s="8"/>
      <c r="BK708" s="8"/>
      <c r="BL708" s="8"/>
      <c r="BM708" s="8"/>
      <c r="BN708" s="8"/>
      <c r="BO708" s="8"/>
      <c r="BP708" s="8"/>
      <c r="BQ708" s="8"/>
      <c r="BR708" s="8"/>
      <c r="BS708" s="8"/>
      <c r="BT708" s="8"/>
      <c r="BU708" s="8"/>
      <c r="BV708" s="8"/>
      <c r="BW708" s="8"/>
      <c r="BX708" s="8"/>
      <c r="BY708" s="8"/>
      <c r="BZ708" s="8"/>
      <c r="CA708" s="8"/>
      <c r="CB708" s="8"/>
      <c r="CC708" s="8"/>
      <c r="CD708" s="8"/>
      <c r="CE708" s="8"/>
      <c r="CF708" s="8"/>
      <c r="CG708" s="8"/>
      <c r="CH708" s="8"/>
      <c r="CI708" s="8"/>
      <c r="CJ708" s="8"/>
      <c r="CK708" s="8"/>
      <c r="CL708" s="8"/>
      <c r="CM708" s="8"/>
      <c r="CN708" s="8"/>
    </row>
    <row r="709" spans="7:92" x14ac:dyDescent="0.35">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c r="AL709" s="8"/>
      <c r="AM709" s="8"/>
      <c r="AN709" s="8"/>
      <c r="AO709" s="8"/>
      <c r="AP709" s="8"/>
      <c r="AQ709" s="8"/>
      <c r="AR709" s="8"/>
      <c r="AS709" s="8"/>
      <c r="AT709" s="8"/>
      <c r="AU709" s="8"/>
      <c r="AV709" s="8"/>
      <c r="AW709" s="8"/>
      <c r="AX709" s="8"/>
      <c r="AY709" s="8"/>
      <c r="AZ709" s="8"/>
      <c r="BA709" s="8"/>
      <c r="BB709" s="8"/>
      <c r="BC709" s="8"/>
      <c r="BD709" s="8"/>
      <c r="BE709" s="8"/>
      <c r="BF709" s="8"/>
      <c r="BG709" s="8"/>
      <c r="BH709" s="8"/>
      <c r="BI709" s="8"/>
      <c r="BJ709" s="8"/>
      <c r="BK709" s="8"/>
      <c r="BL709" s="8"/>
      <c r="BM709" s="8"/>
      <c r="BN709" s="8"/>
      <c r="BO709" s="8"/>
      <c r="BP709" s="8"/>
      <c r="BQ709" s="8"/>
      <c r="BR709" s="8"/>
      <c r="BS709" s="8"/>
      <c r="BT709" s="8"/>
      <c r="BU709" s="8"/>
      <c r="BV709" s="8"/>
      <c r="BW709" s="8"/>
      <c r="BX709" s="8"/>
      <c r="BY709" s="8"/>
      <c r="BZ709" s="8"/>
      <c r="CA709" s="8"/>
      <c r="CB709" s="8"/>
      <c r="CC709" s="8"/>
      <c r="CD709" s="8"/>
      <c r="CE709" s="8"/>
      <c r="CF709" s="8"/>
      <c r="CG709" s="8"/>
      <c r="CH709" s="8"/>
      <c r="CI709" s="8"/>
      <c r="CJ709" s="8"/>
      <c r="CK709" s="8"/>
      <c r="CL709" s="8"/>
      <c r="CM709" s="8"/>
      <c r="CN709" s="8"/>
    </row>
    <row r="710" spans="7:92" x14ac:dyDescent="0.35">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c r="AM710" s="8"/>
      <c r="AN710" s="8"/>
      <c r="AO710" s="8"/>
      <c r="AP710" s="8"/>
      <c r="AQ710" s="8"/>
      <c r="AR710" s="8"/>
      <c r="AS710" s="8"/>
      <c r="AT710" s="8"/>
      <c r="AU710" s="8"/>
      <c r="AV710" s="8"/>
      <c r="AW710" s="8"/>
      <c r="AX710" s="8"/>
      <c r="AY710" s="8"/>
      <c r="AZ710" s="8"/>
      <c r="BA710" s="8"/>
      <c r="BB710" s="8"/>
      <c r="BC710" s="8"/>
      <c r="BD710" s="8"/>
      <c r="BE710" s="8"/>
      <c r="BF710" s="8"/>
      <c r="BG710" s="8"/>
      <c r="BH710" s="8"/>
      <c r="BI710" s="8"/>
      <c r="BJ710" s="8"/>
      <c r="BK710" s="8"/>
      <c r="BL710" s="8"/>
      <c r="BM710" s="8"/>
      <c r="BN710" s="8"/>
      <c r="BO710" s="8"/>
      <c r="BP710" s="8"/>
      <c r="BQ710" s="8"/>
      <c r="BR710" s="8"/>
      <c r="BS710" s="8"/>
      <c r="BT710" s="8"/>
      <c r="BU710" s="8"/>
      <c r="BV710" s="8"/>
      <c r="BW710" s="8"/>
      <c r="BX710" s="8"/>
      <c r="BY710" s="8"/>
      <c r="BZ710" s="8"/>
      <c r="CA710" s="8"/>
      <c r="CB710" s="8"/>
      <c r="CC710" s="8"/>
      <c r="CD710" s="8"/>
      <c r="CE710" s="8"/>
      <c r="CF710" s="8"/>
      <c r="CG710" s="8"/>
      <c r="CH710" s="8"/>
      <c r="CI710" s="8"/>
      <c r="CJ710" s="8"/>
      <c r="CK710" s="8"/>
      <c r="CL710" s="8"/>
      <c r="CM710" s="8"/>
      <c r="CN710" s="8"/>
    </row>
    <row r="711" spans="7:92" x14ac:dyDescent="0.35">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c r="AL711" s="8"/>
      <c r="AM711" s="8"/>
      <c r="AN711" s="8"/>
      <c r="AO711" s="8"/>
      <c r="AP711" s="8"/>
      <c r="AQ711" s="8"/>
      <c r="AR711" s="8"/>
      <c r="AS711" s="8"/>
      <c r="AT711" s="8"/>
      <c r="AU711" s="8"/>
      <c r="AV711" s="8"/>
      <c r="AW711" s="8"/>
      <c r="AX711" s="8"/>
      <c r="AY711" s="8"/>
      <c r="AZ711" s="8"/>
      <c r="BA711" s="8"/>
      <c r="BB711" s="8"/>
      <c r="BC711" s="8"/>
      <c r="BD711" s="8"/>
      <c r="BE711" s="8"/>
      <c r="BF711" s="8"/>
      <c r="BG711" s="8"/>
      <c r="BH711" s="8"/>
      <c r="BI711" s="8"/>
      <c r="BJ711" s="8"/>
      <c r="BK711" s="8"/>
      <c r="BL711" s="8"/>
      <c r="BM711" s="8"/>
      <c r="BN711" s="8"/>
      <c r="BO711" s="8"/>
      <c r="BP711" s="8"/>
      <c r="BQ711" s="8"/>
      <c r="BR711" s="8"/>
      <c r="BS711" s="8"/>
      <c r="BT711" s="8"/>
      <c r="BU711" s="8"/>
      <c r="BV711" s="8"/>
      <c r="BW711" s="8"/>
      <c r="BX711" s="8"/>
      <c r="BY711" s="8"/>
      <c r="BZ711" s="8"/>
      <c r="CA711" s="8"/>
      <c r="CB711" s="8"/>
      <c r="CC711" s="8"/>
      <c r="CD711" s="8"/>
      <c r="CE711" s="8"/>
      <c r="CF711" s="8"/>
      <c r="CG711" s="8"/>
      <c r="CH711" s="8"/>
      <c r="CI711" s="8"/>
      <c r="CJ711" s="8"/>
      <c r="CK711" s="8"/>
      <c r="CL711" s="8"/>
      <c r="CM711" s="8"/>
      <c r="CN711" s="8"/>
    </row>
    <row r="712" spans="7:92" x14ac:dyDescent="0.35">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c r="AL712" s="8"/>
      <c r="AM712" s="8"/>
      <c r="AN712" s="8"/>
      <c r="AO712" s="8"/>
      <c r="AP712" s="8"/>
      <c r="AQ712" s="8"/>
      <c r="AR712" s="8"/>
      <c r="AS712" s="8"/>
      <c r="AT712" s="8"/>
      <c r="AU712" s="8"/>
      <c r="AV712" s="8"/>
      <c r="AW712" s="8"/>
      <c r="AX712" s="8"/>
      <c r="AY712" s="8"/>
      <c r="AZ712" s="8"/>
      <c r="BA712" s="8"/>
      <c r="BB712" s="8"/>
      <c r="BC712" s="8"/>
      <c r="BD712" s="8"/>
      <c r="BE712" s="8"/>
      <c r="BF712" s="8"/>
      <c r="BG712" s="8"/>
      <c r="BH712" s="8"/>
      <c r="BI712" s="8"/>
      <c r="BJ712" s="8"/>
      <c r="BK712" s="8"/>
      <c r="BL712" s="8"/>
      <c r="BM712" s="8"/>
      <c r="BN712" s="8"/>
      <c r="BO712" s="8"/>
      <c r="BP712" s="8"/>
      <c r="BQ712" s="8"/>
      <c r="BR712" s="8"/>
      <c r="BS712" s="8"/>
      <c r="BT712" s="8"/>
      <c r="BU712" s="8"/>
      <c r="BV712" s="8"/>
      <c r="BW712" s="8"/>
      <c r="BX712" s="8"/>
      <c r="BY712" s="8"/>
      <c r="BZ712" s="8"/>
      <c r="CA712" s="8"/>
      <c r="CB712" s="8"/>
      <c r="CC712" s="8"/>
      <c r="CD712" s="8"/>
      <c r="CE712" s="8"/>
      <c r="CF712" s="8"/>
      <c r="CG712" s="8"/>
      <c r="CH712" s="8"/>
      <c r="CI712" s="8"/>
      <c r="CJ712" s="8"/>
      <c r="CK712" s="8"/>
      <c r="CL712" s="8"/>
      <c r="CM712" s="8"/>
      <c r="CN712" s="8"/>
    </row>
    <row r="713" spans="7:92" x14ac:dyDescent="0.35">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c r="AL713" s="8"/>
      <c r="AM713" s="8"/>
      <c r="AN713" s="8"/>
      <c r="AO713" s="8"/>
      <c r="AP713" s="8"/>
      <c r="AQ713" s="8"/>
      <c r="AR713" s="8"/>
      <c r="AS713" s="8"/>
      <c r="AT713" s="8"/>
      <c r="AU713" s="8"/>
      <c r="AV713" s="8"/>
      <c r="AW713" s="8"/>
      <c r="AX713" s="8"/>
      <c r="AY713" s="8"/>
      <c r="AZ713" s="8"/>
      <c r="BA713" s="8"/>
      <c r="BB713" s="8"/>
      <c r="BC713" s="8"/>
      <c r="BD713" s="8"/>
      <c r="BE713" s="8"/>
      <c r="BF713" s="8"/>
      <c r="BG713" s="8"/>
      <c r="BH713" s="8"/>
      <c r="BI713" s="8"/>
      <c r="BJ713" s="8"/>
      <c r="BK713" s="8"/>
      <c r="BL713" s="8"/>
      <c r="BM713" s="8"/>
      <c r="BN713" s="8"/>
      <c r="BO713" s="8"/>
      <c r="BP713" s="8"/>
      <c r="BQ713" s="8"/>
      <c r="BR713" s="8"/>
      <c r="BS713" s="8"/>
      <c r="BT713" s="8"/>
      <c r="BU713" s="8"/>
      <c r="BV713" s="8"/>
      <c r="BW713" s="8"/>
      <c r="BX713" s="8"/>
      <c r="BY713" s="8"/>
      <c r="BZ713" s="8"/>
      <c r="CA713" s="8"/>
      <c r="CB713" s="8"/>
      <c r="CC713" s="8"/>
      <c r="CD713" s="8"/>
      <c r="CE713" s="8"/>
      <c r="CF713" s="8"/>
      <c r="CG713" s="8"/>
      <c r="CH713" s="8"/>
      <c r="CI713" s="8"/>
      <c r="CJ713" s="8"/>
      <c r="CK713" s="8"/>
      <c r="CL713" s="8"/>
      <c r="CM713" s="8"/>
      <c r="CN713" s="8"/>
    </row>
    <row r="714" spans="7:92" x14ac:dyDescent="0.35">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c r="AM714" s="8"/>
      <c r="AN714" s="8"/>
      <c r="AO714" s="8"/>
      <c r="AP714" s="8"/>
      <c r="AQ714" s="8"/>
      <c r="AR714" s="8"/>
      <c r="AS714" s="8"/>
      <c r="AT714" s="8"/>
      <c r="AU714" s="8"/>
      <c r="AV714" s="8"/>
      <c r="AW714" s="8"/>
      <c r="AX714" s="8"/>
      <c r="AY714" s="8"/>
      <c r="AZ714" s="8"/>
      <c r="BA714" s="8"/>
      <c r="BB714" s="8"/>
      <c r="BC714" s="8"/>
      <c r="BD714" s="8"/>
      <c r="BE714" s="8"/>
      <c r="BF714" s="8"/>
      <c r="BG714" s="8"/>
      <c r="BH714" s="8"/>
      <c r="BI714" s="8"/>
      <c r="BJ714" s="8"/>
      <c r="BK714" s="8"/>
      <c r="BL714" s="8"/>
      <c r="BM714" s="8"/>
      <c r="BN714" s="8"/>
      <c r="BO714" s="8"/>
      <c r="BP714" s="8"/>
      <c r="BQ714" s="8"/>
      <c r="BR714" s="8"/>
      <c r="BS714" s="8"/>
      <c r="BT714" s="8"/>
      <c r="BU714" s="8"/>
      <c r="BV714" s="8"/>
      <c r="BW714" s="8"/>
      <c r="BX714" s="8"/>
      <c r="BY714" s="8"/>
      <c r="BZ714" s="8"/>
      <c r="CA714" s="8"/>
      <c r="CB714" s="8"/>
      <c r="CC714" s="8"/>
      <c r="CD714" s="8"/>
      <c r="CE714" s="8"/>
      <c r="CF714" s="8"/>
      <c r="CG714" s="8"/>
      <c r="CH714" s="8"/>
      <c r="CI714" s="8"/>
      <c r="CJ714" s="8"/>
      <c r="CK714" s="8"/>
      <c r="CL714" s="8"/>
      <c r="CM714" s="8"/>
      <c r="CN714" s="8"/>
    </row>
    <row r="715" spans="7:92" x14ac:dyDescent="0.35">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c r="AM715" s="8"/>
      <c r="AN715" s="8"/>
      <c r="AO715" s="8"/>
      <c r="AP715" s="8"/>
      <c r="AQ715" s="8"/>
      <c r="AR715" s="8"/>
      <c r="AS715" s="8"/>
      <c r="AT715" s="8"/>
      <c r="AU715" s="8"/>
      <c r="AV715" s="8"/>
      <c r="AW715" s="8"/>
      <c r="AX715" s="8"/>
      <c r="AY715" s="8"/>
      <c r="AZ715" s="8"/>
      <c r="BA715" s="8"/>
      <c r="BB715" s="8"/>
      <c r="BC715" s="8"/>
      <c r="BD715" s="8"/>
      <c r="BE715" s="8"/>
      <c r="BF715" s="8"/>
      <c r="BG715" s="8"/>
      <c r="BH715" s="8"/>
      <c r="BI715" s="8"/>
      <c r="BJ715" s="8"/>
      <c r="BK715" s="8"/>
      <c r="BL715" s="8"/>
      <c r="BM715" s="8"/>
      <c r="BN715" s="8"/>
      <c r="BO715" s="8"/>
      <c r="BP715" s="8"/>
      <c r="BQ715" s="8"/>
      <c r="BR715" s="8"/>
      <c r="BS715" s="8"/>
      <c r="BT715" s="8"/>
      <c r="BU715" s="8"/>
      <c r="BV715" s="8"/>
      <c r="BW715" s="8"/>
      <c r="BX715" s="8"/>
      <c r="BY715" s="8"/>
      <c r="BZ715" s="8"/>
      <c r="CA715" s="8"/>
      <c r="CB715" s="8"/>
      <c r="CC715" s="8"/>
      <c r="CD715" s="8"/>
      <c r="CE715" s="8"/>
      <c r="CF715" s="8"/>
      <c r="CG715" s="8"/>
      <c r="CH715" s="8"/>
      <c r="CI715" s="8"/>
      <c r="CJ715" s="8"/>
      <c r="CK715" s="8"/>
      <c r="CL715" s="8"/>
      <c r="CM715" s="8"/>
      <c r="CN715" s="8"/>
    </row>
    <row r="716" spans="7:92" x14ac:dyDescent="0.35">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c r="AM716" s="8"/>
      <c r="AN716" s="8"/>
      <c r="AO716" s="8"/>
      <c r="AP716" s="8"/>
      <c r="AQ716" s="8"/>
      <c r="AR716" s="8"/>
      <c r="AS716" s="8"/>
      <c r="AT716" s="8"/>
      <c r="AU716" s="8"/>
      <c r="AV716" s="8"/>
      <c r="AW716" s="8"/>
      <c r="AX716" s="8"/>
      <c r="AY716" s="8"/>
      <c r="AZ716" s="8"/>
      <c r="BA716" s="8"/>
      <c r="BB716" s="8"/>
      <c r="BC716" s="8"/>
      <c r="BD716" s="8"/>
      <c r="BE716" s="8"/>
      <c r="BF716" s="8"/>
      <c r="BG716" s="8"/>
      <c r="BH716" s="8"/>
      <c r="BI716" s="8"/>
      <c r="BJ716" s="8"/>
      <c r="BK716" s="8"/>
      <c r="BL716" s="8"/>
      <c r="BM716" s="8"/>
      <c r="BN716" s="8"/>
      <c r="BO716" s="8"/>
      <c r="BP716" s="8"/>
      <c r="BQ716" s="8"/>
      <c r="BR716" s="8"/>
      <c r="BS716" s="8"/>
      <c r="BT716" s="8"/>
      <c r="BU716" s="8"/>
      <c r="BV716" s="8"/>
      <c r="BW716" s="8"/>
      <c r="BX716" s="8"/>
      <c r="BY716" s="8"/>
      <c r="BZ716" s="8"/>
      <c r="CA716" s="8"/>
      <c r="CB716" s="8"/>
      <c r="CC716" s="8"/>
      <c r="CD716" s="8"/>
      <c r="CE716" s="8"/>
      <c r="CF716" s="8"/>
      <c r="CG716" s="8"/>
      <c r="CH716" s="8"/>
      <c r="CI716" s="8"/>
      <c r="CJ716" s="8"/>
      <c r="CK716" s="8"/>
      <c r="CL716" s="8"/>
      <c r="CM716" s="8"/>
      <c r="CN716" s="8"/>
    </row>
    <row r="717" spans="7:92" x14ac:dyDescent="0.35">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c r="AM717" s="8"/>
      <c r="AN717" s="8"/>
      <c r="AO717" s="8"/>
      <c r="AP717" s="8"/>
      <c r="AQ717" s="8"/>
      <c r="AR717" s="8"/>
      <c r="AS717" s="8"/>
      <c r="AT717" s="8"/>
      <c r="AU717" s="8"/>
      <c r="AV717" s="8"/>
      <c r="AW717" s="8"/>
      <c r="AX717" s="8"/>
      <c r="AY717" s="8"/>
      <c r="AZ717" s="8"/>
      <c r="BA717" s="8"/>
      <c r="BB717" s="8"/>
      <c r="BC717" s="8"/>
      <c r="BD717" s="8"/>
      <c r="BE717" s="8"/>
      <c r="BF717" s="8"/>
      <c r="BG717" s="8"/>
      <c r="BH717" s="8"/>
      <c r="BI717" s="8"/>
      <c r="BJ717" s="8"/>
      <c r="BK717" s="8"/>
      <c r="BL717" s="8"/>
      <c r="BM717" s="8"/>
      <c r="BN717" s="8"/>
      <c r="BO717" s="8"/>
      <c r="BP717" s="8"/>
      <c r="BQ717" s="8"/>
      <c r="BR717" s="8"/>
      <c r="BS717" s="8"/>
      <c r="BT717" s="8"/>
      <c r="BU717" s="8"/>
      <c r="BV717" s="8"/>
      <c r="BW717" s="8"/>
      <c r="BX717" s="8"/>
      <c r="BY717" s="8"/>
      <c r="BZ717" s="8"/>
      <c r="CA717" s="8"/>
      <c r="CB717" s="8"/>
      <c r="CC717" s="8"/>
      <c r="CD717" s="8"/>
      <c r="CE717" s="8"/>
      <c r="CF717" s="8"/>
      <c r="CG717" s="8"/>
      <c r="CH717" s="8"/>
      <c r="CI717" s="8"/>
      <c r="CJ717" s="8"/>
      <c r="CK717" s="8"/>
      <c r="CL717" s="8"/>
      <c r="CM717" s="8"/>
      <c r="CN717" s="8"/>
    </row>
    <row r="718" spans="7:92" x14ac:dyDescent="0.35">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c r="AM718" s="8"/>
      <c r="AN718" s="8"/>
      <c r="AO718" s="8"/>
      <c r="AP718" s="8"/>
      <c r="AQ718" s="8"/>
      <c r="AR718" s="8"/>
      <c r="AS718" s="8"/>
      <c r="AT718" s="8"/>
      <c r="AU718" s="8"/>
      <c r="AV718" s="8"/>
      <c r="AW718" s="8"/>
      <c r="AX718" s="8"/>
      <c r="AY718" s="8"/>
      <c r="AZ718" s="8"/>
      <c r="BA718" s="8"/>
      <c r="BB718" s="8"/>
      <c r="BC718" s="8"/>
      <c r="BD718" s="8"/>
      <c r="BE718" s="8"/>
      <c r="BF718" s="8"/>
      <c r="BG718" s="8"/>
      <c r="BH718" s="8"/>
      <c r="BI718" s="8"/>
      <c r="BJ718" s="8"/>
      <c r="BK718" s="8"/>
      <c r="BL718" s="8"/>
      <c r="BM718" s="8"/>
      <c r="BN718" s="8"/>
      <c r="BO718" s="8"/>
      <c r="BP718" s="8"/>
      <c r="BQ718" s="8"/>
      <c r="BR718" s="8"/>
      <c r="BS718" s="8"/>
      <c r="BT718" s="8"/>
      <c r="BU718" s="8"/>
      <c r="BV718" s="8"/>
      <c r="BW718" s="8"/>
      <c r="BX718" s="8"/>
      <c r="BY718" s="8"/>
      <c r="BZ718" s="8"/>
      <c r="CA718" s="8"/>
      <c r="CB718" s="8"/>
      <c r="CC718" s="8"/>
      <c r="CD718" s="8"/>
      <c r="CE718" s="8"/>
      <c r="CF718" s="8"/>
      <c r="CG718" s="8"/>
      <c r="CH718" s="8"/>
      <c r="CI718" s="8"/>
      <c r="CJ718" s="8"/>
      <c r="CK718" s="8"/>
      <c r="CL718" s="8"/>
      <c r="CM718" s="8"/>
      <c r="CN718" s="8"/>
    </row>
    <row r="719" spans="7:92" x14ac:dyDescent="0.35">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c r="AL719" s="8"/>
      <c r="AM719" s="8"/>
      <c r="AN719" s="8"/>
      <c r="AO719" s="8"/>
      <c r="AP719" s="8"/>
      <c r="AQ719" s="8"/>
      <c r="AR719" s="8"/>
      <c r="AS719" s="8"/>
      <c r="AT719" s="8"/>
      <c r="AU719" s="8"/>
      <c r="AV719" s="8"/>
      <c r="AW719" s="8"/>
      <c r="AX719" s="8"/>
      <c r="AY719" s="8"/>
      <c r="AZ719" s="8"/>
      <c r="BA719" s="8"/>
      <c r="BB719" s="8"/>
      <c r="BC719" s="8"/>
      <c r="BD719" s="8"/>
      <c r="BE719" s="8"/>
      <c r="BF719" s="8"/>
      <c r="BG719" s="8"/>
      <c r="BH719" s="8"/>
      <c r="BI719" s="8"/>
      <c r="BJ719" s="8"/>
      <c r="BK719" s="8"/>
      <c r="BL719" s="8"/>
      <c r="BM719" s="8"/>
      <c r="BN719" s="8"/>
      <c r="BO719" s="8"/>
      <c r="BP719" s="8"/>
      <c r="BQ719" s="8"/>
      <c r="BR719" s="8"/>
      <c r="BS719" s="8"/>
      <c r="BT719" s="8"/>
      <c r="BU719" s="8"/>
      <c r="BV719" s="8"/>
      <c r="BW719" s="8"/>
      <c r="BX719" s="8"/>
      <c r="BY719" s="8"/>
      <c r="BZ719" s="8"/>
      <c r="CA719" s="8"/>
      <c r="CB719" s="8"/>
      <c r="CC719" s="8"/>
      <c r="CD719" s="8"/>
      <c r="CE719" s="8"/>
      <c r="CF719" s="8"/>
      <c r="CG719" s="8"/>
      <c r="CH719" s="8"/>
      <c r="CI719" s="8"/>
      <c r="CJ719" s="8"/>
      <c r="CK719" s="8"/>
      <c r="CL719" s="8"/>
      <c r="CM719" s="8"/>
      <c r="CN719" s="8"/>
    </row>
    <row r="720" spans="7:92" x14ac:dyDescent="0.35">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c r="AM720" s="8"/>
      <c r="AN720" s="8"/>
      <c r="AO720" s="8"/>
      <c r="AP720" s="8"/>
      <c r="AQ720" s="8"/>
      <c r="AR720" s="8"/>
      <c r="AS720" s="8"/>
      <c r="AT720" s="8"/>
      <c r="AU720" s="8"/>
      <c r="AV720" s="8"/>
      <c r="AW720" s="8"/>
      <c r="AX720" s="8"/>
      <c r="AY720" s="8"/>
      <c r="AZ720" s="8"/>
      <c r="BA720" s="8"/>
      <c r="BB720" s="8"/>
      <c r="BC720" s="8"/>
      <c r="BD720" s="8"/>
      <c r="BE720" s="8"/>
      <c r="BF720" s="8"/>
      <c r="BG720" s="8"/>
      <c r="BH720" s="8"/>
      <c r="BI720" s="8"/>
      <c r="BJ720" s="8"/>
      <c r="BK720" s="8"/>
      <c r="BL720" s="8"/>
      <c r="BM720" s="8"/>
      <c r="BN720" s="8"/>
      <c r="BO720" s="8"/>
      <c r="BP720" s="8"/>
      <c r="BQ720" s="8"/>
      <c r="BR720" s="8"/>
      <c r="BS720" s="8"/>
      <c r="BT720" s="8"/>
      <c r="BU720" s="8"/>
      <c r="BV720" s="8"/>
      <c r="BW720" s="8"/>
      <c r="BX720" s="8"/>
      <c r="BY720" s="8"/>
      <c r="BZ720" s="8"/>
      <c r="CA720" s="8"/>
      <c r="CB720" s="8"/>
      <c r="CC720" s="8"/>
      <c r="CD720" s="8"/>
      <c r="CE720" s="8"/>
      <c r="CF720" s="8"/>
      <c r="CG720" s="8"/>
      <c r="CH720" s="8"/>
      <c r="CI720" s="8"/>
      <c r="CJ720" s="8"/>
      <c r="CK720" s="8"/>
      <c r="CL720" s="8"/>
      <c r="CM720" s="8"/>
      <c r="CN720" s="8"/>
    </row>
    <row r="721" spans="7:92" x14ac:dyDescent="0.35">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c r="AM721" s="8"/>
      <c r="AN721" s="8"/>
      <c r="AO721" s="8"/>
      <c r="AP721" s="8"/>
      <c r="AQ721" s="8"/>
      <c r="AR721" s="8"/>
      <c r="AS721" s="8"/>
      <c r="AT721" s="8"/>
      <c r="AU721" s="8"/>
      <c r="AV721" s="8"/>
      <c r="AW721" s="8"/>
      <c r="AX721" s="8"/>
      <c r="AY721" s="8"/>
      <c r="AZ721" s="8"/>
      <c r="BA721" s="8"/>
      <c r="BB721" s="8"/>
      <c r="BC721" s="8"/>
      <c r="BD721" s="8"/>
      <c r="BE721" s="8"/>
      <c r="BF721" s="8"/>
      <c r="BG721" s="8"/>
      <c r="BH721" s="8"/>
      <c r="BI721" s="8"/>
      <c r="BJ721" s="8"/>
      <c r="BK721" s="8"/>
      <c r="BL721" s="8"/>
      <c r="BM721" s="8"/>
      <c r="BN721" s="8"/>
      <c r="BO721" s="8"/>
      <c r="BP721" s="8"/>
      <c r="BQ721" s="8"/>
      <c r="BR721" s="8"/>
      <c r="BS721" s="8"/>
      <c r="BT721" s="8"/>
      <c r="BU721" s="8"/>
      <c r="BV721" s="8"/>
      <c r="BW721" s="8"/>
      <c r="BX721" s="8"/>
      <c r="BY721" s="8"/>
      <c r="BZ721" s="8"/>
      <c r="CA721" s="8"/>
      <c r="CB721" s="8"/>
      <c r="CC721" s="8"/>
      <c r="CD721" s="8"/>
      <c r="CE721" s="8"/>
      <c r="CF721" s="8"/>
      <c r="CG721" s="8"/>
      <c r="CH721" s="8"/>
      <c r="CI721" s="8"/>
      <c r="CJ721" s="8"/>
      <c r="CK721" s="8"/>
      <c r="CL721" s="8"/>
      <c r="CM721" s="8"/>
      <c r="CN721" s="8"/>
    </row>
    <row r="722" spans="7:92" x14ac:dyDescent="0.35">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c r="AM722" s="8"/>
      <c r="AN722" s="8"/>
      <c r="AO722" s="8"/>
      <c r="AP722" s="8"/>
      <c r="AQ722" s="8"/>
      <c r="AR722" s="8"/>
      <c r="AS722" s="8"/>
      <c r="AT722" s="8"/>
      <c r="AU722" s="8"/>
      <c r="AV722" s="8"/>
      <c r="AW722" s="8"/>
      <c r="AX722" s="8"/>
      <c r="AY722" s="8"/>
      <c r="AZ722" s="8"/>
      <c r="BA722" s="8"/>
      <c r="BB722" s="8"/>
      <c r="BC722" s="8"/>
      <c r="BD722" s="8"/>
      <c r="BE722" s="8"/>
      <c r="BF722" s="8"/>
      <c r="BG722" s="8"/>
      <c r="BH722" s="8"/>
      <c r="BI722" s="8"/>
      <c r="BJ722" s="8"/>
      <c r="BK722" s="8"/>
      <c r="BL722" s="8"/>
      <c r="BM722" s="8"/>
      <c r="BN722" s="8"/>
      <c r="BO722" s="8"/>
      <c r="BP722" s="8"/>
      <c r="BQ722" s="8"/>
      <c r="BR722" s="8"/>
      <c r="BS722" s="8"/>
      <c r="BT722" s="8"/>
      <c r="BU722" s="8"/>
      <c r="BV722" s="8"/>
      <c r="BW722" s="8"/>
      <c r="BX722" s="8"/>
      <c r="BY722" s="8"/>
      <c r="BZ722" s="8"/>
      <c r="CA722" s="8"/>
      <c r="CB722" s="8"/>
      <c r="CC722" s="8"/>
      <c r="CD722" s="8"/>
      <c r="CE722" s="8"/>
      <c r="CF722" s="8"/>
      <c r="CG722" s="8"/>
      <c r="CH722" s="8"/>
      <c r="CI722" s="8"/>
      <c r="CJ722" s="8"/>
      <c r="CK722" s="8"/>
      <c r="CL722" s="8"/>
      <c r="CM722" s="8"/>
      <c r="CN722" s="8"/>
    </row>
    <row r="723" spans="7:92" x14ac:dyDescent="0.35">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c r="AM723" s="8"/>
      <c r="AN723" s="8"/>
      <c r="AO723" s="8"/>
      <c r="AP723" s="8"/>
      <c r="AQ723" s="8"/>
      <c r="AR723" s="8"/>
      <c r="AS723" s="8"/>
      <c r="AT723" s="8"/>
      <c r="AU723" s="8"/>
      <c r="AV723" s="8"/>
      <c r="AW723" s="8"/>
      <c r="AX723" s="8"/>
      <c r="AY723" s="8"/>
      <c r="AZ723" s="8"/>
      <c r="BA723" s="8"/>
      <c r="BB723" s="8"/>
      <c r="BC723" s="8"/>
      <c r="BD723" s="8"/>
      <c r="BE723" s="8"/>
      <c r="BF723" s="8"/>
      <c r="BG723" s="8"/>
      <c r="BH723" s="8"/>
      <c r="BI723" s="8"/>
      <c r="BJ723" s="8"/>
      <c r="BK723" s="8"/>
      <c r="BL723" s="8"/>
      <c r="BM723" s="8"/>
      <c r="BN723" s="8"/>
      <c r="BO723" s="8"/>
      <c r="BP723" s="8"/>
      <c r="BQ723" s="8"/>
      <c r="BR723" s="8"/>
      <c r="BS723" s="8"/>
      <c r="BT723" s="8"/>
      <c r="BU723" s="8"/>
      <c r="BV723" s="8"/>
      <c r="BW723" s="8"/>
      <c r="BX723" s="8"/>
      <c r="BY723" s="8"/>
      <c r="BZ723" s="8"/>
      <c r="CA723" s="8"/>
      <c r="CB723" s="8"/>
      <c r="CC723" s="8"/>
      <c r="CD723" s="8"/>
      <c r="CE723" s="8"/>
      <c r="CF723" s="8"/>
      <c r="CG723" s="8"/>
      <c r="CH723" s="8"/>
      <c r="CI723" s="8"/>
      <c r="CJ723" s="8"/>
      <c r="CK723" s="8"/>
      <c r="CL723" s="8"/>
      <c r="CM723" s="8"/>
      <c r="CN723" s="8"/>
    </row>
    <row r="724" spans="7:92" x14ac:dyDescent="0.35">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c r="AM724" s="8"/>
      <c r="AN724" s="8"/>
      <c r="AO724" s="8"/>
      <c r="AP724" s="8"/>
      <c r="AQ724" s="8"/>
      <c r="AR724" s="8"/>
      <c r="AS724" s="8"/>
      <c r="AT724" s="8"/>
      <c r="AU724" s="8"/>
      <c r="AV724" s="8"/>
      <c r="AW724" s="8"/>
      <c r="AX724" s="8"/>
      <c r="AY724" s="8"/>
      <c r="AZ724" s="8"/>
      <c r="BA724" s="8"/>
      <c r="BB724" s="8"/>
      <c r="BC724" s="8"/>
      <c r="BD724" s="8"/>
      <c r="BE724" s="8"/>
      <c r="BF724" s="8"/>
      <c r="BG724" s="8"/>
      <c r="BH724" s="8"/>
      <c r="BI724" s="8"/>
      <c r="BJ724" s="8"/>
      <c r="BK724" s="8"/>
      <c r="BL724" s="8"/>
      <c r="BM724" s="8"/>
      <c r="BN724" s="8"/>
      <c r="BO724" s="8"/>
      <c r="BP724" s="8"/>
      <c r="BQ724" s="8"/>
      <c r="BR724" s="8"/>
      <c r="BS724" s="8"/>
      <c r="BT724" s="8"/>
      <c r="BU724" s="8"/>
      <c r="BV724" s="8"/>
      <c r="BW724" s="8"/>
      <c r="BX724" s="8"/>
      <c r="BY724" s="8"/>
      <c r="BZ724" s="8"/>
      <c r="CA724" s="8"/>
      <c r="CB724" s="8"/>
      <c r="CC724" s="8"/>
      <c r="CD724" s="8"/>
      <c r="CE724" s="8"/>
      <c r="CF724" s="8"/>
      <c r="CG724" s="8"/>
      <c r="CH724" s="8"/>
      <c r="CI724" s="8"/>
      <c r="CJ724" s="8"/>
      <c r="CK724" s="8"/>
      <c r="CL724" s="8"/>
      <c r="CM724" s="8"/>
      <c r="CN724" s="8"/>
    </row>
    <row r="725" spans="7:92" x14ac:dyDescent="0.35">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c r="AM725" s="8"/>
      <c r="AN725" s="8"/>
      <c r="AO725" s="8"/>
      <c r="AP725" s="8"/>
      <c r="AQ725" s="8"/>
      <c r="AR725" s="8"/>
      <c r="AS725" s="8"/>
      <c r="AT725" s="8"/>
      <c r="AU725" s="8"/>
      <c r="AV725" s="8"/>
      <c r="AW725" s="8"/>
      <c r="AX725" s="8"/>
      <c r="AY725" s="8"/>
      <c r="AZ725" s="8"/>
      <c r="BA725" s="8"/>
      <c r="BB725" s="8"/>
      <c r="BC725" s="8"/>
      <c r="BD725" s="8"/>
      <c r="BE725" s="8"/>
      <c r="BF725" s="8"/>
      <c r="BG725" s="8"/>
      <c r="BH725" s="8"/>
      <c r="BI725" s="8"/>
      <c r="BJ725" s="8"/>
      <c r="BK725" s="8"/>
      <c r="BL725" s="8"/>
      <c r="BM725" s="8"/>
      <c r="BN725" s="8"/>
      <c r="BO725" s="8"/>
      <c r="BP725" s="8"/>
      <c r="BQ725" s="8"/>
      <c r="BR725" s="8"/>
      <c r="BS725" s="8"/>
      <c r="BT725" s="8"/>
      <c r="BU725" s="8"/>
      <c r="BV725" s="8"/>
      <c r="BW725" s="8"/>
      <c r="BX725" s="8"/>
      <c r="BY725" s="8"/>
      <c r="BZ725" s="8"/>
      <c r="CA725" s="8"/>
      <c r="CB725" s="8"/>
      <c r="CC725" s="8"/>
      <c r="CD725" s="8"/>
      <c r="CE725" s="8"/>
      <c r="CF725" s="8"/>
      <c r="CG725" s="8"/>
      <c r="CH725" s="8"/>
      <c r="CI725" s="8"/>
      <c r="CJ725" s="8"/>
      <c r="CK725" s="8"/>
      <c r="CL725" s="8"/>
      <c r="CM725" s="8"/>
      <c r="CN725" s="8"/>
    </row>
    <row r="726" spans="7:92" x14ac:dyDescent="0.35">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c r="AM726" s="8"/>
      <c r="AN726" s="8"/>
      <c r="AO726" s="8"/>
      <c r="AP726" s="8"/>
      <c r="AQ726" s="8"/>
      <c r="AR726" s="8"/>
      <c r="AS726" s="8"/>
      <c r="AT726" s="8"/>
      <c r="AU726" s="8"/>
      <c r="AV726" s="8"/>
      <c r="AW726" s="8"/>
      <c r="AX726" s="8"/>
      <c r="AY726" s="8"/>
      <c r="AZ726" s="8"/>
      <c r="BA726" s="8"/>
      <c r="BB726" s="8"/>
      <c r="BC726" s="8"/>
      <c r="BD726" s="8"/>
      <c r="BE726" s="8"/>
      <c r="BF726" s="8"/>
      <c r="BG726" s="8"/>
      <c r="BH726" s="8"/>
      <c r="BI726" s="8"/>
      <c r="BJ726" s="8"/>
      <c r="BK726" s="8"/>
      <c r="BL726" s="8"/>
      <c r="BM726" s="8"/>
      <c r="BN726" s="8"/>
      <c r="BO726" s="8"/>
      <c r="BP726" s="8"/>
      <c r="BQ726" s="8"/>
      <c r="BR726" s="8"/>
      <c r="BS726" s="8"/>
      <c r="BT726" s="8"/>
      <c r="BU726" s="8"/>
      <c r="BV726" s="8"/>
      <c r="BW726" s="8"/>
      <c r="BX726" s="8"/>
      <c r="BY726" s="8"/>
      <c r="BZ726" s="8"/>
      <c r="CA726" s="8"/>
      <c r="CB726" s="8"/>
      <c r="CC726" s="8"/>
      <c r="CD726" s="8"/>
      <c r="CE726" s="8"/>
      <c r="CF726" s="8"/>
      <c r="CG726" s="8"/>
      <c r="CH726" s="8"/>
      <c r="CI726" s="8"/>
      <c r="CJ726" s="8"/>
      <c r="CK726" s="8"/>
      <c r="CL726" s="8"/>
      <c r="CM726" s="8"/>
      <c r="CN726" s="8"/>
    </row>
    <row r="727" spans="7:92" x14ac:dyDescent="0.35">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c r="AM727" s="8"/>
      <c r="AN727" s="8"/>
      <c r="AO727" s="8"/>
      <c r="AP727" s="8"/>
      <c r="AQ727" s="8"/>
      <c r="AR727" s="8"/>
      <c r="AS727" s="8"/>
      <c r="AT727" s="8"/>
      <c r="AU727" s="8"/>
      <c r="AV727" s="8"/>
      <c r="AW727" s="8"/>
      <c r="AX727" s="8"/>
      <c r="AY727" s="8"/>
      <c r="AZ727" s="8"/>
      <c r="BA727" s="8"/>
      <c r="BB727" s="8"/>
      <c r="BC727" s="8"/>
      <c r="BD727" s="8"/>
      <c r="BE727" s="8"/>
      <c r="BF727" s="8"/>
      <c r="BG727" s="8"/>
      <c r="BH727" s="8"/>
      <c r="BI727" s="8"/>
      <c r="BJ727" s="8"/>
      <c r="BK727" s="8"/>
      <c r="BL727" s="8"/>
      <c r="BM727" s="8"/>
      <c r="BN727" s="8"/>
      <c r="BO727" s="8"/>
      <c r="BP727" s="8"/>
      <c r="BQ727" s="8"/>
      <c r="BR727" s="8"/>
      <c r="BS727" s="8"/>
      <c r="BT727" s="8"/>
      <c r="BU727" s="8"/>
      <c r="BV727" s="8"/>
      <c r="BW727" s="8"/>
      <c r="BX727" s="8"/>
      <c r="BY727" s="8"/>
      <c r="BZ727" s="8"/>
      <c r="CA727" s="8"/>
      <c r="CB727" s="8"/>
      <c r="CC727" s="8"/>
      <c r="CD727" s="8"/>
      <c r="CE727" s="8"/>
      <c r="CF727" s="8"/>
      <c r="CG727" s="8"/>
      <c r="CH727" s="8"/>
      <c r="CI727" s="8"/>
      <c r="CJ727" s="8"/>
      <c r="CK727" s="8"/>
      <c r="CL727" s="8"/>
      <c r="CM727" s="8"/>
      <c r="CN727" s="8"/>
    </row>
    <row r="728" spans="7:92" x14ac:dyDescent="0.35">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c r="AM728" s="8"/>
      <c r="AN728" s="8"/>
      <c r="AO728" s="8"/>
      <c r="AP728" s="8"/>
      <c r="AQ728" s="8"/>
      <c r="AR728" s="8"/>
      <c r="AS728" s="8"/>
      <c r="AT728" s="8"/>
      <c r="AU728" s="8"/>
      <c r="AV728" s="8"/>
      <c r="AW728" s="8"/>
      <c r="AX728" s="8"/>
      <c r="AY728" s="8"/>
      <c r="AZ728" s="8"/>
      <c r="BA728" s="8"/>
      <c r="BB728" s="8"/>
      <c r="BC728" s="8"/>
      <c r="BD728" s="8"/>
      <c r="BE728" s="8"/>
      <c r="BF728" s="8"/>
      <c r="BG728" s="8"/>
      <c r="BH728" s="8"/>
      <c r="BI728" s="8"/>
      <c r="BJ728" s="8"/>
      <c r="BK728" s="8"/>
      <c r="BL728" s="8"/>
      <c r="BM728" s="8"/>
      <c r="BN728" s="8"/>
      <c r="BO728" s="8"/>
      <c r="BP728" s="8"/>
      <c r="BQ728" s="8"/>
      <c r="BR728" s="8"/>
      <c r="BS728" s="8"/>
      <c r="BT728" s="8"/>
      <c r="BU728" s="8"/>
      <c r="BV728" s="8"/>
      <c r="BW728" s="8"/>
      <c r="BX728" s="8"/>
      <c r="BY728" s="8"/>
      <c r="BZ728" s="8"/>
      <c r="CA728" s="8"/>
      <c r="CB728" s="8"/>
      <c r="CC728" s="8"/>
      <c r="CD728" s="8"/>
      <c r="CE728" s="8"/>
      <c r="CF728" s="8"/>
      <c r="CG728" s="8"/>
      <c r="CH728" s="8"/>
      <c r="CI728" s="8"/>
      <c r="CJ728" s="8"/>
      <c r="CK728" s="8"/>
      <c r="CL728" s="8"/>
      <c r="CM728" s="8"/>
      <c r="CN728" s="8"/>
    </row>
    <row r="729" spans="7:92" x14ac:dyDescent="0.35">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c r="AM729" s="8"/>
      <c r="AN729" s="8"/>
      <c r="AO729" s="8"/>
      <c r="AP729" s="8"/>
      <c r="AQ729" s="8"/>
      <c r="AR729" s="8"/>
      <c r="AS729" s="8"/>
      <c r="AT729" s="8"/>
      <c r="AU729" s="8"/>
      <c r="AV729" s="8"/>
      <c r="AW729" s="8"/>
      <c r="AX729" s="8"/>
      <c r="AY729" s="8"/>
      <c r="AZ729" s="8"/>
      <c r="BA729" s="8"/>
      <c r="BB729" s="8"/>
      <c r="BC729" s="8"/>
      <c r="BD729" s="8"/>
      <c r="BE729" s="8"/>
      <c r="BF729" s="8"/>
      <c r="BG729" s="8"/>
      <c r="BH729" s="8"/>
      <c r="BI729" s="8"/>
      <c r="BJ729" s="8"/>
      <c r="BK729" s="8"/>
      <c r="BL729" s="8"/>
      <c r="BM729" s="8"/>
      <c r="BN729" s="8"/>
      <c r="BO729" s="8"/>
      <c r="BP729" s="8"/>
      <c r="BQ729" s="8"/>
      <c r="BR729" s="8"/>
      <c r="BS729" s="8"/>
      <c r="BT729" s="8"/>
      <c r="BU729" s="8"/>
      <c r="BV729" s="8"/>
      <c r="BW729" s="8"/>
      <c r="BX729" s="8"/>
      <c r="BY729" s="8"/>
      <c r="BZ729" s="8"/>
      <c r="CA729" s="8"/>
      <c r="CB729" s="8"/>
      <c r="CC729" s="8"/>
      <c r="CD729" s="8"/>
      <c r="CE729" s="8"/>
      <c r="CF729" s="8"/>
      <c r="CG729" s="8"/>
      <c r="CH729" s="8"/>
      <c r="CI729" s="8"/>
      <c r="CJ729" s="8"/>
      <c r="CK729" s="8"/>
      <c r="CL729" s="8"/>
      <c r="CM729" s="8"/>
      <c r="CN729" s="8"/>
    </row>
    <row r="730" spans="7:92" x14ac:dyDescent="0.35">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c r="AM730" s="8"/>
      <c r="AN730" s="8"/>
      <c r="AO730" s="8"/>
      <c r="AP730" s="8"/>
      <c r="AQ730" s="8"/>
      <c r="AR730" s="8"/>
      <c r="AS730" s="8"/>
      <c r="AT730" s="8"/>
      <c r="AU730" s="8"/>
      <c r="AV730" s="8"/>
      <c r="AW730" s="8"/>
      <c r="AX730" s="8"/>
      <c r="AY730" s="8"/>
      <c r="AZ730" s="8"/>
      <c r="BA730" s="8"/>
      <c r="BB730" s="8"/>
      <c r="BC730" s="8"/>
      <c r="BD730" s="8"/>
      <c r="BE730" s="8"/>
      <c r="BF730" s="8"/>
      <c r="BG730" s="8"/>
      <c r="BH730" s="8"/>
      <c r="BI730" s="8"/>
      <c r="BJ730" s="8"/>
      <c r="BK730" s="8"/>
      <c r="BL730" s="8"/>
      <c r="BM730" s="8"/>
      <c r="BN730" s="8"/>
      <c r="BO730" s="8"/>
      <c r="BP730" s="8"/>
      <c r="BQ730" s="8"/>
      <c r="BR730" s="8"/>
      <c r="BS730" s="8"/>
      <c r="BT730" s="8"/>
      <c r="BU730" s="8"/>
      <c r="BV730" s="8"/>
      <c r="BW730" s="8"/>
      <c r="BX730" s="8"/>
      <c r="BY730" s="8"/>
      <c r="BZ730" s="8"/>
      <c r="CA730" s="8"/>
      <c r="CB730" s="8"/>
      <c r="CC730" s="8"/>
      <c r="CD730" s="8"/>
      <c r="CE730" s="8"/>
      <c r="CF730" s="8"/>
      <c r="CG730" s="8"/>
      <c r="CH730" s="8"/>
      <c r="CI730" s="8"/>
      <c r="CJ730" s="8"/>
      <c r="CK730" s="8"/>
      <c r="CL730" s="8"/>
      <c r="CM730" s="8"/>
      <c r="CN730" s="8"/>
    </row>
    <row r="731" spans="7:92" x14ac:dyDescent="0.35">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c r="AM731" s="8"/>
      <c r="AN731" s="8"/>
      <c r="AO731" s="8"/>
      <c r="AP731" s="8"/>
      <c r="AQ731" s="8"/>
      <c r="AR731" s="8"/>
      <c r="AS731" s="8"/>
      <c r="AT731" s="8"/>
      <c r="AU731" s="8"/>
      <c r="AV731" s="8"/>
      <c r="AW731" s="8"/>
      <c r="AX731" s="8"/>
      <c r="AY731" s="8"/>
      <c r="AZ731" s="8"/>
      <c r="BA731" s="8"/>
      <c r="BB731" s="8"/>
      <c r="BC731" s="8"/>
      <c r="BD731" s="8"/>
      <c r="BE731" s="8"/>
      <c r="BF731" s="8"/>
      <c r="BG731" s="8"/>
      <c r="BH731" s="8"/>
      <c r="BI731" s="8"/>
      <c r="BJ731" s="8"/>
      <c r="BK731" s="8"/>
      <c r="BL731" s="8"/>
      <c r="BM731" s="8"/>
      <c r="BN731" s="8"/>
      <c r="BO731" s="8"/>
      <c r="BP731" s="8"/>
      <c r="BQ731" s="8"/>
      <c r="BR731" s="8"/>
      <c r="BS731" s="8"/>
      <c r="BT731" s="8"/>
      <c r="BU731" s="8"/>
      <c r="BV731" s="8"/>
      <c r="BW731" s="8"/>
      <c r="BX731" s="8"/>
      <c r="BY731" s="8"/>
      <c r="BZ731" s="8"/>
      <c r="CA731" s="8"/>
      <c r="CB731" s="8"/>
      <c r="CC731" s="8"/>
      <c r="CD731" s="8"/>
      <c r="CE731" s="8"/>
      <c r="CF731" s="8"/>
      <c r="CG731" s="8"/>
      <c r="CH731" s="8"/>
      <c r="CI731" s="8"/>
      <c r="CJ731" s="8"/>
      <c r="CK731" s="8"/>
      <c r="CL731" s="8"/>
      <c r="CM731" s="8"/>
      <c r="CN731" s="8"/>
    </row>
    <row r="732" spans="7:92" x14ac:dyDescent="0.35">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c r="AM732" s="8"/>
      <c r="AN732" s="8"/>
      <c r="AO732" s="8"/>
      <c r="AP732" s="8"/>
      <c r="AQ732" s="8"/>
      <c r="AR732" s="8"/>
      <c r="AS732" s="8"/>
      <c r="AT732" s="8"/>
      <c r="AU732" s="8"/>
      <c r="AV732" s="8"/>
      <c r="AW732" s="8"/>
      <c r="AX732" s="8"/>
      <c r="AY732" s="8"/>
      <c r="AZ732" s="8"/>
      <c r="BA732" s="8"/>
      <c r="BB732" s="8"/>
      <c r="BC732" s="8"/>
      <c r="BD732" s="8"/>
      <c r="BE732" s="8"/>
      <c r="BF732" s="8"/>
      <c r="BG732" s="8"/>
      <c r="BH732" s="8"/>
      <c r="BI732" s="8"/>
      <c r="BJ732" s="8"/>
      <c r="BK732" s="8"/>
      <c r="BL732" s="8"/>
      <c r="BM732" s="8"/>
      <c r="BN732" s="8"/>
      <c r="BO732" s="8"/>
      <c r="BP732" s="8"/>
      <c r="BQ732" s="8"/>
      <c r="BR732" s="8"/>
      <c r="BS732" s="8"/>
      <c r="BT732" s="8"/>
      <c r="BU732" s="8"/>
      <c r="BV732" s="8"/>
      <c r="BW732" s="8"/>
      <c r="BX732" s="8"/>
      <c r="BY732" s="8"/>
      <c r="BZ732" s="8"/>
      <c r="CA732" s="8"/>
      <c r="CB732" s="8"/>
      <c r="CC732" s="8"/>
      <c r="CD732" s="8"/>
      <c r="CE732" s="8"/>
      <c r="CF732" s="8"/>
      <c r="CG732" s="8"/>
      <c r="CH732" s="8"/>
      <c r="CI732" s="8"/>
      <c r="CJ732" s="8"/>
      <c r="CK732" s="8"/>
      <c r="CL732" s="8"/>
      <c r="CM732" s="8"/>
      <c r="CN732" s="8"/>
    </row>
    <row r="733" spans="7:92" x14ac:dyDescent="0.35">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c r="AL733" s="8"/>
      <c r="AM733" s="8"/>
      <c r="AN733" s="8"/>
      <c r="AO733" s="8"/>
      <c r="AP733" s="8"/>
      <c r="AQ733" s="8"/>
      <c r="AR733" s="8"/>
      <c r="AS733" s="8"/>
      <c r="AT733" s="8"/>
      <c r="AU733" s="8"/>
      <c r="AV733" s="8"/>
      <c r="AW733" s="8"/>
      <c r="AX733" s="8"/>
      <c r="AY733" s="8"/>
      <c r="AZ733" s="8"/>
      <c r="BA733" s="8"/>
      <c r="BB733" s="8"/>
      <c r="BC733" s="8"/>
      <c r="BD733" s="8"/>
      <c r="BE733" s="8"/>
      <c r="BF733" s="8"/>
      <c r="BG733" s="8"/>
      <c r="BH733" s="8"/>
      <c r="BI733" s="8"/>
      <c r="BJ733" s="8"/>
      <c r="BK733" s="8"/>
      <c r="BL733" s="8"/>
      <c r="BM733" s="8"/>
      <c r="BN733" s="8"/>
      <c r="BO733" s="8"/>
      <c r="BP733" s="8"/>
      <c r="BQ733" s="8"/>
      <c r="BR733" s="8"/>
      <c r="BS733" s="8"/>
      <c r="BT733" s="8"/>
      <c r="BU733" s="8"/>
      <c r="BV733" s="8"/>
      <c r="BW733" s="8"/>
      <c r="BX733" s="8"/>
      <c r="BY733" s="8"/>
      <c r="BZ733" s="8"/>
      <c r="CA733" s="8"/>
      <c r="CB733" s="8"/>
      <c r="CC733" s="8"/>
      <c r="CD733" s="8"/>
      <c r="CE733" s="8"/>
      <c r="CF733" s="8"/>
      <c r="CG733" s="8"/>
      <c r="CH733" s="8"/>
      <c r="CI733" s="8"/>
      <c r="CJ733" s="8"/>
      <c r="CK733" s="8"/>
      <c r="CL733" s="8"/>
      <c r="CM733" s="8"/>
      <c r="CN733" s="8"/>
    </row>
    <row r="734" spans="7:92" x14ac:dyDescent="0.35">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c r="AL734" s="8"/>
      <c r="AM734" s="8"/>
      <c r="AN734" s="8"/>
      <c r="AO734" s="8"/>
      <c r="AP734" s="8"/>
      <c r="AQ734" s="8"/>
      <c r="AR734" s="8"/>
      <c r="AS734" s="8"/>
      <c r="AT734" s="8"/>
      <c r="AU734" s="8"/>
      <c r="AV734" s="8"/>
      <c r="AW734" s="8"/>
      <c r="AX734" s="8"/>
      <c r="AY734" s="8"/>
      <c r="AZ734" s="8"/>
      <c r="BA734" s="8"/>
      <c r="BB734" s="8"/>
      <c r="BC734" s="8"/>
      <c r="BD734" s="8"/>
      <c r="BE734" s="8"/>
      <c r="BF734" s="8"/>
      <c r="BG734" s="8"/>
      <c r="BH734" s="8"/>
      <c r="BI734" s="8"/>
      <c r="BJ734" s="8"/>
      <c r="BK734" s="8"/>
      <c r="BL734" s="8"/>
      <c r="BM734" s="8"/>
      <c r="BN734" s="8"/>
      <c r="BO734" s="8"/>
      <c r="BP734" s="8"/>
      <c r="BQ734" s="8"/>
      <c r="BR734" s="8"/>
      <c r="BS734" s="8"/>
      <c r="BT734" s="8"/>
      <c r="BU734" s="8"/>
      <c r="BV734" s="8"/>
      <c r="BW734" s="8"/>
      <c r="BX734" s="8"/>
      <c r="BY734" s="8"/>
      <c r="BZ734" s="8"/>
      <c r="CA734" s="8"/>
      <c r="CB734" s="8"/>
      <c r="CC734" s="8"/>
      <c r="CD734" s="8"/>
      <c r="CE734" s="8"/>
      <c r="CF734" s="8"/>
      <c r="CG734" s="8"/>
      <c r="CH734" s="8"/>
      <c r="CI734" s="8"/>
      <c r="CJ734" s="8"/>
      <c r="CK734" s="8"/>
      <c r="CL734" s="8"/>
      <c r="CM734" s="8"/>
      <c r="CN734" s="8"/>
    </row>
    <row r="735" spans="7:92" x14ac:dyDescent="0.35">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c r="AL735" s="8"/>
      <c r="AM735" s="8"/>
      <c r="AN735" s="8"/>
      <c r="AO735" s="8"/>
      <c r="AP735" s="8"/>
      <c r="AQ735" s="8"/>
      <c r="AR735" s="8"/>
      <c r="AS735" s="8"/>
      <c r="AT735" s="8"/>
      <c r="AU735" s="8"/>
      <c r="AV735" s="8"/>
      <c r="AW735" s="8"/>
      <c r="AX735" s="8"/>
      <c r="AY735" s="8"/>
      <c r="AZ735" s="8"/>
      <c r="BA735" s="8"/>
      <c r="BB735" s="8"/>
      <c r="BC735" s="8"/>
      <c r="BD735" s="8"/>
      <c r="BE735" s="8"/>
      <c r="BF735" s="8"/>
      <c r="BG735" s="8"/>
      <c r="BH735" s="8"/>
      <c r="BI735" s="8"/>
      <c r="BJ735" s="8"/>
      <c r="BK735" s="8"/>
      <c r="BL735" s="8"/>
      <c r="BM735" s="8"/>
      <c r="BN735" s="8"/>
      <c r="BO735" s="8"/>
      <c r="BP735" s="8"/>
      <c r="BQ735" s="8"/>
      <c r="BR735" s="8"/>
      <c r="BS735" s="8"/>
      <c r="BT735" s="8"/>
      <c r="BU735" s="8"/>
      <c r="BV735" s="8"/>
      <c r="BW735" s="8"/>
      <c r="BX735" s="8"/>
      <c r="BY735" s="8"/>
      <c r="BZ735" s="8"/>
      <c r="CA735" s="8"/>
      <c r="CB735" s="8"/>
      <c r="CC735" s="8"/>
      <c r="CD735" s="8"/>
      <c r="CE735" s="8"/>
      <c r="CF735" s="8"/>
      <c r="CG735" s="8"/>
      <c r="CH735" s="8"/>
      <c r="CI735" s="8"/>
      <c r="CJ735" s="8"/>
      <c r="CK735" s="8"/>
      <c r="CL735" s="8"/>
      <c r="CM735" s="8"/>
      <c r="CN735" s="8"/>
    </row>
    <row r="736" spans="7:92" x14ac:dyDescent="0.35">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c r="AL736" s="8"/>
      <c r="AM736" s="8"/>
      <c r="AN736" s="8"/>
      <c r="AO736" s="8"/>
      <c r="AP736" s="8"/>
      <c r="AQ736" s="8"/>
      <c r="AR736" s="8"/>
      <c r="AS736" s="8"/>
      <c r="AT736" s="8"/>
      <c r="AU736" s="8"/>
      <c r="AV736" s="8"/>
      <c r="AW736" s="8"/>
      <c r="AX736" s="8"/>
      <c r="AY736" s="8"/>
      <c r="AZ736" s="8"/>
      <c r="BA736" s="8"/>
      <c r="BB736" s="8"/>
      <c r="BC736" s="8"/>
      <c r="BD736" s="8"/>
      <c r="BE736" s="8"/>
      <c r="BF736" s="8"/>
      <c r="BG736" s="8"/>
      <c r="BH736" s="8"/>
      <c r="BI736" s="8"/>
      <c r="BJ736" s="8"/>
      <c r="BK736" s="8"/>
      <c r="BL736" s="8"/>
      <c r="BM736" s="8"/>
      <c r="BN736" s="8"/>
      <c r="BO736" s="8"/>
      <c r="BP736" s="8"/>
      <c r="BQ736" s="8"/>
      <c r="BR736" s="8"/>
      <c r="BS736" s="8"/>
      <c r="BT736" s="8"/>
      <c r="BU736" s="8"/>
      <c r="BV736" s="8"/>
      <c r="BW736" s="8"/>
      <c r="BX736" s="8"/>
      <c r="BY736" s="8"/>
      <c r="BZ736" s="8"/>
      <c r="CA736" s="8"/>
      <c r="CB736" s="8"/>
      <c r="CC736" s="8"/>
      <c r="CD736" s="8"/>
      <c r="CE736" s="8"/>
      <c r="CF736" s="8"/>
      <c r="CG736" s="8"/>
      <c r="CH736" s="8"/>
      <c r="CI736" s="8"/>
      <c r="CJ736" s="8"/>
      <c r="CK736" s="8"/>
      <c r="CL736" s="8"/>
      <c r="CM736" s="8"/>
      <c r="CN736" s="8"/>
    </row>
    <row r="737" spans="7:92" x14ac:dyDescent="0.35">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c r="AL737" s="8"/>
      <c r="AM737" s="8"/>
      <c r="AN737" s="8"/>
      <c r="AO737" s="8"/>
      <c r="AP737" s="8"/>
      <c r="AQ737" s="8"/>
      <c r="AR737" s="8"/>
      <c r="AS737" s="8"/>
      <c r="AT737" s="8"/>
      <c r="AU737" s="8"/>
      <c r="AV737" s="8"/>
      <c r="AW737" s="8"/>
      <c r="AX737" s="8"/>
      <c r="AY737" s="8"/>
      <c r="AZ737" s="8"/>
      <c r="BA737" s="8"/>
      <c r="BB737" s="8"/>
      <c r="BC737" s="8"/>
      <c r="BD737" s="8"/>
      <c r="BE737" s="8"/>
      <c r="BF737" s="8"/>
      <c r="BG737" s="8"/>
      <c r="BH737" s="8"/>
      <c r="BI737" s="8"/>
      <c r="BJ737" s="8"/>
      <c r="BK737" s="8"/>
      <c r="BL737" s="8"/>
      <c r="BM737" s="8"/>
      <c r="BN737" s="8"/>
      <c r="BO737" s="8"/>
      <c r="BP737" s="8"/>
      <c r="BQ737" s="8"/>
      <c r="BR737" s="8"/>
      <c r="BS737" s="8"/>
      <c r="BT737" s="8"/>
      <c r="BU737" s="8"/>
      <c r="BV737" s="8"/>
      <c r="BW737" s="8"/>
      <c r="BX737" s="8"/>
      <c r="BY737" s="8"/>
      <c r="BZ737" s="8"/>
      <c r="CA737" s="8"/>
      <c r="CB737" s="8"/>
      <c r="CC737" s="8"/>
      <c r="CD737" s="8"/>
      <c r="CE737" s="8"/>
      <c r="CF737" s="8"/>
      <c r="CG737" s="8"/>
      <c r="CH737" s="8"/>
      <c r="CI737" s="8"/>
      <c r="CJ737" s="8"/>
      <c r="CK737" s="8"/>
      <c r="CL737" s="8"/>
      <c r="CM737" s="8"/>
      <c r="CN737" s="8"/>
    </row>
    <row r="738" spans="7:92" x14ac:dyDescent="0.35">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K738" s="8"/>
      <c r="AL738" s="8"/>
      <c r="AM738" s="8"/>
      <c r="AN738" s="8"/>
      <c r="AO738" s="8"/>
      <c r="AP738" s="8"/>
      <c r="AQ738" s="8"/>
      <c r="AR738" s="8"/>
      <c r="AS738" s="8"/>
      <c r="AT738" s="8"/>
      <c r="AU738" s="8"/>
      <c r="AV738" s="8"/>
      <c r="AW738" s="8"/>
      <c r="AX738" s="8"/>
      <c r="AY738" s="8"/>
      <c r="AZ738" s="8"/>
      <c r="BA738" s="8"/>
      <c r="BB738" s="8"/>
      <c r="BC738" s="8"/>
      <c r="BD738" s="8"/>
      <c r="BE738" s="8"/>
      <c r="BF738" s="8"/>
      <c r="BG738" s="8"/>
      <c r="BH738" s="8"/>
      <c r="BI738" s="8"/>
      <c r="BJ738" s="8"/>
      <c r="BK738" s="8"/>
      <c r="BL738" s="8"/>
      <c r="BM738" s="8"/>
      <c r="BN738" s="8"/>
      <c r="BO738" s="8"/>
      <c r="BP738" s="8"/>
      <c r="BQ738" s="8"/>
      <c r="BR738" s="8"/>
      <c r="BS738" s="8"/>
      <c r="BT738" s="8"/>
      <c r="BU738" s="8"/>
      <c r="BV738" s="8"/>
      <c r="BW738" s="8"/>
      <c r="BX738" s="8"/>
      <c r="BY738" s="8"/>
      <c r="BZ738" s="8"/>
      <c r="CA738" s="8"/>
      <c r="CB738" s="8"/>
      <c r="CC738" s="8"/>
      <c r="CD738" s="8"/>
      <c r="CE738" s="8"/>
      <c r="CF738" s="8"/>
      <c r="CG738" s="8"/>
      <c r="CH738" s="8"/>
      <c r="CI738" s="8"/>
      <c r="CJ738" s="8"/>
      <c r="CK738" s="8"/>
      <c r="CL738" s="8"/>
      <c r="CM738" s="8"/>
      <c r="CN738" s="8"/>
    </row>
    <row r="739" spans="7:92" x14ac:dyDescent="0.35">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c r="AM739" s="8"/>
      <c r="AN739" s="8"/>
      <c r="AO739" s="8"/>
      <c r="AP739" s="8"/>
      <c r="AQ739" s="8"/>
      <c r="AR739" s="8"/>
      <c r="AS739" s="8"/>
      <c r="AT739" s="8"/>
      <c r="AU739" s="8"/>
      <c r="AV739" s="8"/>
      <c r="AW739" s="8"/>
      <c r="AX739" s="8"/>
      <c r="AY739" s="8"/>
      <c r="AZ739" s="8"/>
      <c r="BA739" s="8"/>
      <c r="BB739" s="8"/>
      <c r="BC739" s="8"/>
      <c r="BD739" s="8"/>
      <c r="BE739" s="8"/>
      <c r="BF739" s="8"/>
      <c r="BG739" s="8"/>
      <c r="BH739" s="8"/>
      <c r="BI739" s="8"/>
      <c r="BJ739" s="8"/>
      <c r="BK739" s="8"/>
      <c r="BL739" s="8"/>
      <c r="BM739" s="8"/>
      <c r="BN739" s="8"/>
      <c r="BO739" s="8"/>
      <c r="BP739" s="8"/>
      <c r="BQ739" s="8"/>
      <c r="BR739" s="8"/>
      <c r="BS739" s="8"/>
      <c r="BT739" s="8"/>
      <c r="BU739" s="8"/>
      <c r="BV739" s="8"/>
      <c r="BW739" s="8"/>
      <c r="BX739" s="8"/>
      <c r="BY739" s="8"/>
      <c r="BZ739" s="8"/>
      <c r="CA739" s="8"/>
      <c r="CB739" s="8"/>
      <c r="CC739" s="8"/>
      <c r="CD739" s="8"/>
      <c r="CE739" s="8"/>
      <c r="CF739" s="8"/>
      <c r="CG739" s="8"/>
      <c r="CH739" s="8"/>
      <c r="CI739" s="8"/>
      <c r="CJ739" s="8"/>
      <c r="CK739" s="8"/>
      <c r="CL739" s="8"/>
      <c r="CM739" s="8"/>
      <c r="CN739" s="8"/>
    </row>
    <row r="740" spans="7:92" x14ac:dyDescent="0.35">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c r="AL740" s="8"/>
      <c r="AM740" s="8"/>
      <c r="AN740" s="8"/>
      <c r="AO740" s="8"/>
      <c r="AP740" s="8"/>
      <c r="AQ740" s="8"/>
      <c r="AR740" s="8"/>
      <c r="AS740" s="8"/>
      <c r="AT740" s="8"/>
      <c r="AU740" s="8"/>
      <c r="AV740" s="8"/>
      <c r="AW740" s="8"/>
      <c r="AX740" s="8"/>
      <c r="AY740" s="8"/>
      <c r="AZ740" s="8"/>
      <c r="BA740" s="8"/>
      <c r="BB740" s="8"/>
      <c r="BC740" s="8"/>
      <c r="BD740" s="8"/>
      <c r="BE740" s="8"/>
      <c r="BF740" s="8"/>
      <c r="BG740" s="8"/>
      <c r="BH740" s="8"/>
      <c r="BI740" s="8"/>
      <c r="BJ740" s="8"/>
      <c r="BK740" s="8"/>
      <c r="BL740" s="8"/>
      <c r="BM740" s="8"/>
      <c r="BN740" s="8"/>
      <c r="BO740" s="8"/>
      <c r="BP740" s="8"/>
      <c r="BQ740" s="8"/>
      <c r="BR740" s="8"/>
      <c r="BS740" s="8"/>
      <c r="BT740" s="8"/>
      <c r="BU740" s="8"/>
      <c r="BV740" s="8"/>
      <c r="BW740" s="8"/>
      <c r="BX740" s="8"/>
      <c r="BY740" s="8"/>
      <c r="BZ740" s="8"/>
      <c r="CA740" s="8"/>
      <c r="CB740" s="8"/>
      <c r="CC740" s="8"/>
      <c r="CD740" s="8"/>
      <c r="CE740" s="8"/>
      <c r="CF740" s="8"/>
      <c r="CG740" s="8"/>
      <c r="CH740" s="8"/>
      <c r="CI740" s="8"/>
      <c r="CJ740" s="8"/>
      <c r="CK740" s="8"/>
      <c r="CL740" s="8"/>
      <c r="CM740" s="8"/>
      <c r="CN740" s="8"/>
    </row>
    <row r="741" spans="7:92" x14ac:dyDescent="0.35">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c r="AL741" s="8"/>
      <c r="AM741" s="8"/>
      <c r="AN741" s="8"/>
      <c r="AO741" s="8"/>
      <c r="AP741" s="8"/>
      <c r="AQ741" s="8"/>
      <c r="AR741" s="8"/>
      <c r="AS741" s="8"/>
      <c r="AT741" s="8"/>
      <c r="AU741" s="8"/>
      <c r="AV741" s="8"/>
      <c r="AW741" s="8"/>
      <c r="AX741" s="8"/>
      <c r="AY741" s="8"/>
      <c r="AZ741" s="8"/>
      <c r="BA741" s="8"/>
      <c r="BB741" s="8"/>
      <c r="BC741" s="8"/>
      <c r="BD741" s="8"/>
      <c r="BE741" s="8"/>
      <c r="BF741" s="8"/>
      <c r="BG741" s="8"/>
      <c r="BH741" s="8"/>
      <c r="BI741" s="8"/>
      <c r="BJ741" s="8"/>
      <c r="BK741" s="8"/>
      <c r="BL741" s="8"/>
      <c r="BM741" s="8"/>
      <c r="BN741" s="8"/>
      <c r="BO741" s="8"/>
      <c r="BP741" s="8"/>
      <c r="BQ741" s="8"/>
      <c r="BR741" s="8"/>
      <c r="BS741" s="8"/>
      <c r="BT741" s="8"/>
      <c r="BU741" s="8"/>
      <c r="BV741" s="8"/>
      <c r="BW741" s="8"/>
      <c r="BX741" s="8"/>
      <c r="BY741" s="8"/>
      <c r="BZ741" s="8"/>
      <c r="CA741" s="8"/>
      <c r="CB741" s="8"/>
      <c r="CC741" s="8"/>
      <c r="CD741" s="8"/>
      <c r="CE741" s="8"/>
      <c r="CF741" s="8"/>
      <c r="CG741" s="8"/>
      <c r="CH741" s="8"/>
      <c r="CI741" s="8"/>
      <c r="CJ741" s="8"/>
      <c r="CK741" s="8"/>
      <c r="CL741" s="8"/>
      <c r="CM741" s="8"/>
      <c r="CN741" s="8"/>
    </row>
    <row r="742" spans="7:92" x14ac:dyDescent="0.35">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c r="AL742" s="8"/>
      <c r="AM742" s="8"/>
      <c r="AN742" s="8"/>
      <c r="AO742" s="8"/>
      <c r="AP742" s="8"/>
      <c r="AQ742" s="8"/>
      <c r="AR742" s="8"/>
      <c r="AS742" s="8"/>
      <c r="AT742" s="8"/>
      <c r="AU742" s="8"/>
      <c r="AV742" s="8"/>
      <c r="AW742" s="8"/>
      <c r="AX742" s="8"/>
      <c r="AY742" s="8"/>
      <c r="AZ742" s="8"/>
      <c r="BA742" s="8"/>
      <c r="BB742" s="8"/>
      <c r="BC742" s="8"/>
      <c r="BD742" s="8"/>
      <c r="BE742" s="8"/>
      <c r="BF742" s="8"/>
      <c r="BG742" s="8"/>
      <c r="BH742" s="8"/>
      <c r="BI742" s="8"/>
      <c r="BJ742" s="8"/>
      <c r="BK742" s="8"/>
      <c r="BL742" s="8"/>
      <c r="BM742" s="8"/>
      <c r="BN742" s="8"/>
      <c r="BO742" s="8"/>
      <c r="BP742" s="8"/>
      <c r="BQ742" s="8"/>
      <c r="BR742" s="8"/>
      <c r="BS742" s="8"/>
      <c r="BT742" s="8"/>
      <c r="BU742" s="8"/>
      <c r="BV742" s="8"/>
      <c r="BW742" s="8"/>
      <c r="BX742" s="8"/>
      <c r="BY742" s="8"/>
      <c r="BZ742" s="8"/>
      <c r="CA742" s="8"/>
      <c r="CB742" s="8"/>
      <c r="CC742" s="8"/>
      <c r="CD742" s="8"/>
      <c r="CE742" s="8"/>
      <c r="CF742" s="8"/>
      <c r="CG742" s="8"/>
      <c r="CH742" s="8"/>
      <c r="CI742" s="8"/>
      <c r="CJ742" s="8"/>
      <c r="CK742" s="8"/>
      <c r="CL742" s="8"/>
      <c r="CM742" s="8"/>
      <c r="CN742" s="8"/>
    </row>
    <row r="743" spans="7:92" x14ac:dyDescent="0.35">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c r="AM743" s="8"/>
      <c r="AN743" s="8"/>
      <c r="AO743" s="8"/>
      <c r="AP743" s="8"/>
      <c r="AQ743" s="8"/>
      <c r="AR743" s="8"/>
      <c r="AS743" s="8"/>
      <c r="AT743" s="8"/>
      <c r="AU743" s="8"/>
      <c r="AV743" s="8"/>
      <c r="AW743" s="8"/>
      <c r="AX743" s="8"/>
      <c r="AY743" s="8"/>
      <c r="AZ743" s="8"/>
      <c r="BA743" s="8"/>
      <c r="BB743" s="8"/>
      <c r="BC743" s="8"/>
      <c r="BD743" s="8"/>
      <c r="BE743" s="8"/>
      <c r="BF743" s="8"/>
      <c r="BG743" s="8"/>
      <c r="BH743" s="8"/>
      <c r="BI743" s="8"/>
      <c r="BJ743" s="8"/>
      <c r="BK743" s="8"/>
      <c r="BL743" s="8"/>
      <c r="BM743" s="8"/>
      <c r="BN743" s="8"/>
      <c r="BO743" s="8"/>
      <c r="BP743" s="8"/>
      <c r="BQ743" s="8"/>
      <c r="BR743" s="8"/>
      <c r="BS743" s="8"/>
      <c r="BT743" s="8"/>
      <c r="BU743" s="8"/>
      <c r="BV743" s="8"/>
      <c r="BW743" s="8"/>
      <c r="BX743" s="8"/>
      <c r="BY743" s="8"/>
      <c r="BZ743" s="8"/>
      <c r="CA743" s="8"/>
      <c r="CB743" s="8"/>
      <c r="CC743" s="8"/>
      <c r="CD743" s="8"/>
      <c r="CE743" s="8"/>
      <c r="CF743" s="8"/>
      <c r="CG743" s="8"/>
      <c r="CH743" s="8"/>
      <c r="CI743" s="8"/>
      <c r="CJ743" s="8"/>
      <c r="CK743" s="8"/>
      <c r="CL743" s="8"/>
      <c r="CM743" s="8"/>
      <c r="CN743" s="8"/>
    </row>
    <row r="744" spans="7:92" x14ac:dyDescent="0.35">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c r="AL744" s="8"/>
      <c r="AM744" s="8"/>
      <c r="AN744" s="8"/>
      <c r="AO744" s="8"/>
      <c r="AP744" s="8"/>
      <c r="AQ744" s="8"/>
      <c r="AR744" s="8"/>
      <c r="AS744" s="8"/>
      <c r="AT744" s="8"/>
      <c r="AU744" s="8"/>
      <c r="AV744" s="8"/>
      <c r="AW744" s="8"/>
      <c r="AX744" s="8"/>
      <c r="AY744" s="8"/>
      <c r="AZ744" s="8"/>
      <c r="BA744" s="8"/>
      <c r="BB744" s="8"/>
      <c r="BC744" s="8"/>
      <c r="BD744" s="8"/>
      <c r="BE744" s="8"/>
      <c r="BF744" s="8"/>
      <c r="BG744" s="8"/>
      <c r="BH744" s="8"/>
      <c r="BI744" s="8"/>
      <c r="BJ744" s="8"/>
      <c r="BK744" s="8"/>
      <c r="BL744" s="8"/>
      <c r="BM744" s="8"/>
      <c r="BN744" s="8"/>
      <c r="BO744" s="8"/>
      <c r="BP744" s="8"/>
      <c r="BQ744" s="8"/>
      <c r="BR744" s="8"/>
      <c r="BS744" s="8"/>
      <c r="BT744" s="8"/>
      <c r="BU744" s="8"/>
      <c r="BV744" s="8"/>
      <c r="BW744" s="8"/>
      <c r="BX744" s="8"/>
      <c r="BY744" s="8"/>
      <c r="BZ744" s="8"/>
      <c r="CA744" s="8"/>
      <c r="CB744" s="8"/>
      <c r="CC744" s="8"/>
      <c r="CD744" s="8"/>
      <c r="CE744" s="8"/>
      <c r="CF744" s="8"/>
      <c r="CG744" s="8"/>
      <c r="CH744" s="8"/>
      <c r="CI744" s="8"/>
      <c r="CJ744" s="8"/>
      <c r="CK744" s="8"/>
      <c r="CL744" s="8"/>
      <c r="CM744" s="8"/>
      <c r="CN744" s="8"/>
    </row>
    <row r="745" spans="7:92" x14ac:dyDescent="0.35">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c r="AL745" s="8"/>
      <c r="AM745" s="8"/>
      <c r="AN745" s="8"/>
      <c r="AO745" s="8"/>
      <c r="AP745" s="8"/>
      <c r="AQ745" s="8"/>
      <c r="AR745" s="8"/>
      <c r="AS745" s="8"/>
      <c r="AT745" s="8"/>
      <c r="AU745" s="8"/>
      <c r="AV745" s="8"/>
      <c r="AW745" s="8"/>
      <c r="AX745" s="8"/>
      <c r="AY745" s="8"/>
      <c r="AZ745" s="8"/>
      <c r="BA745" s="8"/>
      <c r="BB745" s="8"/>
      <c r="BC745" s="8"/>
      <c r="BD745" s="8"/>
      <c r="BE745" s="8"/>
      <c r="BF745" s="8"/>
      <c r="BG745" s="8"/>
      <c r="BH745" s="8"/>
      <c r="BI745" s="8"/>
      <c r="BJ745" s="8"/>
      <c r="BK745" s="8"/>
      <c r="BL745" s="8"/>
      <c r="BM745" s="8"/>
      <c r="BN745" s="8"/>
      <c r="BO745" s="8"/>
      <c r="BP745" s="8"/>
      <c r="BQ745" s="8"/>
      <c r="BR745" s="8"/>
      <c r="BS745" s="8"/>
      <c r="BT745" s="8"/>
      <c r="BU745" s="8"/>
      <c r="BV745" s="8"/>
      <c r="BW745" s="8"/>
      <c r="BX745" s="8"/>
      <c r="BY745" s="8"/>
      <c r="BZ745" s="8"/>
      <c r="CA745" s="8"/>
      <c r="CB745" s="8"/>
      <c r="CC745" s="8"/>
      <c r="CD745" s="8"/>
      <c r="CE745" s="8"/>
      <c r="CF745" s="8"/>
      <c r="CG745" s="8"/>
      <c r="CH745" s="8"/>
      <c r="CI745" s="8"/>
      <c r="CJ745" s="8"/>
      <c r="CK745" s="8"/>
      <c r="CL745" s="8"/>
      <c r="CM745" s="8"/>
      <c r="CN745" s="8"/>
    </row>
    <row r="746" spans="7:92" x14ac:dyDescent="0.35">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c r="AL746" s="8"/>
      <c r="AM746" s="8"/>
      <c r="AN746" s="8"/>
      <c r="AO746" s="8"/>
      <c r="AP746" s="8"/>
      <c r="AQ746" s="8"/>
      <c r="AR746" s="8"/>
      <c r="AS746" s="8"/>
      <c r="AT746" s="8"/>
      <c r="AU746" s="8"/>
      <c r="AV746" s="8"/>
      <c r="AW746" s="8"/>
      <c r="AX746" s="8"/>
      <c r="AY746" s="8"/>
      <c r="AZ746" s="8"/>
      <c r="BA746" s="8"/>
      <c r="BB746" s="8"/>
      <c r="BC746" s="8"/>
      <c r="BD746" s="8"/>
      <c r="BE746" s="8"/>
      <c r="BF746" s="8"/>
      <c r="BG746" s="8"/>
      <c r="BH746" s="8"/>
      <c r="BI746" s="8"/>
      <c r="BJ746" s="8"/>
      <c r="BK746" s="8"/>
      <c r="BL746" s="8"/>
      <c r="BM746" s="8"/>
      <c r="BN746" s="8"/>
      <c r="BO746" s="8"/>
      <c r="BP746" s="8"/>
      <c r="BQ746" s="8"/>
      <c r="BR746" s="8"/>
      <c r="BS746" s="8"/>
      <c r="BT746" s="8"/>
      <c r="BU746" s="8"/>
      <c r="BV746" s="8"/>
      <c r="BW746" s="8"/>
      <c r="BX746" s="8"/>
      <c r="BY746" s="8"/>
      <c r="BZ746" s="8"/>
      <c r="CA746" s="8"/>
      <c r="CB746" s="8"/>
      <c r="CC746" s="8"/>
      <c r="CD746" s="8"/>
      <c r="CE746" s="8"/>
      <c r="CF746" s="8"/>
      <c r="CG746" s="8"/>
      <c r="CH746" s="8"/>
      <c r="CI746" s="8"/>
      <c r="CJ746" s="8"/>
      <c r="CK746" s="8"/>
      <c r="CL746" s="8"/>
      <c r="CM746" s="8"/>
      <c r="CN746" s="8"/>
    </row>
    <row r="747" spans="7:92" x14ac:dyDescent="0.35">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c r="AL747" s="8"/>
      <c r="AM747" s="8"/>
      <c r="AN747" s="8"/>
      <c r="AO747" s="8"/>
      <c r="AP747" s="8"/>
      <c r="AQ747" s="8"/>
      <c r="AR747" s="8"/>
      <c r="AS747" s="8"/>
      <c r="AT747" s="8"/>
      <c r="AU747" s="8"/>
      <c r="AV747" s="8"/>
      <c r="AW747" s="8"/>
      <c r="AX747" s="8"/>
      <c r="AY747" s="8"/>
      <c r="AZ747" s="8"/>
      <c r="BA747" s="8"/>
      <c r="BB747" s="8"/>
      <c r="BC747" s="8"/>
      <c r="BD747" s="8"/>
      <c r="BE747" s="8"/>
      <c r="BF747" s="8"/>
      <c r="BG747" s="8"/>
      <c r="BH747" s="8"/>
      <c r="BI747" s="8"/>
      <c r="BJ747" s="8"/>
      <c r="BK747" s="8"/>
      <c r="BL747" s="8"/>
      <c r="BM747" s="8"/>
      <c r="BN747" s="8"/>
      <c r="BO747" s="8"/>
      <c r="BP747" s="8"/>
      <c r="BQ747" s="8"/>
      <c r="BR747" s="8"/>
      <c r="BS747" s="8"/>
      <c r="BT747" s="8"/>
      <c r="BU747" s="8"/>
      <c r="BV747" s="8"/>
      <c r="BW747" s="8"/>
      <c r="BX747" s="8"/>
      <c r="BY747" s="8"/>
      <c r="BZ747" s="8"/>
      <c r="CA747" s="8"/>
      <c r="CB747" s="8"/>
      <c r="CC747" s="8"/>
      <c r="CD747" s="8"/>
      <c r="CE747" s="8"/>
      <c r="CF747" s="8"/>
      <c r="CG747" s="8"/>
      <c r="CH747" s="8"/>
      <c r="CI747" s="8"/>
      <c r="CJ747" s="8"/>
      <c r="CK747" s="8"/>
      <c r="CL747" s="8"/>
      <c r="CM747" s="8"/>
      <c r="CN747" s="8"/>
    </row>
    <row r="748" spans="7:92" x14ac:dyDescent="0.35">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c r="AK748" s="8"/>
      <c r="AL748" s="8"/>
      <c r="AM748" s="8"/>
      <c r="AN748" s="8"/>
      <c r="AO748" s="8"/>
      <c r="AP748" s="8"/>
      <c r="AQ748" s="8"/>
      <c r="AR748" s="8"/>
      <c r="AS748" s="8"/>
      <c r="AT748" s="8"/>
      <c r="AU748" s="8"/>
      <c r="AV748" s="8"/>
      <c r="AW748" s="8"/>
      <c r="AX748" s="8"/>
      <c r="AY748" s="8"/>
      <c r="AZ748" s="8"/>
      <c r="BA748" s="8"/>
      <c r="BB748" s="8"/>
      <c r="BC748" s="8"/>
      <c r="BD748" s="8"/>
      <c r="BE748" s="8"/>
      <c r="BF748" s="8"/>
      <c r="BG748" s="8"/>
      <c r="BH748" s="8"/>
      <c r="BI748" s="8"/>
      <c r="BJ748" s="8"/>
      <c r="BK748" s="8"/>
      <c r="BL748" s="8"/>
      <c r="BM748" s="8"/>
      <c r="BN748" s="8"/>
      <c r="BO748" s="8"/>
      <c r="BP748" s="8"/>
      <c r="BQ748" s="8"/>
      <c r="BR748" s="8"/>
      <c r="BS748" s="8"/>
      <c r="BT748" s="8"/>
      <c r="BU748" s="8"/>
      <c r="BV748" s="8"/>
      <c r="BW748" s="8"/>
      <c r="BX748" s="8"/>
      <c r="BY748" s="8"/>
      <c r="BZ748" s="8"/>
      <c r="CA748" s="8"/>
      <c r="CB748" s="8"/>
      <c r="CC748" s="8"/>
      <c r="CD748" s="8"/>
      <c r="CE748" s="8"/>
      <c r="CF748" s="8"/>
      <c r="CG748" s="8"/>
      <c r="CH748" s="8"/>
      <c r="CI748" s="8"/>
      <c r="CJ748" s="8"/>
      <c r="CK748" s="8"/>
      <c r="CL748" s="8"/>
      <c r="CM748" s="8"/>
      <c r="CN748" s="8"/>
    </row>
    <row r="749" spans="7:92" x14ac:dyDescent="0.35">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c r="AL749" s="8"/>
      <c r="AM749" s="8"/>
      <c r="AN749" s="8"/>
      <c r="AO749" s="8"/>
      <c r="AP749" s="8"/>
      <c r="AQ749" s="8"/>
      <c r="AR749" s="8"/>
      <c r="AS749" s="8"/>
      <c r="AT749" s="8"/>
      <c r="AU749" s="8"/>
      <c r="AV749" s="8"/>
      <c r="AW749" s="8"/>
      <c r="AX749" s="8"/>
      <c r="AY749" s="8"/>
      <c r="AZ749" s="8"/>
      <c r="BA749" s="8"/>
      <c r="BB749" s="8"/>
      <c r="BC749" s="8"/>
      <c r="BD749" s="8"/>
      <c r="BE749" s="8"/>
      <c r="BF749" s="8"/>
      <c r="BG749" s="8"/>
      <c r="BH749" s="8"/>
      <c r="BI749" s="8"/>
      <c r="BJ749" s="8"/>
      <c r="BK749" s="8"/>
      <c r="BL749" s="8"/>
      <c r="BM749" s="8"/>
      <c r="BN749" s="8"/>
      <c r="BO749" s="8"/>
      <c r="BP749" s="8"/>
      <c r="BQ749" s="8"/>
      <c r="BR749" s="8"/>
      <c r="BS749" s="8"/>
      <c r="BT749" s="8"/>
      <c r="BU749" s="8"/>
      <c r="BV749" s="8"/>
      <c r="BW749" s="8"/>
      <c r="BX749" s="8"/>
      <c r="BY749" s="8"/>
      <c r="BZ749" s="8"/>
      <c r="CA749" s="8"/>
      <c r="CB749" s="8"/>
      <c r="CC749" s="8"/>
      <c r="CD749" s="8"/>
      <c r="CE749" s="8"/>
      <c r="CF749" s="8"/>
      <c r="CG749" s="8"/>
      <c r="CH749" s="8"/>
      <c r="CI749" s="8"/>
      <c r="CJ749" s="8"/>
      <c r="CK749" s="8"/>
      <c r="CL749" s="8"/>
      <c r="CM749" s="8"/>
      <c r="CN749" s="8"/>
    </row>
    <row r="750" spans="7:92" x14ac:dyDescent="0.35">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c r="AL750" s="8"/>
      <c r="AM750" s="8"/>
      <c r="AN750" s="8"/>
      <c r="AO750" s="8"/>
      <c r="AP750" s="8"/>
      <c r="AQ750" s="8"/>
      <c r="AR750" s="8"/>
      <c r="AS750" s="8"/>
      <c r="AT750" s="8"/>
      <c r="AU750" s="8"/>
      <c r="AV750" s="8"/>
      <c r="AW750" s="8"/>
      <c r="AX750" s="8"/>
      <c r="AY750" s="8"/>
      <c r="AZ750" s="8"/>
      <c r="BA750" s="8"/>
      <c r="BB750" s="8"/>
      <c r="BC750" s="8"/>
      <c r="BD750" s="8"/>
      <c r="BE750" s="8"/>
      <c r="BF750" s="8"/>
      <c r="BG750" s="8"/>
      <c r="BH750" s="8"/>
      <c r="BI750" s="8"/>
      <c r="BJ750" s="8"/>
      <c r="BK750" s="8"/>
      <c r="BL750" s="8"/>
      <c r="BM750" s="8"/>
      <c r="BN750" s="8"/>
      <c r="BO750" s="8"/>
      <c r="BP750" s="8"/>
      <c r="BQ750" s="8"/>
      <c r="BR750" s="8"/>
      <c r="BS750" s="8"/>
      <c r="BT750" s="8"/>
      <c r="BU750" s="8"/>
      <c r="BV750" s="8"/>
      <c r="BW750" s="8"/>
      <c r="BX750" s="8"/>
      <c r="BY750" s="8"/>
      <c r="BZ750" s="8"/>
      <c r="CA750" s="8"/>
      <c r="CB750" s="8"/>
      <c r="CC750" s="8"/>
      <c r="CD750" s="8"/>
      <c r="CE750" s="8"/>
      <c r="CF750" s="8"/>
      <c r="CG750" s="8"/>
      <c r="CH750" s="8"/>
      <c r="CI750" s="8"/>
      <c r="CJ750" s="8"/>
      <c r="CK750" s="8"/>
      <c r="CL750" s="8"/>
      <c r="CM750" s="8"/>
      <c r="CN750" s="8"/>
    </row>
    <row r="751" spans="7:92" x14ac:dyDescent="0.35">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c r="AK751" s="8"/>
      <c r="AL751" s="8"/>
      <c r="AM751" s="8"/>
      <c r="AN751" s="8"/>
      <c r="AO751" s="8"/>
      <c r="AP751" s="8"/>
      <c r="AQ751" s="8"/>
      <c r="AR751" s="8"/>
      <c r="AS751" s="8"/>
      <c r="AT751" s="8"/>
      <c r="AU751" s="8"/>
      <c r="AV751" s="8"/>
      <c r="AW751" s="8"/>
      <c r="AX751" s="8"/>
      <c r="AY751" s="8"/>
      <c r="AZ751" s="8"/>
      <c r="BA751" s="8"/>
      <c r="BB751" s="8"/>
      <c r="BC751" s="8"/>
      <c r="BD751" s="8"/>
      <c r="BE751" s="8"/>
      <c r="BF751" s="8"/>
      <c r="BG751" s="8"/>
      <c r="BH751" s="8"/>
      <c r="BI751" s="8"/>
      <c r="BJ751" s="8"/>
      <c r="BK751" s="8"/>
      <c r="BL751" s="8"/>
      <c r="BM751" s="8"/>
      <c r="BN751" s="8"/>
      <c r="BO751" s="8"/>
      <c r="BP751" s="8"/>
      <c r="BQ751" s="8"/>
      <c r="BR751" s="8"/>
      <c r="BS751" s="8"/>
      <c r="BT751" s="8"/>
      <c r="BU751" s="8"/>
      <c r="BV751" s="8"/>
      <c r="BW751" s="8"/>
      <c r="BX751" s="8"/>
      <c r="BY751" s="8"/>
      <c r="BZ751" s="8"/>
      <c r="CA751" s="8"/>
      <c r="CB751" s="8"/>
      <c r="CC751" s="8"/>
      <c r="CD751" s="8"/>
      <c r="CE751" s="8"/>
      <c r="CF751" s="8"/>
      <c r="CG751" s="8"/>
      <c r="CH751" s="8"/>
      <c r="CI751" s="8"/>
      <c r="CJ751" s="8"/>
      <c r="CK751" s="8"/>
      <c r="CL751" s="8"/>
      <c r="CM751" s="8"/>
      <c r="CN751" s="8"/>
    </row>
    <row r="752" spans="7:92" x14ac:dyDescent="0.35">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K752" s="8"/>
      <c r="AL752" s="8"/>
      <c r="AM752" s="8"/>
      <c r="AN752" s="8"/>
      <c r="AO752" s="8"/>
      <c r="AP752" s="8"/>
      <c r="AQ752" s="8"/>
      <c r="AR752" s="8"/>
      <c r="AS752" s="8"/>
      <c r="AT752" s="8"/>
      <c r="AU752" s="8"/>
      <c r="AV752" s="8"/>
      <c r="AW752" s="8"/>
      <c r="AX752" s="8"/>
      <c r="AY752" s="8"/>
      <c r="AZ752" s="8"/>
      <c r="BA752" s="8"/>
      <c r="BB752" s="8"/>
      <c r="BC752" s="8"/>
      <c r="BD752" s="8"/>
      <c r="BE752" s="8"/>
      <c r="BF752" s="8"/>
      <c r="BG752" s="8"/>
      <c r="BH752" s="8"/>
      <c r="BI752" s="8"/>
      <c r="BJ752" s="8"/>
      <c r="BK752" s="8"/>
      <c r="BL752" s="8"/>
      <c r="BM752" s="8"/>
      <c r="BN752" s="8"/>
      <c r="BO752" s="8"/>
      <c r="BP752" s="8"/>
      <c r="BQ752" s="8"/>
      <c r="BR752" s="8"/>
      <c r="BS752" s="8"/>
      <c r="BT752" s="8"/>
      <c r="BU752" s="8"/>
      <c r="BV752" s="8"/>
      <c r="BW752" s="8"/>
      <c r="BX752" s="8"/>
      <c r="BY752" s="8"/>
      <c r="BZ752" s="8"/>
      <c r="CA752" s="8"/>
      <c r="CB752" s="8"/>
      <c r="CC752" s="8"/>
      <c r="CD752" s="8"/>
      <c r="CE752" s="8"/>
      <c r="CF752" s="8"/>
      <c r="CG752" s="8"/>
      <c r="CH752" s="8"/>
      <c r="CI752" s="8"/>
      <c r="CJ752" s="8"/>
      <c r="CK752" s="8"/>
      <c r="CL752" s="8"/>
      <c r="CM752" s="8"/>
      <c r="CN752" s="8"/>
    </row>
    <row r="753" spans="7:92" x14ac:dyDescent="0.35">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c r="AL753" s="8"/>
      <c r="AM753" s="8"/>
      <c r="AN753" s="8"/>
      <c r="AO753" s="8"/>
      <c r="AP753" s="8"/>
      <c r="AQ753" s="8"/>
      <c r="AR753" s="8"/>
      <c r="AS753" s="8"/>
      <c r="AT753" s="8"/>
      <c r="AU753" s="8"/>
      <c r="AV753" s="8"/>
      <c r="AW753" s="8"/>
      <c r="AX753" s="8"/>
      <c r="AY753" s="8"/>
      <c r="AZ753" s="8"/>
      <c r="BA753" s="8"/>
      <c r="BB753" s="8"/>
      <c r="BC753" s="8"/>
      <c r="BD753" s="8"/>
      <c r="BE753" s="8"/>
      <c r="BF753" s="8"/>
      <c r="BG753" s="8"/>
      <c r="BH753" s="8"/>
      <c r="BI753" s="8"/>
      <c r="BJ753" s="8"/>
      <c r="BK753" s="8"/>
      <c r="BL753" s="8"/>
      <c r="BM753" s="8"/>
      <c r="BN753" s="8"/>
      <c r="BO753" s="8"/>
      <c r="BP753" s="8"/>
      <c r="BQ753" s="8"/>
      <c r="BR753" s="8"/>
      <c r="BS753" s="8"/>
      <c r="BT753" s="8"/>
      <c r="BU753" s="8"/>
      <c r="BV753" s="8"/>
      <c r="BW753" s="8"/>
      <c r="BX753" s="8"/>
      <c r="BY753" s="8"/>
      <c r="BZ753" s="8"/>
      <c r="CA753" s="8"/>
      <c r="CB753" s="8"/>
      <c r="CC753" s="8"/>
      <c r="CD753" s="8"/>
      <c r="CE753" s="8"/>
      <c r="CF753" s="8"/>
      <c r="CG753" s="8"/>
      <c r="CH753" s="8"/>
      <c r="CI753" s="8"/>
      <c r="CJ753" s="8"/>
      <c r="CK753" s="8"/>
      <c r="CL753" s="8"/>
      <c r="CM753" s="8"/>
      <c r="CN753" s="8"/>
    </row>
  </sheetData>
  <sheetProtection algorithmName="SHA-512" hashValue="PZDFkyDCCV8Fg7Spndn5T7AtbBh0vj5opi9EtFVDechk6/nsOYRx7WycXrSFLcdbm1a+LwG0LlulBCRP4vixiQ==" saltValue="SwgIQ4Lna5Amc3GunO03Ow==" spinCount="100000" sheet="1" formatColumns="0"/>
  <mergeCells count="1">
    <mergeCell ref="C1:F1"/>
  </mergeCells>
  <pageMargins left="0.70866141732283472" right="0.70866141732283472" top="1.1811023622047245" bottom="0.78740157480314965" header="0.31496062992125984" footer="0.31496062992125984"/>
  <pageSetup paperSize="9" scale="63" fitToWidth="4" orientation="landscape" r:id="rId1"/>
  <headerFooter>
    <oddHeader>&amp;L&amp;G&amp;R&amp;"Arial,Fett"&amp;12IHK Köln - das Finanztool
&amp;"Arial,Standard"&amp;10&amp;A</oddHeader>
    <oddFooter>&amp;L&amp;8&amp;Z&amp;F\&amp;A\&amp;D\&amp;T&amp;RRelease 3.10</oddFooter>
  </headerFooter>
  <colBreaks count="3" manualBreakCount="3">
    <brk id="19" max="22" man="1"/>
    <brk id="32" max="22" man="1"/>
    <brk id="45" max="22" man="1"/>
  </colBreaks>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C55"/>
  <sheetViews>
    <sheetView tabSelected="1" zoomScale="80" zoomScaleNormal="85" zoomScaleSheetLayoutView="70" workbookViewId="0">
      <pane xSplit="3" ySplit="1" topLeftCell="Q16" activePane="bottomRight" state="frozen"/>
      <selection activeCell="A14" sqref="A14"/>
      <selection pane="topRight" activeCell="A14" sqref="A14"/>
      <selection pane="bottomLeft" activeCell="A14" sqref="A14"/>
      <selection pane="bottomRight" activeCell="Q42" sqref="Q42:AB46"/>
    </sheetView>
  </sheetViews>
  <sheetFormatPr baseColWidth="10" defaultColWidth="11.3984375" defaultRowHeight="12.75" x14ac:dyDescent="0.35"/>
  <cols>
    <col min="1" max="1" width="3.1328125" customWidth="1"/>
    <col min="2" max="2" width="5.86328125" customWidth="1"/>
    <col min="3" max="3" width="41.265625" customWidth="1"/>
    <col min="4" max="4" width="11.3984375" customWidth="1"/>
  </cols>
  <sheetData>
    <row r="1" spans="1:55" ht="25.5" customHeight="1" x14ac:dyDescent="0.35">
      <c r="A1" s="145" t="str">
        <f>IF('Infos vor dem Start'!A17="x","Bitte Netto-Werte (ohne Umsatz- bzw. Vorsteuer) eintragen!","Bitte bei den Kosten Brutto-Werte 
(einschließlich Umsatzsteuer) eintragen!")</f>
        <v>Bitte Netto-Werte (ohne Umsatz- bzw. Vorsteuer) eintragen!</v>
      </c>
      <c r="B1" s="146"/>
      <c r="C1" s="147"/>
      <c r="D1" s="47" t="str">
        <f>+'Umsatzplan Dienstleistungen'!G1</f>
        <v>Januar</v>
      </c>
      <c r="E1" s="47" t="str">
        <f>+'Umsatzplan Dienstleistungen'!H1</f>
        <v>Februar</v>
      </c>
      <c r="F1" s="47" t="str">
        <f>+'Umsatzplan Dienstleistungen'!I1</f>
        <v>März</v>
      </c>
      <c r="G1" s="47" t="str">
        <f>+'Umsatzplan Dienstleistungen'!J1</f>
        <v>April</v>
      </c>
      <c r="H1" s="47" t="str">
        <f>+'Umsatzplan Dienstleistungen'!K1</f>
        <v>Mai</v>
      </c>
      <c r="I1" s="47" t="str">
        <f>+'Umsatzplan Dienstleistungen'!L1</f>
        <v>Juni</v>
      </c>
      <c r="J1" s="47" t="str">
        <f>+'Umsatzplan Dienstleistungen'!M1</f>
        <v>Juli</v>
      </c>
      <c r="K1" s="47" t="str">
        <f>+'Umsatzplan Dienstleistungen'!N1</f>
        <v>August</v>
      </c>
      <c r="L1" s="47" t="str">
        <f>+'Umsatzplan Dienstleistungen'!O1</f>
        <v>September</v>
      </c>
      <c r="M1" s="47" t="str">
        <f>+'Umsatzplan Dienstleistungen'!P1</f>
        <v>Oktober</v>
      </c>
      <c r="N1" s="47" t="str">
        <f>+'Umsatzplan Dienstleistungen'!Q1</f>
        <v>November</v>
      </c>
      <c r="O1" s="47" t="str">
        <f>+'Umsatzplan Dienstleistungen'!R1</f>
        <v>Dezember</v>
      </c>
      <c r="P1" s="131">
        <f>+gj</f>
        <v>2026</v>
      </c>
      <c r="Q1" s="47" t="str">
        <f>+'Umsatzplan Dienstleistungen'!T1</f>
        <v>Januar</v>
      </c>
      <c r="R1" s="47" t="str">
        <f>+'Umsatzplan Dienstleistungen'!U1</f>
        <v>Februar</v>
      </c>
      <c r="S1" s="47" t="str">
        <f>+'Umsatzplan Dienstleistungen'!V1</f>
        <v>März</v>
      </c>
      <c r="T1" s="47" t="str">
        <f>+'Umsatzplan Dienstleistungen'!W1</f>
        <v>April</v>
      </c>
      <c r="U1" s="47" t="str">
        <f>+'Umsatzplan Dienstleistungen'!X1</f>
        <v>Mai</v>
      </c>
      <c r="V1" s="47" t="str">
        <f>+'Umsatzplan Dienstleistungen'!Y1</f>
        <v>Juni</v>
      </c>
      <c r="W1" s="47" t="str">
        <f>+'Umsatzplan Dienstleistungen'!Z1</f>
        <v>Juli</v>
      </c>
      <c r="X1" s="47" t="str">
        <f>+'Umsatzplan Dienstleistungen'!AA1</f>
        <v>August</v>
      </c>
      <c r="Y1" s="47" t="str">
        <f>+'Umsatzplan Dienstleistungen'!AB1</f>
        <v>September</v>
      </c>
      <c r="Z1" s="47" t="str">
        <f>+'Umsatzplan Dienstleistungen'!AC1</f>
        <v>Oktober</v>
      </c>
      <c r="AA1" s="47" t="str">
        <f>+'Umsatzplan Dienstleistungen'!AD1</f>
        <v>November</v>
      </c>
      <c r="AB1" s="47" t="str">
        <f>+'Umsatzplan Dienstleistungen'!AE1</f>
        <v>Dezember</v>
      </c>
      <c r="AC1" s="131">
        <f>+gj+1</f>
        <v>2027</v>
      </c>
      <c r="AD1" s="47" t="str">
        <f>+'Umsatzplan Dienstleistungen'!AG1</f>
        <v>Januar</v>
      </c>
      <c r="AE1" s="47" t="str">
        <f>+'Umsatzplan Dienstleistungen'!AH1</f>
        <v>Februar</v>
      </c>
      <c r="AF1" s="47" t="str">
        <f>+'Umsatzplan Dienstleistungen'!AI1</f>
        <v>März</v>
      </c>
      <c r="AG1" s="47" t="str">
        <f>+'Umsatzplan Dienstleistungen'!AJ1</f>
        <v>April</v>
      </c>
      <c r="AH1" s="47" t="str">
        <f>+'Umsatzplan Dienstleistungen'!AK1</f>
        <v>Mai</v>
      </c>
      <c r="AI1" s="47" t="str">
        <f>+'Umsatzplan Dienstleistungen'!AL1</f>
        <v>Juni</v>
      </c>
      <c r="AJ1" s="47" t="str">
        <f>+'Umsatzplan Dienstleistungen'!AM1</f>
        <v>Juli</v>
      </c>
      <c r="AK1" s="47" t="str">
        <f>+'Umsatzplan Dienstleistungen'!AN1</f>
        <v>August</v>
      </c>
      <c r="AL1" s="47" t="str">
        <f>+'Umsatzplan Dienstleistungen'!AO1</f>
        <v>September</v>
      </c>
      <c r="AM1" s="47" t="str">
        <f>+'Umsatzplan Dienstleistungen'!AP1</f>
        <v>Oktober</v>
      </c>
      <c r="AN1" s="47" t="str">
        <f>+'Umsatzplan Dienstleistungen'!AQ1</f>
        <v>November</v>
      </c>
      <c r="AO1" s="47" t="str">
        <f>+'Umsatzplan Dienstleistungen'!AR1</f>
        <v>Dezember</v>
      </c>
      <c r="AP1" s="131">
        <f>+gj+2</f>
        <v>2028</v>
      </c>
      <c r="AQ1" s="47" t="str">
        <f>+'Umsatzplan Dienstleistungen'!AT1</f>
        <v>Januar</v>
      </c>
      <c r="AR1" s="47" t="str">
        <f>+'Umsatzplan Dienstleistungen'!AU1</f>
        <v>Februar</v>
      </c>
      <c r="AS1" s="47" t="str">
        <f>+'Umsatzplan Dienstleistungen'!AV1</f>
        <v>März</v>
      </c>
      <c r="AT1" s="47" t="str">
        <f>+'Umsatzplan Dienstleistungen'!AW1</f>
        <v>April</v>
      </c>
      <c r="AU1" s="47" t="str">
        <f>+'Umsatzplan Dienstleistungen'!AX1</f>
        <v>Mai</v>
      </c>
      <c r="AV1" s="47" t="str">
        <f>+'Umsatzplan Dienstleistungen'!AY1</f>
        <v>Juni</v>
      </c>
      <c r="AW1" s="47" t="str">
        <f>+'Umsatzplan Dienstleistungen'!AZ1</f>
        <v>Juli</v>
      </c>
      <c r="AX1" s="47" t="str">
        <f>+'Umsatzplan Dienstleistungen'!BA1</f>
        <v>August</v>
      </c>
      <c r="AY1" s="47" t="str">
        <f>+'Umsatzplan Dienstleistungen'!BB1</f>
        <v>September</v>
      </c>
      <c r="AZ1" s="47" t="str">
        <f>+'Umsatzplan Dienstleistungen'!BC1</f>
        <v>Oktober</v>
      </c>
      <c r="BA1" s="47" t="str">
        <f>+'Umsatzplan Dienstleistungen'!BD1</f>
        <v>November</v>
      </c>
      <c r="BB1" s="47" t="str">
        <f>+'Umsatzplan Dienstleistungen'!BE1</f>
        <v>Dezember</v>
      </c>
      <c r="BC1" s="131">
        <f>+gj+3</f>
        <v>2029</v>
      </c>
    </row>
    <row r="2" spans="1:55" x14ac:dyDescent="0.35">
      <c r="A2" t="s">
        <v>0</v>
      </c>
      <c r="D2" s="8"/>
      <c r="E2" s="8"/>
      <c r="F2" s="8"/>
      <c r="G2" s="8"/>
      <c r="H2" s="8"/>
      <c r="I2" s="8"/>
      <c r="J2" s="8"/>
      <c r="K2" s="8"/>
      <c r="L2" s="8"/>
      <c r="M2" s="8"/>
      <c r="N2" s="8"/>
      <c r="O2" s="8"/>
      <c r="P2" s="27"/>
      <c r="Q2" s="8"/>
      <c r="R2" s="8"/>
      <c r="S2" s="8"/>
      <c r="T2" s="8"/>
      <c r="U2" s="8"/>
      <c r="V2" s="8"/>
      <c r="W2" s="8"/>
      <c r="X2" s="8"/>
      <c r="Y2" s="8"/>
      <c r="Z2" s="8"/>
      <c r="AA2" s="8"/>
      <c r="AB2" s="8"/>
      <c r="AC2" s="27"/>
      <c r="AD2" s="8"/>
      <c r="AE2" s="8"/>
      <c r="AF2" s="8"/>
      <c r="AG2" s="8"/>
      <c r="AH2" s="8"/>
      <c r="AI2" s="8"/>
      <c r="AJ2" s="8"/>
      <c r="AK2" s="8"/>
      <c r="AL2" s="8"/>
      <c r="AM2" s="8"/>
      <c r="AN2" s="8"/>
      <c r="AO2" s="8"/>
      <c r="AP2" s="27"/>
      <c r="AQ2" s="8"/>
      <c r="AR2" s="8"/>
      <c r="AS2" s="8"/>
      <c r="AT2" s="8"/>
      <c r="AU2" s="8"/>
      <c r="AV2" s="8"/>
      <c r="AW2" s="8"/>
      <c r="AX2" s="8"/>
      <c r="AY2" s="8"/>
      <c r="AZ2" s="8"/>
      <c r="BA2" s="8"/>
      <c r="BB2" s="8"/>
      <c r="BC2" s="27"/>
    </row>
    <row r="3" spans="1:55" ht="13.15" x14ac:dyDescent="0.4">
      <c r="B3" s="140" t="str">
        <f>IF('Infos vor dem Start'!A17="x","Umsatz 19%","Umsatz")</f>
        <v>Umsatz 19%</v>
      </c>
      <c r="C3" s="140"/>
      <c r="D3" s="74"/>
      <c r="E3" s="74"/>
      <c r="F3" s="74"/>
      <c r="G3" s="74"/>
      <c r="H3" s="74"/>
      <c r="I3" s="74"/>
      <c r="J3" s="74"/>
      <c r="K3" s="74"/>
      <c r="L3" s="74"/>
      <c r="M3" s="74"/>
      <c r="N3" s="74"/>
      <c r="O3" s="74"/>
      <c r="P3" s="53">
        <f>SUM(D3:O3)</f>
        <v>0</v>
      </c>
      <c r="Q3" s="74"/>
      <c r="R3" s="74"/>
      <c r="S3" s="74"/>
      <c r="T3" s="74"/>
      <c r="U3" s="74"/>
      <c r="V3" s="74"/>
      <c r="W3" s="74"/>
      <c r="X3" s="74"/>
      <c r="Y3" s="74"/>
      <c r="Z3" s="74"/>
      <c r="AA3" s="74"/>
      <c r="AB3" s="74"/>
      <c r="AC3" s="53">
        <f>SUM(Q3:AB3)</f>
        <v>0</v>
      </c>
      <c r="AD3" s="74"/>
      <c r="AE3" s="74"/>
      <c r="AF3" s="74"/>
      <c r="AG3" s="74"/>
      <c r="AH3" s="74"/>
      <c r="AI3" s="74"/>
      <c r="AJ3" s="74"/>
      <c r="AK3" s="74"/>
      <c r="AL3" s="74"/>
      <c r="AM3" s="74"/>
      <c r="AN3" s="74"/>
      <c r="AO3" s="74"/>
      <c r="AP3" s="53">
        <f t="shared" ref="AP3:AP9" si="0">SUM(AD3:AO3)</f>
        <v>0</v>
      </c>
      <c r="AQ3" s="74"/>
      <c r="AR3" s="74"/>
      <c r="AS3" s="74"/>
      <c r="AT3" s="74"/>
      <c r="AU3" s="74"/>
      <c r="AV3" s="74"/>
      <c r="AW3" s="74"/>
      <c r="AX3" s="74"/>
      <c r="AY3" s="74"/>
      <c r="AZ3" s="74"/>
      <c r="BA3" s="74"/>
      <c r="BB3" s="74"/>
      <c r="BC3" s="53">
        <f t="shared" ref="BC3:BC9" si="1">SUM(AQ3:BB3)</f>
        <v>0</v>
      </c>
    </row>
    <row r="4" spans="1:55" ht="13.15" x14ac:dyDescent="0.4">
      <c r="B4" s="140" t="str">
        <f>IF('Infos vor dem Start'!A17="x","Umsatz 7%","Umsatz")</f>
        <v>Umsatz 7%</v>
      </c>
      <c r="C4" s="140"/>
      <c r="D4" s="43">
        <v>0</v>
      </c>
      <c r="E4" s="43">
        <v>0</v>
      </c>
      <c r="F4" s="43">
        <v>0</v>
      </c>
      <c r="G4" s="43">
        <v>0</v>
      </c>
      <c r="H4" s="43">
        <v>0</v>
      </c>
      <c r="I4" s="43">
        <v>0</v>
      </c>
      <c r="J4" s="43">
        <v>0</v>
      </c>
      <c r="K4" s="43">
        <v>0</v>
      </c>
      <c r="L4" s="43">
        <v>0</v>
      </c>
      <c r="M4" s="43">
        <v>0</v>
      </c>
      <c r="N4" s="43">
        <v>0</v>
      </c>
      <c r="O4" s="43">
        <v>0</v>
      </c>
      <c r="P4" s="53">
        <f>SUM(D4:O4)</f>
        <v>0</v>
      </c>
      <c r="Q4" s="74"/>
      <c r="R4" s="74"/>
      <c r="S4" s="74"/>
      <c r="T4" s="74"/>
      <c r="U4" s="74"/>
      <c r="V4" s="74"/>
      <c r="W4" s="74"/>
      <c r="X4" s="74"/>
      <c r="Y4" s="74"/>
      <c r="Z4" s="74"/>
      <c r="AA4" s="74"/>
      <c r="AB4" s="74"/>
      <c r="AC4" s="53">
        <f>SUM(Q4:AB4)</f>
        <v>0</v>
      </c>
      <c r="AD4" s="43"/>
      <c r="AE4" s="43"/>
      <c r="AF4" s="43"/>
      <c r="AG4" s="43"/>
      <c r="AH4" s="43"/>
      <c r="AI4" s="43"/>
      <c r="AJ4" s="43"/>
      <c r="AK4" s="43"/>
      <c r="AL4" s="43"/>
      <c r="AM4" s="43"/>
      <c r="AN4" s="43"/>
      <c r="AO4" s="43"/>
      <c r="AP4" s="53">
        <f>SUM(AD4:AO4)</f>
        <v>0</v>
      </c>
      <c r="AQ4" s="43"/>
      <c r="AR4" s="43"/>
      <c r="AS4" s="43"/>
      <c r="AT4" s="43"/>
      <c r="AU4" s="43"/>
      <c r="AV4" s="43"/>
      <c r="AW4" s="43"/>
      <c r="AX4" s="43"/>
      <c r="AY4" s="43"/>
      <c r="AZ4" s="43"/>
      <c r="BA4" s="43"/>
      <c r="BB4" s="43"/>
      <c r="BC4" s="53">
        <f>SUM(AQ4:BB4)</f>
        <v>0</v>
      </c>
    </row>
    <row r="5" spans="1:55" x14ac:dyDescent="0.35">
      <c r="A5" s="79" t="str">
        <f>IF(+'Infos vor dem Start'!A17="x","Umsatz Dienstleistungen 19%","Umsatz Dienstleistungen")</f>
        <v>Umsatz Dienstleistungen 19%</v>
      </c>
      <c r="B5" s="79"/>
      <c r="C5" s="79"/>
      <c r="D5" s="10">
        <f>+'Umsatzplan Dienstleistungen'!G44</f>
        <v>0</v>
      </c>
      <c r="E5" s="10">
        <f>+'Umsatzplan Dienstleistungen'!H44</f>
        <v>0</v>
      </c>
      <c r="F5" s="10">
        <f>+'Umsatzplan Dienstleistungen'!I44</f>
        <v>0</v>
      </c>
      <c r="G5" s="10">
        <f>+'Umsatzplan Dienstleistungen'!J44</f>
        <v>0</v>
      </c>
      <c r="H5" s="10">
        <f>+'Umsatzplan Dienstleistungen'!K44</f>
        <v>0</v>
      </c>
      <c r="I5" s="10">
        <f>+'Umsatzplan Dienstleistungen'!L44</f>
        <v>0</v>
      </c>
      <c r="J5" s="10">
        <f>+'Umsatzplan Dienstleistungen'!M44</f>
        <v>0</v>
      </c>
      <c r="K5" s="10">
        <f>+'Umsatzplan Dienstleistungen'!N44</f>
        <v>0</v>
      </c>
      <c r="L5" s="10">
        <f>+'Umsatzplan Dienstleistungen'!O44</f>
        <v>0</v>
      </c>
      <c r="M5" s="10">
        <f>+'Umsatzplan Dienstleistungen'!P44</f>
        <v>14000</v>
      </c>
      <c r="N5" s="10">
        <f>+'Umsatzplan Dienstleistungen'!Q44</f>
        <v>0</v>
      </c>
      <c r="O5" s="10">
        <f>+'Umsatzplan Dienstleistungen'!R44</f>
        <v>18000</v>
      </c>
      <c r="P5" s="53">
        <f>SUM(D5:O5)</f>
        <v>32000</v>
      </c>
      <c r="Q5" s="10">
        <f>+'Umsatzplan Dienstleistungen'!T44</f>
        <v>0</v>
      </c>
      <c r="R5" s="10">
        <f>+'Umsatzplan Dienstleistungen'!U44</f>
        <v>0</v>
      </c>
      <c r="S5" s="10">
        <f>+'Umsatzplan Dienstleistungen'!V44</f>
        <v>0</v>
      </c>
      <c r="T5" s="10">
        <f>+'Umsatzplan Dienstleistungen'!W44</f>
        <v>0</v>
      </c>
      <c r="U5" s="10">
        <f>+'Umsatzplan Dienstleistungen'!X44</f>
        <v>0</v>
      </c>
      <c r="V5" s="10">
        <f>+'Umsatzplan Dienstleistungen'!Y44</f>
        <v>0</v>
      </c>
      <c r="W5" s="10">
        <f>+'Umsatzplan Dienstleistungen'!Z44</f>
        <v>0</v>
      </c>
      <c r="X5" s="10">
        <f>+'Umsatzplan Dienstleistungen'!AA44</f>
        <v>0</v>
      </c>
      <c r="Y5" s="10">
        <f>+'Umsatzplan Dienstleistungen'!AB44</f>
        <v>0</v>
      </c>
      <c r="Z5" s="10">
        <f>+'Umsatzplan Dienstleistungen'!AC44</f>
        <v>0</v>
      </c>
      <c r="AA5" s="10">
        <f>+'Umsatzplan Dienstleistungen'!AD44</f>
        <v>0</v>
      </c>
      <c r="AB5" s="10">
        <f>+'Umsatzplan Dienstleistungen'!AE44</f>
        <v>0</v>
      </c>
      <c r="AC5" s="53">
        <f>SUM(Q5:AB5)</f>
        <v>0</v>
      </c>
      <c r="AD5" s="10">
        <f>+'Umsatzplan Dienstleistungen'!AG44</f>
        <v>0</v>
      </c>
      <c r="AE5" s="10">
        <f>+'Umsatzplan Dienstleistungen'!AH44</f>
        <v>0</v>
      </c>
      <c r="AF5" s="10">
        <f>+'Umsatzplan Dienstleistungen'!AI44</f>
        <v>0</v>
      </c>
      <c r="AG5" s="10">
        <f>+'Umsatzplan Dienstleistungen'!AJ44</f>
        <v>0</v>
      </c>
      <c r="AH5" s="10">
        <f>+'Umsatzplan Dienstleistungen'!AK44</f>
        <v>0</v>
      </c>
      <c r="AI5" s="10">
        <f>+'Umsatzplan Dienstleistungen'!AL44</f>
        <v>0</v>
      </c>
      <c r="AJ5" s="10">
        <f>+'Umsatzplan Dienstleistungen'!AM44</f>
        <v>0</v>
      </c>
      <c r="AK5" s="10">
        <f>+'Umsatzplan Dienstleistungen'!AN44</f>
        <v>0</v>
      </c>
      <c r="AL5" s="10">
        <f>+'Umsatzplan Dienstleistungen'!AO44</f>
        <v>0</v>
      </c>
      <c r="AM5" s="10">
        <f>+'Umsatzplan Dienstleistungen'!AP44</f>
        <v>0</v>
      </c>
      <c r="AN5" s="10">
        <f>+'Umsatzplan Dienstleistungen'!AQ44</f>
        <v>0</v>
      </c>
      <c r="AO5" s="10">
        <f>+'Umsatzplan Dienstleistungen'!AR44</f>
        <v>0</v>
      </c>
      <c r="AP5" s="53">
        <f t="shared" si="0"/>
        <v>0</v>
      </c>
      <c r="AQ5" s="10">
        <f>+'Umsatzplan Dienstleistungen'!AT44</f>
        <v>0</v>
      </c>
      <c r="AR5" s="10">
        <f>+'Umsatzplan Dienstleistungen'!AU44</f>
        <v>0</v>
      </c>
      <c r="AS5" s="10">
        <f>+'Umsatzplan Dienstleistungen'!AV44</f>
        <v>0</v>
      </c>
      <c r="AT5" s="10">
        <f>+'Umsatzplan Dienstleistungen'!AW44</f>
        <v>0</v>
      </c>
      <c r="AU5" s="10">
        <f>+'Umsatzplan Dienstleistungen'!AX44</f>
        <v>0</v>
      </c>
      <c r="AV5" s="10">
        <f>+'Umsatzplan Dienstleistungen'!AY44</f>
        <v>0</v>
      </c>
      <c r="AW5" s="10">
        <f>+'Umsatzplan Dienstleistungen'!AZ44</f>
        <v>0</v>
      </c>
      <c r="AX5" s="10">
        <f>+'Umsatzplan Dienstleistungen'!BA44</f>
        <v>0</v>
      </c>
      <c r="AY5" s="10">
        <f>+'Umsatzplan Dienstleistungen'!BB44</f>
        <v>0</v>
      </c>
      <c r="AZ5" s="10">
        <f>+'Umsatzplan Dienstleistungen'!BC44</f>
        <v>0</v>
      </c>
      <c r="BA5" s="10">
        <f>+'Umsatzplan Dienstleistungen'!BD44</f>
        <v>0</v>
      </c>
      <c r="BB5" s="10">
        <f>+'Umsatzplan Dienstleistungen'!BE44</f>
        <v>0</v>
      </c>
      <c r="BC5" s="53">
        <f t="shared" si="1"/>
        <v>0</v>
      </c>
    </row>
    <row r="6" spans="1:55" ht="13.15" x14ac:dyDescent="0.4">
      <c r="B6" s="42"/>
      <c r="C6" t="s">
        <v>76</v>
      </c>
      <c r="D6" s="10">
        <f t="shared" ref="D6:O6" si="2">(+D3+D4+D5)*$B6</f>
        <v>0</v>
      </c>
      <c r="E6" s="10">
        <f t="shared" si="2"/>
        <v>0</v>
      </c>
      <c r="F6" s="10">
        <f t="shared" si="2"/>
        <v>0</v>
      </c>
      <c r="G6" s="10">
        <f t="shared" si="2"/>
        <v>0</v>
      </c>
      <c r="H6" s="10">
        <f t="shared" si="2"/>
        <v>0</v>
      </c>
      <c r="I6" s="10">
        <f t="shared" si="2"/>
        <v>0</v>
      </c>
      <c r="J6" s="10">
        <f t="shared" si="2"/>
        <v>0</v>
      </c>
      <c r="K6" s="10">
        <f t="shared" si="2"/>
        <v>0</v>
      </c>
      <c r="L6" s="10">
        <f t="shared" si="2"/>
        <v>0</v>
      </c>
      <c r="M6" s="10">
        <f t="shared" si="2"/>
        <v>0</v>
      </c>
      <c r="N6" s="10">
        <f t="shared" si="2"/>
        <v>0</v>
      </c>
      <c r="O6" s="10">
        <f t="shared" si="2"/>
        <v>0</v>
      </c>
      <c r="P6" s="53">
        <f>SUM(D6:O6)</f>
        <v>0</v>
      </c>
      <c r="Q6" s="10">
        <f t="shared" ref="Q6:AB6" si="3">(+Q3+Q4+Q5)*$B6</f>
        <v>0</v>
      </c>
      <c r="R6" s="10">
        <f t="shared" si="3"/>
        <v>0</v>
      </c>
      <c r="S6" s="10">
        <f t="shared" si="3"/>
        <v>0</v>
      </c>
      <c r="T6" s="10">
        <f t="shared" si="3"/>
        <v>0</v>
      </c>
      <c r="U6" s="10">
        <f t="shared" si="3"/>
        <v>0</v>
      </c>
      <c r="V6" s="10">
        <f t="shared" si="3"/>
        <v>0</v>
      </c>
      <c r="W6" s="10">
        <f t="shared" si="3"/>
        <v>0</v>
      </c>
      <c r="X6" s="10">
        <f t="shared" si="3"/>
        <v>0</v>
      </c>
      <c r="Y6" s="10">
        <f t="shared" si="3"/>
        <v>0</v>
      </c>
      <c r="Z6" s="10">
        <f t="shared" si="3"/>
        <v>0</v>
      </c>
      <c r="AA6" s="10">
        <f t="shared" si="3"/>
        <v>0</v>
      </c>
      <c r="AB6" s="10">
        <f t="shared" si="3"/>
        <v>0</v>
      </c>
      <c r="AC6" s="53">
        <f>SUM(Q6:AB6)</f>
        <v>0</v>
      </c>
      <c r="AD6" s="10">
        <f t="shared" ref="AD6:AO6" si="4">(+AD3+AD4+AD5)*$B6</f>
        <v>0</v>
      </c>
      <c r="AE6" s="10">
        <f t="shared" si="4"/>
        <v>0</v>
      </c>
      <c r="AF6" s="10">
        <f t="shared" si="4"/>
        <v>0</v>
      </c>
      <c r="AG6" s="10">
        <f>(+AG3+AG4+AG5)*$B6</f>
        <v>0</v>
      </c>
      <c r="AH6" s="10">
        <f t="shared" si="4"/>
        <v>0</v>
      </c>
      <c r="AI6" s="10">
        <f t="shared" si="4"/>
        <v>0</v>
      </c>
      <c r="AJ6" s="10">
        <f t="shared" si="4"/>
        <v>0</v>
      </c>
      <c r="AK6" s="10">
        <f t="shared" si="4"/>
        <v>0</v>
      </c>
      <c r="AL6" s="10">
        <f t="shared" si="4"/>
        <v>0</v>
      </c>
      <c r="AM6" s="10">
        <f t="shared" si="4"/>
        <v>0</v>
      </c>
      <c r="AN6" s="10">
        <f t="shared" si="4"/>
        <v>0</v>
      </c>
      <c r="AO6" s="10">
        <f t="shared" si="4"/>
        <v>0</v>
      </c>
      <c r="AP6" s="53">
        <f t="shared" si="0"/>
        <v>0</v>
      </c>
      <c r="AQ6" s="10">
        <f t="shared" ref="AQ6:BB6" si="5">(+AQ3+AQ4+AQ5)*$B6</f>
        <v>0</v>
      </c>
      <c r="AR6" s="10">
        <f t="shared" si="5"/>
        <v>0</v>
      </c>
      <c r="AS6" s="10">
        <f t="shared" si="5"/>
        <v>0</v>
      </c>
      <c r="AT6" s="10">
        <f t="shared" si="5"/>
        <v>0</v>
      </c>
      <c r="AU6" s="10">
        <f t="shared" si="5"/>
        <v>0</v>
      </c>
      <c r="AV6" s="10">
        <f t="shared" si="5"/>
        <v>0</v>
      </c>
      <c r="AW6" s="10">
        <f t="shared" si="5"/>
        <v>0</v>
      </c>
      <c r="AX6" s="10">
        <f t="shared" si="5"/>
        <v>0</v>
      </c>
      <c r="AY6" s="10">
        <f t="shared" si="5"/>
        <v>0</v>
      </c>
      <c r="AZ6" s="10">
        <f t="shared" si="5"/>
        <v>0</v>
      </c>
      <c r="BA6" s="10">
        <f t="shared" si="5"/>
        <v>0</v>
      </c>
      <c r="BB6" s="10">
        <f t="shared" si="5"/>
        <v>0</v>
      </c>
      <c r="BC6" s="53">
        <f t="shared" si="1"/>
        <v>0</v>
      </c>
    </row>
    <row r="7" spans="1:55" ht="13.15" x14ac:dyDescent="0.4">
      <c r="A7" t="s">
        <v>1</v>
      </c>
      <c r="D7" s="74"/>
      <c r="E7" s="74"/>
      <c r="F7" s="74"/>
      <c r="G7" s="74"/>
      <c r="H7" s="74"/>
      <c r="I7" s="74"/>
      <c r="J7" s="74"/>
      <c r="K7" s="74"/>
      <c r="L7" s="74"/>
      <c r="M7" s="74"/>
      <c r="N7" s="74"/>
      <c r="O7" s="74"/>
      <c r="P7" s="53">
        <f>SUM(D7:O7)</f>
        <v>0</v>
      </c>
      <c r="Q7" s="74"/>
      <c r="R7" s="74"/>
      <c r="S7" s="74"/>
      <c r="T7" s="74"/>
      <c r="U7" s="74"/>
      <c r="V7" s="74"/>
      <c r="W7" s="74"/>
      <c r="X7" s="74"/>
      <c r="Y7" s="74"/>
      <c r="Z7" s="74"/>
      <c r="AA7" s="74"/>
      <c r="AB7" s="74"/>
      <c r="AC7" s="53">
        <f>SUM(Q7:AB7)</f>
        <v>0</v>
      </c>
      <c r="AD7" s="74"/>
      <c r="AE7" s="74"/>
      <c r="AF7" s="74"/>
      <c r="AG7" s="74"/>
      <c r="AH7" s="74"/>
      <c r="AI7" s="74"/>
      <c r="AJ7" s="74"/>
      <c r="AK7" s="74"/>
      <c r="AL7" s="74"/>
      <c r="AM7" s="74"/>
      <c r="AN7" s="74"/>
      <c r="AO7" s="74"/>
      <c r="AP7" s="53">
        <f t="shared" si="0"/>
        <v>0</v>
      </c>
      <c r="AQ7" s="74"/>
      <c r="AR7" s="74"/>
      <c r="AS7" s="74"/>
      <c r="AT7" s="74"/>
      <c r="AU7" s="74"/>
      <c r="AV7" s="74"/>
      <c r="AW7" s="74"/>
      <c r="AX7" s="74"/>
      <c r="AY7" s="74"/>
      <c r="AZ7" s="74"/>
      <c r="BA7" s="74"/>
      <c r="BB7" s="74"/>
      <c r="BC7" s="53">
        <f t="shared" si="1"/>
        <v>0</v>
      </c>
    </row>
    <row r="8" spans="1:55" ht="13.15" x14ac:dyDescent="0.4">
      <c r="A8" t="s">
        <v>2</v>
      </c>
      <c r="D8" s="75"/>
      <c r="E8" s="75"/>
      <c r="F8" s="75"/>
      <c r="G8" s="75"/>
      <c r="H8" s="75"/>
      <c r="I8" s="75"/>
      <c r="J8" s="75"/>
      <c r="K8" s="75"/>
      <c r="L8" s="75"/>
      <c r="M8" s="75"/>
      <c r="N8" s="75"/>
      <c r="O8" s="75"/>
      <c r="P8" s="53"/>
      <c r="Q8" s="75"/>
      <c r="R8" s="75"/>
      <c r="S8" s="75"/>
      <c r="T8" s="75"/>
      <c r="U8" s="75"/>
      <c r="V8" s="75"/>
      <c r="W8" s="75"/>
      <c r="X8" s="75"/>
      <c r="Y8" s="75"/>
      <c r="Z8" s="75"/>
      <c r="AA8" s="75"/>
      <c r="AB8" s="75"/>
      <c r="AC8" s="53"/>
      <c r="AD8" s="75"/>
      <c r="AE8" s="75"/>
      <c r="AF8" s="75"/>
      <c r="AG8" s="75"/>
      <c r="AH8" s="75"/>
      <c r="AI8" s="75"/>
      <c r="AJ8" s="75"/>
      <c r="AK8" s="75"/>
      <c r="AL8" s="75"/>
      <c r="AM8" s="75"/>
      <c r="AN8" s="75"/>
      <c r="AO8" s="75"/>
      <c r="AP8" s="53"/>
      <c r="AQ8" s="75"/>
      <c r="AR8" s="75"/>
      <c r="AS8" s="75"/>
      <c r="AT8" s="75"/>
      <c r="AU8" s="75"/>
      <c r="AV8" s="75"/>
      <c r="AW8" s="75"/>
      <c r="AX8" s="75"/>
      <c r="AY8" s="75"/>
      <c r="AZ8" s="75"/>
      <c r="BA8" s="75"/>
      <c r="BB8" s="75"/>
      <c r="BC8" s="53"/>
    </row>
    <row r="9" spans="1:55" ht="13.15" x14ac:dyDescent="0.4">
      <c r="B9" s="42">
        <v>0</v>
      </c>
      <c r="C9" t="s">
        <v>125</v>
      </c>
      <c r="D9" s="10"/>
      <c r="E9" s="10">
        <f>(+D3+D4)*$B9</f>
        <v>0</v>
      </c>
      <c r="F9" s="10">
        <f t="shared" ref="F9:O9" si="6">(+E3+E4)*$B9</f>
        <v>0</v>
      </c>
      <c r="G9" s="10">
        <f t="shared" si="6"/>
        <v>0</v>
      </c>
      <c r="H9" s="10">
        <f t="shared" si="6"/>
        <v>0</v>
      </c>
      <c r="I9" s="10">
        <f t="shared" si="6"/>
        <v>0</v>
      </c>
      <c r="J9" s="10">
        <f t="shared" si="6"/>
        <v>0</v>
      </c>
      <c r="K9" s="10">
        <f t="shared" si="6"/>
        <v>0</v>
      </c>
      <c r="L9" s="10">
        <f t="shared" si="6"/>
        <v>0</v>
      </c>
      <c r="M9" s="10">
        <f t="shared" si="6"/>
        <v>0</v>
      </c>
      <c r="N9" s="10">
        <f t="shared" si="6"/>
        <v>0</v>
      </c>
      <c r="O9" s="10">
        <f t="shared" si="6"/>
        <v>0</v>
      </c>
      <c r="P9" s="53">
        <f>SUM(D9:O9)</f>
        <v>0</v>
      </c>
      <c r="Q9" s="10">
        <f>(+O3+O4)*$B9</f>
        <v>0</v>
      </c>
      <c r="R9" s="10">
        <f>(+Q3+Q4)*$B9</f>
        <v>0</v>
      </c>
      <c r="S9" s="10">
        <f t="shared" ref="S9:AB9" si="7">(+R3+R4)*$B9</f>
        <v>0</v>
      </c>
      <c r="T9" s="10">
        <f t="shared" si="7"/>
        <v>0</v>
      </c>
      <c r="U9" s="10">
        <f t="shared" si="7"/>
        <v>0</v>
      </c>
      <c r="V9" s="10">
        <f t="shared" si="7"/>
        <v>0</v>
      </c>
      <c r="W9" s="10">
        <f t="shared" si="7"/>
        <v>0</v>
      </c>
      <c r="X9" s="10">
        <f t="shared" si="7"/>
        <v>0</v>
      </c>
      <c r="Y9" s="10">
        <f t="shared" si="7"/>
        <v>0</v>
      </c>
      <c r="Z9" s="10">
        <f t="shared" si="7"/>
        <v>0</v>
      </c>
      <c r="AA9" s="10">
        <f t="shared" si="7"/>
        <v>0</v>
      </c>
      <c r="AB9" s="10">
        <f t="shared" si="7"/>
        <v>0</v>
      </c>
      <c r="AC9" s="53">
        <f>SUM(Q9:AB9)</f>
        <v>0</v>
      </c>
      <c r="AD9" s="10">
        <f>(+AB3+AB4)*$B9</f>
        <v>0</v>
      </c>
      <c r="AE9" s="10">
        <f>(+AD3+AD4)*$B9</f>
        <v>0</v>
      </c>
      <c r="AF9" s="10">
        <f t="shared" ref="AF9:AO9" si="8">(+AE3+AE4)*$B9</f>
        <v>0</v>
      </c>
      <c r="AG9" s="10">
        <f t="shared" si="8"/>
        <v>0</v>
      </c>
      <c r="AH9" s="10">
        <f t="shared" si="8"/>
        <v>0</v>
      </c>
      <c r="AI9" s="10">
        <f t="shared" si="8"/>
        <v>0</v>
      </c>
      <c r="AJ9" s="10">
        <f t="shared" si="8"/>
        <v>0</v>
      </c>
      <c r="AK9" s="10">
        <f t="shared" si="8"/>
        <v>0</v>
      </c>
      <c r="AL9" s="10">
        <f t="shared" si="8"/>
        <v>0</v>
      </c>
      <c r="AM9" s="10">
        <f t="shared" si="8"/>
        <v>0</v>
      </c>
      <c r="AN9" s="10">
        <f t="shared" si="8"/>
        <v>0</v>
      </c>
      <c r="AO9" s="10">
        <f t="shared" si="8"/>
        <v>0</v>
      </c>
      <c r="AP9" s="53">
        <f t="shared" si="0"/>
        <v>0</v>
      </c>
      <c r="AQ9" s="10">
        <f>(+AO3+AO4)*$B9</f>
        <v>0</v>
      </c>
      <c r="AR9" s="10">
        <f>(+AQ3+AQ4)*$B9</f>
        <v>0</v>
      </c>
      <c r="AS9" s="10">
        <f t="shared" ref="AS9:BB9" si="9">(+AR3+AR4)*$B9</f>
        <v>0</v>
      </c>
      <c r="AT9" s="10">
        <f t="shared" si="9"/>
        <v>0</v>
      </c>
      <c r="AU9" s="10">
        <f t="shared" si="9"/>
        <v>0</v>
      </c>
      <c r="AV9" s="10">
        <f t="shared" si="9"/>
        <v>0</v>
      </c>
      <c r="AW9" s="10">
        <f t="shared" si="9"/>
        <v>0</v>
      </c>
      <c r="AX9" s="10">
        <f t="shared" si="9"/>
        <v>0</v>
      </c>
      <c r="AY9" s="10">
        <f t="shared" si="9"/>
        <v>0</v>
      </c>
      <c r="AZ9" s="10">
        <f t="shared" si="9"/>
        <v>0</v>
      </c>
      <c r="BA9" s="10">
        <f t="shared" si="9"/>
        <v>0</v>
      </c>
      <c r="BB9" s="10">
        <f t="shared" si="9"/>
        <v>0</v>
      </c>
      <c r="BC9" s="53">
        <f t="shared" si="1"/>
        <v>0</v>
      </c>
    </row>
    <row r="10" spans="1:55" ht="13.15" x14ac:dyDescent="0.4">
      <c r="B10" s="60" t="s">
        <v>136</v>
      </c>
      <c r="D10" s="74"/>
      <c r="E10" s="74"/>
      <c r="F10" s="74"/>
      <c r="G10" s="74"/>
      <c r="H10" s="74"/>
      <c r="I10" s="74"/>
      <c r="J10" s="74"/>
      <c r="K10" s="74"/>
      <c r="L10" s="74"/>
      <c r="M10" s="74"/>
      <c r="N10" s="74"/>
      <c r="O10" s="74"/>
      <c r="P10" s="53">
        <f>SUM(D10:O10)</f>
        <v>0</v>
      </c>
      <c r="Q10" s="74"/>
      <c r="R10" s="74"/>
      <c r="S10" s="74"/>
      <c r="T10" s="74"/>
      <c r="U10" s="74"/>
      <c r="V10" s="74"/>
      <c r="W10" s="74"/>
      <c r="X10" s="74"/>
      <c r="Y10" s="74"/>
      <c r="Z10" s="74"/>
      <c r="AA10" s="74"/>
      <c r="AB10" s="74"/>
      <c r="AC10" s="53">
        <f>SUM(Q10:AB10)</f>
        <v>0</v>
      </c>
      <c r="AD10" s="74"/>
      <c r="AE10" s="74"/>
      <c r="AF10" s="74"/>
      <c r="AG10" s="74"/>
      <c r="AH10" s="74"/>
      <c r="AI10" s="74"/>
      <c r="AJ10" s="74"/>
      <c r="AK10" s="74"/>
      <c r="AL10" s="74"/>
      <c r="AM10" s="74"/>
      <c r="AN10" s="74"/>
      <c r="AO10" s="74"/>
      <c r="AP10" s="53">
        <f>SUM(AD10:AO10)</f>
        <v>0</v>
      </c>
      <c r="AQ10" s="74"/>
      <c r="AR10" s="74"/>
      <c r="AS10" s="74"/>
      <c r="AT10" s="74"/>
      <c r="AU10" s="74"/>
      <c r="AV10" s="74"/>
      <c r="AW10" s="74"/>
      <c r="AX10" s="74"/>
      <c r="AY10" s="74"/>
      <c r="AZ10" s="74"/>
      <c r="BA10" s="74"/>
      <c r="BB10" s="74"/>
      <c r="BC10" s="53">
        <f>SUM(AQ10:BB10)</f>
        <v>0</v>
      </c>
    </row>
    <row r="11" spans="1:55" ht="13.15" x14ac:dyDescent="0.4">
      <c r="B11" s="60" t="s">
        <v>126</v>
      </c>
      <c r="D11" s="74"/>
      <c r="E11" s="74"/>
      <c r="F11" s="74"/>
      <c r="G11" s="74"/>
      <c r="H11" s="74"/>
      <c r="I11" s="74"/>
      <c r="J11" s="74"/>
      <c r="K11" s="74"/>
      <c r="L11" s="74"/>
      <c r="M11" s="74"/>
      <c r="N11" s="74"/>
      <c r="O11" s="74"/>
      <c r="P11" s="53"/>
      <c r="Q11" s="74"/>
      <c r="R11" s="74"/>
      <c r="S11" s="74"/>
      <c r="T11" s="74"/>
      <c r="U11" s="74"/>
      <c r="V11" s="74"/>
      <c r="W11" s="74"/>
      <c r="X11" s="74"/>
      <c r="Y11" s="74"/>
      <c r="Z11" s="74"/>
      <c r="AA11" s="74"/>
      <c r="AB11" s="74"/>
      <c r="AC11" s="53"/>
      <c r="AD11" s="74"/>
      <c r="AE11" s="74"/>
      <c r="AF11" s="74"/>
      <c r="AG11" s="74"/>
      <c r="AH11" s="74"/>
      <c r="AI11" s="74"/>
      <c r="AJ11" s="74"/>
      <c r="AK11" s="74"/>
      <c r="AL11" s="74"/>
      <c r="AM11" s="74"/>
      <c r="AN11" s="74"/>
      <c r="AO11" s="74"/>
      <c r="AP11" s="53"/>
      <c r="AQ11" s="74"/>
      <c r="AR11" s="74"/>
      <c r="AS11" s="74"/>
      <c r="AT11" s="74"/>
      <c r="AU11" s="74"/>
      <c r="AV11" s="74"/>
      <c r="AW11" s="74"/>
      <c r="AX11" s="74"/>
      <c r="AY11" s="74"/>
      <c r="AZ11" s="74"/>
      <c r="BA11" s="74"/>
      <c r="BB11" s="74"/>
      <c r="BC11" s="53"/>
    </row>
    <row r="12" spans="1:55" x14ac:dyDescent="0.35">
      <c r="B12" s="60" t="s">
        <v>235</v>
      </c>
      <c r="D12" s="10">
        <f>IF(Monat=1,Investitionsplan!$C46,0)</f>
        <v>0</v>
      </c>
      <c r="E12" s="10">
        <f>IF(Monat=2,Investitionsplan!$C46,0)</f>
        <v>0</v>
      </c>
      <c r="F12" s="10">
        <f>IF(Monat=3,Investitionsplan!$C46,0)</f>
        <v>0</v>
      </c>
      <c r="G12" s="10">
        <f>IF(Monat=4,Investitionsplan!$C46,0)</f>
        <v>0</v>
      </c>
      <c r="H12" s="10">
        <f>IF(Monat=5,Investitionsplan!$C46,0)</f>
        <v>0</v>
      </c>
      <c r="I12" s="10">
        <f>IF(Monat=6,Investitionsplan!$C46,0)</f>
        <v>0</v>
      </c>
      <c r="J12" s="10">
        <f>IF(Monat=7,Investitionsplan!$C46,0)</f>
        <v>0</v>
      </c>
      <c r="K12" s="10">
        <f>IF(Monat=8,Investitionsplan!$C46,0)</f>
        <v>0</v>
      </c>
      <c r="L12" s="10">
        <f>IF(Monat=9,Investitionsplan!$C46,0)</f>
        <v>0</v>
      </c>
      <c r="M12" s="10">
        <f>IF(Monat=10,Investitionsplan!$C46,0)</f>
        <v>0</v>
      </c>
      <c r="N12" s="10">
        <f>IF(Monat=11,Investitionsplan!$C46,0)</f>
        <v>0</v>
      </c>
      <c r="O12" s="10">
        <f>IF(Monat=12,Investitionsplan!$C46,0)</f>
        <v>0</v>
      </c>
      <c r="P12" s="53">
        <f>SUM(D12:O12)</f>
        <v>0</v>
      </c>
      <c r="Q12" s="10">
        <f>+Investitionsplan!E46</f>
        <v>0</v>
      </c>
      <c r="R12" s="10"/>
      <c r="S12" s="10"/>
      <c r="T12" s="10"/>
      <c r="U12" s="10"/>
      <c r="V12" s="10"/>
      <c r="W12" s="10"/>
      <c r="X12" s="10"/>
      <c r="Y12" s="10"/>
      <c r="Z12" s="10"/>
      <c r="AA12" s="10"/>
      <c r="AB12" s="10"/>
      <c r="AC12" s="53">
        <f>SUM(Q12:AB12)</f>
        <v>0</v>
      </c>
      <c r="AD12" s="10">
        <f>+Investitionsplan!G46</f>
        <v>0</v>
      </c>
      <c r="AE12" s="10"/>
      <c r="AF12" s="10"/>
      <c r="AG12" s="10"/>
      <c r="AH12" s="10"/>
      <c r="AI12" s="10"/>
      <c r="AJ12" s="10"/>
      <c r="AK12" s="10"/>
      <c r="AL12" s="10"/>
      <c r="AM12" s="10"/>
      <c r="AN12" s="10"/>
      <c r="AO12" s="10"/>
      <c r="AP12" s="53">
        <f>SUM(AD12:AO12)</f>
        <v>0</v>
      </c>
      <c r="AQ12" s="10">
        <f>+Investitionsplan!I46</f>
        <v>0</v>
      </c>
      <c r="AR12" s="10"/>
      <c r="AS12" s="10"/>
      <c r="AT12" s="10"/>
      <c r="AU12" s="10"/>
      <c r="AV12" s="10"/>
      <c r="AW12" s="10"/>
      <c r="AX12" s="10"/>
      <c r="AY12" s="10"/>
      <c r="AZ12" s="10"/>
      <c r="BA12" s="10"/>
      <c r="BB12" s="10"/>
      <c r="BC12" s="53">
        <f>SUM(AQ12:BB12)</f>
        <v>0</v>
      </c>
    </row>
    <row r="13" spans="1:55" x14ac:dyDescent="0.35">
      <c r="A13" s="61" t="s">
        <v>3</v>
      </c>
      <c r="B13" s="61"/>
      <c r="C13" s="61"/>
      <c r="D13" s="51">
        <f>+D3+D4+D5-D6+D7-D9-D10-D11-D12</f>
        <v>0</v>
      </c>
      <c r="E13" s="51">
        <f t="shared" ref="E13:BC13" si="10">+E3+E4+E5-E6+E7-E9-E10-E11-E12</f>
        <v>0</v>
      </c>
      <c r="F13" s="51">
        <f t="shared" si="10"/>
        <v>0</v>
      </c>
      <c r="G13" s="51">
        <f t="shared" si="10"/>
        <v>0</v>
      </c>
      <c r="H13" s="51">
        <f t="shared" si="10"/>
        <v>0</v>
      </c>
      <c r="I13" s="51">
        <f t="shared" si="10"/>
        <v>0</v>
      </c>
      <c r="J13" s="51">
        <f t="shared" si="10"/>
        <v>0</v>
      </c>
      <c r="K13" s="51">
        <f t="shared" si="10"/>
        <v>0</v>
      </c>
      <c r="L13" s="51">
        <f t="shared" si="10"/>
        <v>0</v>
      </c>
      <c r="M13" s="51">
        <f t="shared" si="10"/>
        <v>14000</v>
      </c>
      <c r="N13" s="51">
        <f t="shared" si="10"/>
        <v>0</v>
      </c>
      <c r="O13" s="51">
        <f t="shared" si="10"/>
        <v>18000</v>
      </c>
      <c r="P13" s="51">
        <f t="shared" si="10"/>
        <v>32000</v>
      </c>
      <c r="Q13" s="51">
        <f t="shared" si="10"/>
        <v>0</v>
      </c>
      <c r="R13" s="51">
        <f t="shared" si="10"/>
        <v>0</v>
      </c>
      <c r="S13" s="51">
        <f t="shared" si="10"/>
        <v>0</v>
      </c>
      <c r="T13" s="51">
        <f t="shared" si="10"/>
        <v>0</v>
      </c>
      <c r="U13" s="51">
        <f t="shared" si="10"/>
        <v>0</v>
      </c>
      <c r="V13" s="51">
        <f t="shared" si="10"/>
        <v>0</v>
      </c>
      <c r="W13" s="51">
        <f t="shared" si="10"/>
        <v>0</v>
      </c>
      <c r="X13" s="51">
        <f t="shared" si="10"/>
        <v>0</v>
      </c>
      <c r="Y13" s="51">
        <f t="shared" si="10"/>
        <v>0</v>
      </c>
      <c r="Z13" s="51">
        <f t="shared" si="10"/>
        <v>0</v>
      </c>
      <c r="AA13" s="51">
        <f t="shared" si="10"/>
        <v>0</v>
      </c>
      <c r="AB13" s="51">
        <f t="shared" si="10"/>
        <v>0</v>
      </c>
      <c r="AC13" s="51">
        <f t="shared" si="10"/>
        <v>0</v>
      </c>
      <c r="AD13" s="51">
        <f t="shared" si="10"/>
        <v>0</v>
      </c>
      <c r="AE13" s="51">
        <f t="shared" si="10"/>
        <v>0</v>
      </c>
      <c r="AF13" s="51">
        <f t="shared" si="10"/>
        <v>0</v>
      </c>
      <c r="AG13" s="51">
        <f t="shared" si="10"/>
        <v>0</v>
      </c>
      <c r="AH13" s="51">
        <f t="shared" si="10"/>
        <v>0</v>
      </c>
      <c r="AI13" s="51">
        <f t="shared" si="10"/>
        <v>0</v>
      </c>
      <c r="AJ13" s="51">
        <f t="shared" si="10"/>
        <v>0</v>
      </c>
      <c r="AK13" s="51">
        <f t="shared" si="10"/>
        <v>0</v>
      </c>
      <c r="AL13" s="51">
        <f t="shared" si="10"/>
        <v>0</v>
      </c>
      <c r="AM13" s="51">
        <f t="shared" si="10"/>
        <v>0</v>
      </c>
      <c r="AN13" s="51">
        <f t="shared" si="10"/>
        <v>0</v>
      </c>
      <c r="AO13" s="51">
        <f t="shared" si="10"/>
        <v>0</v>
      </c>
      <c r="AP13" s="51">
        <f t="shared" si="10"/>
        <v>0</v>
      </c>
      <c r="AQ13" s="51">
        <f t="shared" si="10"/>
        <v>0</v>
      </c>
      <c r="AR13" s="51">
        <f t="shared" si="10"/>
        <v>0</v>
      </c>
      <c r="AS13" s="51">
        <f t="shared" si="10"/>
        <v>0</v>
      </c>
      <c r="AT13" s="51">
        <f t="shared" si="10"/>
        <v>0</v>
      </c>
      <c r="AU13" s="51">
        <f t="shared" si="10"/>
        <v>0</v>
      </c>
      <c r="AV13" s="51">
        <f t="shared" si="10"/>
        <v>0</v>
      </c>
      <c r="AW13" s="51">
        <f t="shared" si="10"/>
        <v>0</v>
      </c>
      <c r="AX13" s="51">
        <f t="shared" si="10"/>
        <v>0</v>
      </c>
      <c r="AY13" s="51">
        <f t="shared" si="10"/>
        <v>0</v>
      </c>
      <c r="AZ13" s="51">
        <f t="shared" si="10"/>
        <v>0</v>
      </c>
      <c r="BA13" s="51">
        <f t="shared" si="10"/>
        <v>0</v>
      </c>
      <c r="BB13" s="51">
        <f t="shared" si="10"/>
        <v>0</v>
      </c>
      <c r="BC13" s="51">
        <f t="shared" si="10"/>
        <v>0</v>
      </c>
    </row>
    <row r="14" spans="1:55" ht="13.15" x14ac:dyDescent="0.4">
      <c r="A14" t="s">
        <v>108</v>
      </c>
      <c r="D14" s="74"/>
      <c r="E14" s="74"/>
      <c r="F14" s="74"/>
      <c r="G14" s="74"/>
      <c r="H14" s="74"/>
      <c r="I14" s="74"/>
      <c r="J14" s="74"/>
      <c r="K14" s="74"/>
      <c r="L14" s="74"/>
      <c r="M14" s="74">
        <v>0</v>
      </c>
      <c r="N14" s="74">
        <v>0</v>
      </c>
      <c r="O14" s="74">
        <v>0</v>
      </c>
      <c r="P14" s="53">
        <f>SUM(D14:O14)</f>
        <v>0</v>
      </c>
      <c r="Q14" s="74">
        <v>720</v>
      </c>
      <c r="R14" s="74">
        <v>720</v>
      </c>
      <c r="S14" s="74">
        <v>720</v>
      </c>
      <c r="T14" s="74">
        <v>720</v>
      </c>
      <c r="U14" s="74">
        <v>720</v>
      </c>
      <c r="V14" s="74">
        <v>720</v>
      </c>
      <c r="W14" s="74">
        <v>720</v>
      </c>
      <c r="X14" s="74">
        <v>720</v>
      </c>
      <c r="Y14" s="74">
        <v>720</v>
      </c>
      <c r="Z14" s="74">
        <v>720</v>
      </c>
      <c r="AA14" s="74">
        <v>720</v>
      </c>
      <c r="AB14" s="74">
        <v>720</v>
      </c>
      <c r="AC14" s="53">
        <f>SUM(Q14:AB14)</f>
        <v>8640</v>
      </c>
      <c r="AD14" s="74">
        <v>0</v>
      </c>
      <c r="AE14" s="74">
        <v>0</v>
      </c>
      <c r="AF14" s="74">
        <v>0</v>
      </c>
      <c r="AG14" s="74">
        <v>0</v>
      </c>
      <c r="AH14" s="74">
        <v>0</v>
      </c>
      <c r="AI14" s="74">
        <v>0</v>
      </c>
      <c r="AJ14" s="74">
        <v>0</v>
      </c>
      <c r="AK14" s="74">
        <v>0</v>
      </c>
      <c r="AL14" s="74">
        <v>0</v>
      </c>
      <c r="AM14" s="74">
        <v>0</v>
      </c>
      <c r="AN14" s="74">
        <v>0</v>
      </c>
      <c r="AO14" s="74">
        <v>0</v>
      </c>
      <c r="AP14" s="53">
        <f>SUM(AD14:AO14)</f>
        <v>0</v>
      </c>
      <c r="AQ14" s="74"/>
      <c r="AR14" s="74"/>
      <c r="AS14" s="74"/>
      <c r="AT14" s="74"/>
      <c r="AU14" s="74"/>
      <c r="AV14" s="74"/>
      <c r="AW14" s="74"/>
      <c r="AX14" s="74"/>
      <c r="AY14" s="74"/>
      <c r="AZ14" s="74"/>
      <c r="BA14" s="74"/>
      <c r="BB14" s="74"/>
      <c r="BC14" s="53">
        <f>SUM(AQ14:BB14)</f>
        <v>0</v>
      </c>
    </row>
    <row r="15" spans="1:55" x14ac:dyDescent="0.35">
      <c r="A15" t="s">
        <v>119</v>
      </c>
      <c r="D15" s="10">
        <f>IF(Monat&lt;=0,0,IF(Monat=1,ROUND(afaeins,0),))</f>
        <v>0</v>
      </c>
      <c r="E15" s="10">
        <f>IF(Monat=0,0,IF(Monat=2,ROUND(afaeins,0),IF(Monat&lt;2,afaeins,0)))</f>
        <v>0</v>
      </c>
      <c r="F15" s="10">
        <f>IF(Monat=0,0,IF(Monat=3,ROUND(afaeins,0),IF(Monat&lt;3,afaeins,0)))</f>
        <v>0</v>
      </c>
      <c r="G15" s="10">
        <f>IF(Monat=0,0,IF(Monat=4,ROUND(afaeins,0),IF(Monat&lt;4,afaeins,0)))</f>
        <v>0</v>
      </c>
      <c r="H15" s="10">
        <f>IF(Monat=0,0,IF(Monat=5,ROUND(afaeins,0),IF(Monat&lt;5,afaeins,0)))</f>
        <v>0</v>
      </c>
      <c r="I15" s="10">
        <f>IF(Monat=0,0,IF(Monat=6,ROUND(afaeins,0),IF(Monat&lt;6,afaeins,0)))</f>
        <v>0</v>
      </c>
      <c r="J15" s="10">
        <f>IF(Monat=0,0,IF(Monat=7,ROUND(afaeins,0),IF(Monat&lt;7,afaeins,0)))</f>
        <v>0</v>
      </c>
      <c r="K15" s="10">
        <f>IF(Monat=0,0,IF(Monat=8,ROUND(afaeins,0),IF(Monat&lt;8,afaeins,0)))</f>
        <v>0</v>
      </c>
      <c r="L15" s="10">
        <f>IF(Monat=0,0,IF(Monat=9,ROUND(afaeins,0),IF(Monat&lt;9,afaeins,0)))</f>
        <v>0</v>
      </c>
      <c r="M15" s="10">
        <f>IF(Monat=0,0,IF(Monat=10,ROUND(afaeins,0),IF(Monat&lt;10,afaeins,0)))</f>
        <v>0</v>
      </c>
      <c r="N15" s="10">
        <f>IF(Monat=0,0,IF(Monat=11,ROUND(afaeins,0),IF(Monat&lt;11,afaeins,0)))</f>
        <v>0</v>
      </c>
      <c r="O15" s="10">
        <f>IF(Monat=0,0,IF(Monat=11,ROUND(afaeins,0),IF(Monat&lt;11,afaeins,0)))</f>
        <v>0</v>
      </c>
      <c r="P15" s="53">
        <f>SUM(D15:O15)</f>
        <v>0</v>
      </c>
      <c r="Q15" s="10">
        <f t="shared" ref="Q15:AB15" si="11">+afazwei</f>
        <v>0</v>
      </c>
      <c r="R15" s="10">
        <f t="shared" si="11"/>
        <v>0</v>
      </c>
      <c r="S15" s="10">
        <f t="shared" si="11"/>
        <v>0</v>
      </c>
      <c r="T15" s="10">
        <f t="shared" si="11"/>
        <v>0</v>
      </c>
      <c r="U15" s="10">
        <f t="shared" si="11"/>
        <v>0</v>
      </c>
      <c r="V15" s="10">
        <f t="shared" si="11"/>
        <v>0</v>
      </c>
      <c r="W15" s="10">
        <f t="shared" si="11"/>
        <v>0</v>
      </c>
      <c r="X15" s="10">
        <f t="shared" si="11"/>
        <v>0</v>
      </c>
      <c r="Y15" s="10">
        <f t="shared" si="11"/>
        <v>0</v>
      </c>
      <c r="Z15" s="10">
        <f t="shared" si="11"/>
        <v>0</v>
      </c>
      <c r="AA15" s="10">
        <f t="shared" si="11"/>
        <v>0</v>
      </c>
      <c r="AB15" s="10">
        <f t="shared" si="11"/>
        <v>0</v>
      </c>
      <c r="AC15" s="53">
        <f>SUM(Q15:AB15)</f>
        <v>0</v>
      </c>
      <c r="AD15" s="10">
        <f t="shared" ref="AD15:AO15" si="12">+afadrei</f>
        <v>0</v>
      </c>
      <c r="AE15" s="10">
        <f t="shared" si="12"/>
        <v>0</v>
      </c>
      <c r="AF15" s="10">
        <f t="shared" si="12"/>
        <v>0</v>
      </c>
      <c r="AG15" s="10">
        <f t="shared" si="12"/>
        <v>0</v>
      </c>
      <c r="AH15" s="10">
        <f t="shared" si="12"/>
        <v>0</v>
      </c>
      <c r="AI15" s="10">
        <f t="shared" si="12"/>
        <v>0</v>
      </c>
      <c r="AJ15" s="10">
        <f t="shared" si="12"/>
        <v>0</v>
      </c>
      <c r="AK15" s="10">
        <f t="shared" si="12"/>
        <v>0</v>
      </c>
      <c r="AL15" s="10">
        <f t="shared" si="12"/>
        <v>0</v>
      </c>
      <c r="AM15" s="10">
        <f t="shared" si="12"/>
        <v>0</v>
      </c>
      <c r="AN15" s="10">
        <f t="shared" si="12"/>
        <v>0</v>
      </c>
      <c r="AO15" s="10">
        <f t="shared" si="12"/>
        <v>0</v>
      </c>
      <c r="AP15" s="53">
        <f>SUM(AD15:AO15)</f>
        <v>0</v>
      </c>
      <c r="AQ15" s="10">
        <f t="shared" ref="AQ15:BB15" si="13">+afavier</f>
        <v>0</v>
      </c>
      <c r="AR15" s="10">
        <f t="shared" si="13"/>
        <v>0</v>
      </c>
      <c r="AS15" s="10">
        <f t="shared" si="13"/>
        <v>0</v>
      </c>
      <c r="AT15" s="10">
        <f t="shared" si="13"/>
        <v>0</v>
      </c>
      <c r="AU15" s="10">
        <f t="shared" si="13"/>
        <v>0</v>
      </c>
      <c r="AV15" s="10">
        <f t="shared" si="13"/>
        <v>0</v>
      </c>
      <c r="AW15" s="10">
        <f t="shared" si="13"/>
        <v>0</v>
      </c>
      <c r="AX15" s="10">
        <f t="shared" si="13"/>
        <v>0</v>
      </c>
      <c r="AY15" s="10">
        <f t="shared" si="13"/>
        <v>0</v>
      </c>
      <c r="AZ15" s="10">
        <f t="shared" si="13"/>
        <v>0</v>
      </c>
      <c r="BA15" s="10">
        <f t="shared" si="13"/>
        <v>0</v>
      </c>
      <c r="BB15" s="10">
        <f t="shared" si="13"/>
        <v>0</v>
      </c>
      <c r="BC15" s="53">
        <f>SUM(AQ15:BB15)</f>
        <v>0</v>
      </c>
    </row>
    <row r="16" spans="1:55" x14ac:dyDescent="0.35">
      <c r="A16" t="s">
        <v>4</v>
      </c>
      <c r="D16" s="10"/>
      <c r="E16" s="10"/>
      <c r="F16" s="10"/>
      <c r="G16" s="10"/>
      <c r="H16" s="10"/>
      <c r="I16" s="10"/>
      <c r="J16" s="10"/>
      <c r="K16" s="10"/>
      <c r="L16" s="10"/>
      <c r="M16" s="10"/>
      <c r="N16" s="10"/>
      <c r="O16" s="10"/>
      <c r="P16" s="53"/>
      <c r="Q16" s="10"/>
      <c r="R16" s="10"/>
      <c r="S16" s="10"/>
      <c r="T16" s="10"/>
      <c r="U16" s="10"/>
      <c r="V16" s="10"/>
      <c r="W16" s="10"/>
      <c r="X16" s="10"/>
      <c r="Y16" s="10"/>
      <c r="Z16" s="10"/>
      <c r="AA16" s="10"/>
      <c r="AB16" s="10"/>
      <c r="AC16" s="53"/>
      <c r="AD16" s="10"/>
      <c r="AE16" s="10"/>
      <c r="AF16" s="10"/>
      <c r="AG16" s="10"/>
      <c r="AH16" s="10"/>
      <c r="AI16" s="10"/>
      <c r="AJ16" s="10"/>
      <c r="AK16" s="10"/>
      <c r="AL16" s="10"/>
      <c r="AM16" s="10"/>
      <c r="AN16" s="10"/>
      <c r="AO16" s="10"/>
      <c r="AP16" s="53"/>
      <c r="AQ16" s="10"/>
      <c r="AR16" s="10"/>
      <c r="AS16" s="10"/>
      <c r="AT16" s="10"/>
      <c r="AU16" s="10"/>
      <c r="AV16" s="10"/>
      <c r="AW16" s="10"/>
      <c r="AX16" s="10"/>
      <c r="AY16" s="10"/>
      <c r="AZ16" s="10"/>
      <c r="BA16" s="10"/>
      <c r="BB16" s="10"/>
      <c r="BC16" s="53"/>
    </row>
    <row r="17" spans="2:55" x14ac:dyDescent="0.35">
      <c r="B17" t="s">
        <v>68</v>
      </c>
      <c r="D17" s="10"/>
      <c r="E17" s="10"/>
      <c r="F17" s="10"/>
      <c r="G17" s="10"/>
      <c r="H17" s="10"/>
      <c r="I17" s="10"/>
      <c r="J17" s="10"/>
      <c r="K17" s="10"/>
      <c r="L17" s="10"/>
      <c r="M17" s="10"/>
      <c r="N17" s="10"/>
      <c r="O17" s="10"/>
      <c r="P17" s="53"/>
      <c r="Q17" s="10"/>
      <c r="R17" s="10"/>
      <c r="S17" s="10"/>
      <c r="T17" s="10"/>
      <c r="U17" s="10"/>
      <c r="V17" s="10"/>
      <c r="W17" s="10"/>
      <c r="X17" s="10"/>
      <c r="Y17" s="10"/>
      <c r="Z17" s="10"/>
      <c r="AA17" s="10"/>
      <c r="AB17" s="10"/>
      <c r="AC17" s="53"/>
      <c r="AD17" s="10"/>
      <c r="AE17" s="10"/>
      <c r="AF17" s="10"/>
      <c r="AG17" s="10"/>
      <c r="AH17" s="10"/>
      <c r="AI17" s="10"/>
      <c r="AJ17" s="10"/>
      <c r="AK17" s="10"/>
      <c r="AL17" s="10"/>
      <c r="AM17" s="10"/>
      <c r="AN17" s="10"/>
      <c r="AO17" s="10"/>
      <c r="AP17" s="53"/>
      <c r="AQ17" s="10"/>
      <c r="AR17" s="10"/>
      <c r="AS17" s="10"/>
      <c r="AT17" s="10"/>
      <c r="AU17" s="10"/>
      <c r="AV17" s="10"/>
      <c r="AW17" s="10"/>
      <c r="AX17" s="10"/>
      <c r="AY17" s="10"/>
      <c r="AZ17" s="10"/>
      <c r="BA17" s="10"/>
      <c r="BB17" s="10"/>
      <c r="BC17" s="53"/>
    </row>
    <row r="18" spans="2:55" ht="13.15" x14ac:dyDescent="0.4">
      <c r="C18" t="s">
        <v>5</v>
      </c>
      <c r="D18" s="74">
        <v>0</v>
      </c>
      <c r="E18" s="74">
        <v>0</v>
      </c>
      <c r="F18" s="74">
        <v>0</v>
      </c>
      <c r="G18" s="74">
        <v>0</v>
      </c>
      <c r="H18" s="74">
        <v>0</v>
      </c>
      <c r="I18" s="74">
        <v>0</v>
      </c>
      <c r="J18" s="74">
        <v>0</v>
      </c>
      <c r="K18" s="74">
        <v>0</v>
      </c>
      <c r="L18" s="74">
        <v>0</v>
      </c>
      <c r="M18" s="74">
        <v>600</v>
      </c>
      <c r="N18" s="74">
        <v>600</v>
      </c>
      <c r="O18" s="74">
        <v>600</v>
      </c>
      <c r="P18" s="53">
        <f>SUM(D18:O18)</f>
        <v>1800</v>
      </c>
      <c r="Q18" s="74">
        <v>600</v>
      </c>
      <c r="R18" s="74">
        <v>600</v>
      </c>
      <c r="S18" s="74">
        <v>600</v>
      </c>
      <c r="T18" s="74">
        <v>600</v>
      </c>
      <c r="U18" s="74">
        <v>600</v>
      </c>
      <c r="V18" s="74">
        <v>600</v>
      </c>
      <c r="W18" s="74">
        <v>600</v>
      </c>
      <c r="X18" s="74">
        <v>600</v>
      </c>
      <c r="Y18" s="74">
        <v>600</v>
      </c>
      <c r="Z18" s="74">
        <v>600</v>
      </c>
      <c r="AA18" s="74">
        <v>600</v>
      </c>
      <c r="AB18" s="74">
        <v>600</v>
      </c>
      <c r="AC18" s="53">
        <f>SUM(Q18:AB18)</f>
        <v>7200</v>
      </c>
      <c r="AD18" s="74">
        <v>0</v>
      </c>
      <c r="AE18" s="74">
        <v>0</v>
      </c>
      <c r="AF18" s="74">
        <v>0</v>
      </c>
      <c r="AG18" s="74">
        <v>0</v>
      </c>
      <c r="AH18" s="74">
        <v>0</v>
      </c>
      <c r="AI18" s="74">
        <v>0</v>
      </c>
      <c r="AJ18" s="74">
        <v>0</v>
      </c>
      <c r="AK18" s="74">
        <v>0</v>
      </c>
      <c r="AL18" s="74">
        <v>0</v>
      </c>
      <c r="AM18" s="74">
        <v>0</v>
      </c>
      <c r="AN18" s="74">
        <v>0</v>
      </c>
      <c r="AO18" s="74">
        <v>0</v>
      </c>
      <c r="AP18" s="53">
        <f>SUM(AD18:AO18)</f>
        <v>0</v>
      </c>
      <c r="AQ18" s="74"/>
      <c r="AR18" s="74"/>
      <c r="AS18" s="74"/>
      <c r="AT18" s="74"/>
      <c r="AU18" s="74"/>
      <c r="AV18" s="74"/>
      <c r="AW18" s="74"/>
      <c r="AX18" s="74"/>
      <c r="AY18" s="74"/>
      <c r="AZ18" s="74"/>
      <c r="BA18" s="74"/>
      <c r="BB18" s="74"/>
      <c r="BC18" s="53">
        <f>SUM(AQ18:BB18)</f>
        <v>0</v>
      </c>
    </row>
    <row r="19" spans="2:55" ht="13.15" x14ac:dyDescent="0.4">
      <c r="C19" t="s">
        <v>6</v>
      </c>
      <c r="D19" s="74">
        <v>0</v>
      </c>
      <c r="E19" s="74">
        <v>0</v>
      </c>
      <c r="F19" s="74">
        <v>0</v>
      </c>
      <c r="G19" s="74">
        <v>0</v>
      </c>
      <c r="H19" s="74">
        <v>0</v>
      </c>
      <c r="I19" s="74">
        <v>0</v>
      </c>
      <c r="J19" s="74">
        <v>0</v>
      </c>
      <c r="K19" s="74">
        <v>0</v>
      </c>
      <c r="L19" s="74">
        <v>0</v>
      </c>
      <c r="M19" s="74">
        <v>50</v>
      </c>
      <c r="N19" s="74">
        <v>50</v>
      </c>
      <c r="O19" s="74">
        <v>50</v>
      </c>
      <c r="P19" s="53">
        <f>SUM(D19:O19)</f>
        <v>150</v>
      </c>
      <c r="Q19" s="74">
        <v>50</v>
      </c>
      <c r="R19" s="74">
        <v>50</v>
      </c>
      <c r="S19" s="74">
        <v>50</v>
      </c>
      <c r="T19" s="74">
        <v>50</v>
      </c>
      <c r="U19" s="74">
        <v>50</v>
      </c>
      <c r="V19" s="74">
        <v>50</v>
      </c>
      <c r="W19" s="74">
        <v>50</v>
      </c>
      <c r="X19" s="74">
        <v>50</v>
      </c>
      <c r="Y19" s="74">
        <v>50</v>
      </c>
      <c r="Z19" s="74">
        <v>50</v>
      </c>
      <c r="AA19" s="74">
        <v>50</v>
      </c>
      <c r="AB19" s="74">
        <v>50</v>
      </c>
      <c r="AC19" s="53">
        <f>SUM(Q19:AB19)</f>
        <v>600</v>
      </c>
      <c r="AD19" s="74">
        <v>0</v>
      </c>
      <c r="AE19" s="74">
        <v>0</v>
      </c>
      <c r="AF19" s="74">
        <v>0</v>
      </c>
      <c r="AG19" s="74">
        <v>0</v>
      </c>
      <c r="AH19" s="74">
        <v>0</v>
      </c>
      <c r="AI19" s="74">
        <v>0</v>
      </c>
      <c r="AJ19" s="74">
        <v>0</v>
      </c>
      <c r="AK19" s="74">
        <v>0</v>
      </c>
      <c r="AL19" s="74">
        <v>0</v>
      </c>
      <c r="AM19" s="74">
        <v>0</v>
      </c>
      <c r="AN19" s="74">
        <v>0</v>
      </c>
      <c r="AO19" s="74">
        <v>0</v>
      </c>
      <c r="AP19" s="53">
        <f>SUM(AD19:AO19)</f>
        <v>0</v>
      </c>
      <c r="AQ19" s="74"/>
      <c r="AR19" s="74"/>
      <c r="AS19" s="74"/>
      <c r="AT19" s="74"/>
      <c r="AU19" s="74"/>
      <c r="AV19" s="74"/>
      <c r="AW19" s="74"/>
      <c r="AX19" s="74"/>
      <c r="AY19" s="74"/>
      <c r="AZ19" s="74"/>
      <c r="BA19" s="74"/>
      <c r="BB19" s="74"/>
      <c r="BC19" s="53">
        <f>SUM(AQ19:BB19)</f>
        <v>0</v>
      </c>
    </row>
    <row r="20" spans="2:55" ht="13.15" x14ac:dyDescent="0.4">
      <c r="B20" t="s">
        <v>7</v>
      </c>
      <c r="D20" s="74">
        <v>0</v>
      </c>
      <c r="E20" s="74">
        <v>0</v>
      </c>
      <c r="F20" s="74">
        <v>0</v>
      </c>
      <c r="G20" s="74">
        <v>0</v>
      </c>
      <c r="H20" s="74">
        <v>0</v>
      </c>
      <c r="I20" s="74">
        <v>0</v>
      </c>
      <c r="J20" s="74">
        <v>0</v>
      </c>
      <c r="K20" s="74">
        <v>0</v>
      </c>
      <c r="L20" s="74">
        <v>0</v>
      </c>
      <c r="M20" s="74">
        <v>100</v>
      </c>
      <c r="N20" s="74">
        <v>100</v>
      </c>
      <c r="O20" s="74">
        <v>100</v>
      </c>
      <c r="P20" s="53">
        <f>SUM(D20:O20)</f>
        <v>300</v>
      </c>
      <c r="Q20" s="74">
        <v>100</v>
      </c>
      <c r="R20" s="74">
        <v>100</v>
      </c>
      <c r="S20" s="74">
        <v>100</v>
      </c>
      <c r="T20" s="74">
        <v>100</v>
      </c>
      <c r="U20" s="74">
        <v>100</v>
      </c>
      <c r="V20" s="74">
        <v>100</v>
      </c>
      <c r="W20" s="74">
        <v>100</v>
      </c>
      <c r="X20" s="74">
        <v>100</v>
      </c>
      <c r="Y20" s="74">
        <v>100</v>
      </c>
      <c r="Z20" s="74">
        <v>100</v>
      </c>
      <c r="AA20" s="74">
        <v>100</v>
      </c>
      <c r="AB20" s="74">
        <v>100</v>
      </c>
      <c r="AC20" s="53">
        <f>SUM(Q20:AB20)</f>
        <v>1200</v>
      </c>
      <c r="AD20" s="74">
        <v>0</v>
      </c>
      <c r="AE20" s="74">
        <v>0</v>
      </c>
      <c r="AF20" s="74">
        <v>0</v>
      </c>
      <c r="AG20" s="74">
        <v>0</v>
      </c>
      <c r="AH20" s="74">
        <v>0</v>
      </c>
      <c r="AI20" s="74">
        <v>0</v>
      </c>
      <c r="AJ20" s="74">
        <v>0</v>
      </c>
      <c r="AK20" s="74">
        <v>0</v>
      </c>
      <c r="AL20" s="74">
        <v>0</v>
      </c>
      <c r="AM20" s="74">
        <v>0</v>
      </c>
      <c r="AN20" s="74">
        <v>0</v>
      </c>
      <c r="AO20" s="74">
        <v>0</v>
      </c>
      <c r="AP20" s="53">
        <f>SUM(AD20:AO20)</f>
        <v>0</v>
      </c>
      <c r="AQ20" s="74"/>
      <c r="AR20" s="74"/>
      <c r="AS20" s="74"/>
      <c r="AT20" s="74"/>
      <c r="AU20" s="74"/>
      <c r="AV20" s="74"/>
      <c r="AW20" s="74"/>
      <c r="AX20" s="74"/>
      <c r="AY20" s="74"/>
      <c r="AZ20" s="74"/>
      <c r="BA20" s="74"/>
      <c r="BB20" s="74"/>
      <c r="BC20" s="53">
        <f>SUM(AQ20:BB20)</f>
        <v>0</v>
      </c>
    </row>
    <row r="21" spans="2:55" x14ac:dyDescent="0.35">
      <c r="B21" t="s">
        <v>8</v>
      </c>
      <c r="D21" s="10"/>
      <c r="E21" s="10"/>
      <c r="F21" s="10"/>
      <c r="G21" s="10"/>
      <c r="H21" s="10"/>
      <c r="I21" s="10"/>
      <c r="J21" s="10"/>
      <c r="K21" s="10"/>
      <c r="L21" s="10"/>
      <c r="M21" s="10"/>
      <c r="N21" s="10"/>
      <c r="O21" s="10"/>
      <c r="P21" s="53"/>
      <c r="Q21" s="10"/>
      <c r="R21" s="10"/>
      <c r="S21" s="10"/>
      <c r="T21" s="10"/>
      <c r="U21" s="10"/>
      <c r="V21" s="10"/>
      <c r="W21" s="10"/>
      <c r="X21" s="10"/>
      <c r="Y21" s="10"/>
      <c r="Z21" s="10"/>
      <c r="AA21" s="10"/>
      <c r="AB21" s="10"/>
      <c r="AC21" s="53"/>
      <c r="AD21" s="10"/>
      <c r="AE21" s="10"/>
      <c r="AF21" s="10"/>
      <c r="AG21" s="10"/>
      <c r="AH21" s="10"/>
      <c r="AI21" s="10"/>
      <c r="AJ21" s="10"/>
      <c r="AK21" s="10"/>
      <c r="AL21" s="10"/>
      <c r="AM21" s="10"/>
      <c r="AN21" s="10"/>
      <c r="AO21" s="10"/>
      <c r="AP21" s="53"/>
      <c r="AQ21" s="10"/>
      <c r="AR21" s="10"/>
      <c r="AS21" s="10"/>
      <c r="AT21" s="10"/>
      <c r="AU21" s="10"/>
      <c r="AV21" s="10"/>
      <c r="AW21" s="10"/>
      <c r="AX21" s="10"/>
      <c r="AY21" s="10"/>
      <c r="AZ21" s="10"/>
      <c r="BA21" s="10"/>
      <c r="BB21" s="10"/>
      <c r="BC21" s="53"/>
    </row>
    <row r="22" spans="2:55" ht="13.15" x14ac:dyDescent="0.4">
      <c r="C22" t="s">
        <v>109</v>
      </c>
      <c r="D22" s="74">
        <v>0</v>
      </c>
      <c r="E22" s="74">
        <v>0</v>
      </c>
      <c r="F22" s="74">
        <v>0</v>
      </c>
      <c r="G22" s="74">
        <v>0</v>
      </c>
      <c r="H22" s="74">
        <v>0</v>
      </c>
      <c r="I22" s="74">
        <v>0</v>
      </c>
      <c r="J22" s="74">
        <v>0</v>
      </c>
      <c r="K22" s="74">
        <v>0</v>
      </c>
      <c r="L22" s="74">
        <v>0</v>
      </c>
      <c r="M22" s="74">
        <v>0</v>
      </c>
      <c r="N22" s="74">
        <v>0</v>
      </c>
      <c r="O22" s="74">
        <v>0</v>
      </c>
      <c r="P22" s="53">
        <f t="shared" ref="P22:P40" si="14">SUM(D22:O22)</f>
        <v>0</v>
      </c>
      <c r="Q22" s="74">
        <v>0</v>
      </c>
      <c r="R22" s="74">
        <v>0</v>
      </c>
      <c r="S22" s="74">
        <v>0</v>
      </c>
      <c r="T22" s="74">
        <v>0</v>
      </c>
      <c r="U22" s="74">
        <v>0</v>
      </c>
      <c r="V22" s="74">
        <v>0</v>
      </c>
      <c r="W22" s="74">
        <v>0</v>
      </c>
      <c r="X22" s="74">
        <v>0</v>
      </c>
      <c r="Y22" s="74">
        <v>0</v>
      </c>
      <c r="Z22" s="74">
        <v>0</v>
      </c>
      <c r="AA22" s="74">
        <v>0</v>
      </c>
      <c r="AB22" s="74">
        <v>0</v>
      </c>
      <c r="AC22" s="53">
        <f t="shared" ref="AC22:AC40" si="15">SUM(Q22:AB22)</f>
        <v>0</v>
      </c>
      <c r="AD22" s="74">
        <v>0</v>
      </c>
      <c r="AE22" s="74">
        <v>0</v>
      </c>
      <c r="AF22" s="74">
        <v>0</v>
      </c>
      <c r="AG22" s="74">
        <v>0</v>
      </c>
      <c r="AH22" s="74">
        <v>0</v>
      </c>
      <c r="AI22" s="74">
        <v>0</v>
      </c>
      <c r="AJ22" s="74">
        <v>0</v>
      </c>
      <c r="AK22" s="74">
        <v>0</v>
      </c>
      <c r="AL22" s="74">
        <v>0</v>
      </c>
      <c r="AM22" s="74">
        <v>0</v>
      </c>
      <c r="AN22" s="74">
        <v>0</v>
      </c>
      <c r="AO22" s="74">
        <v>0</v>
      </c>
      <c r="AP22" s="53">
        <f t="shared" ref="AP22:AP40" si="16">SUM(AD22:AO22)</f>
        <v>0</v>
      </c>
      <c r="AQ22" s="74"/>
      <c r="AR22" s="74"/>
      <c r="AS22" s="74"/>
      <c r="AT22" s="74"/>
      <c r="AU22" s="74"/>
      <c r="AV22" s="74"/>
      <c r="AW22" s="74"/>
      <c r="AX22" s="74"/>
      <c r="AY22" s="74"/>
      <c r="AZ22" s="74"/>
      <c r="BA22" s="74"/>
      <c r="BB22" s="74"/>
      <c r="BC22" s="53">
        <f t="shared" ref="BC22:BC40" si="17">SUM(AQ22:BB22)</f>
        <v>0</v>
      </c>
    </row>
    <row r="23" spans="2:55" ht="13.15" x14ac:dyDescent="0.4">
      <c r="C23" t="s">
        <v>9</v>
      </c>
      <c r="D23" s="74">
        <v>0</v>
      </c>
      <c r="E23" s="74">
        <v>0</v>
      </c>
      <c r="F23" s="74">
        <v>0</v>
      </c>
      <c r="G23" s="74">
        <v>0</v>
      </c>
      <c r="H23" s="74">
        <v>0</v>
      </c>
      <c r="I23" s="74">
        <v>0</v>
      </c>
      <c r="J23" s="74">
        <v>0</v>
      </c>
      <c r="K23" s="74">
        <v>0</v>
      </c>
      <c r="L23" s="74">
        <v>0</v>
      </c>
      <c r="M23" s="74">
        <v>0</v>
      </c>
      <c r="N23" s="74">
        <v>0</v>
      </c>
      <c r="O23" s="74">
        <v>0</v>
      </c>
      <c r="P23" s="53">
        <f t="shared" si="14"/>
        <v>0</v>
      </c>
      <c r="Q23" s="74">
        <v>0</v>
      </c>
      <c r="R23" s="74">
        <v>0</v>
      </c>
      <c r="S23" s="74">
        <v>0</v>
      </c>
      <c r="T23" s="74">
        <v>0</v>
      </c>
      <c r="U23" s="74">
        <v>0</v>
      </c>
      <c r="V23" s="74">
        <v>0</v>
      </c>
      <c r="W23" s="74">
        <v>0</v>
      </c>
      <c r="X23" s="74">
        <v>0</v>
      </c>
      <c r="Y23" s="74">
        <v>0</v>
      </c>
      <c r="Z23" s="74">
        <v>0</v>
      </c>
      <c r="AA23" s="74">
        <v>0</v>
      </c>
      <c r="AB23" s="74">
        <v>0</v>
      </c>
      <c r="AC23" s="53">
        <f t="shared" si="15"/>
        <v>0</v>
      </c>
      <c r="AD23" s="74">
        <v>0</v>
      </c>
      <c r="AE23" s="74">
        <v>0</v>
      </c>
      <c r="AF23" s="74">
        <v>0</v>
      </c>
      <c r="AG23" s="74">
        <v>0</v>
      </c>
      <c r="AH23" s="74">
        <v>0</v>
      </c>
      <c r="AI23" s="74">
        <v>0</v>
      </c>
      <c r="AJ23" s="74">
        <v>0</v>
      </c>
      <c r="AK23" s="74">
        <v>0</v>
      </c>
      <c r="AL23" s="74">
        <v>0</v>
      </c>
      <c r="AM23" s="74">
        <v>0</v>
      </c>
      <c r="AN23" s="74">
        <v>0</v>
      </c>
      <c r="AO23" s="74">
        <v>0</v>
      </c>
      <c r="AP23" s="53">
        <f t="shared" si="16"/>
        <v>0</v>
      </c>
      <c r="AQ23" s="74"/>
      <c r="AR23" s="74"/>
      <c r="AS23" s="74"/>
      <c r="AT23" s="74"/>
      <c r="AU23" s="74"/>
      <c r="AV23" s="74"/>
      <c r="AW23" s="74"/>
      <c r="AX23" s="74"/>
      <c r="AY23" s="74"/>
      <c r="AZ23" s="74"/>
      <c r="BA23" s="74"/>
      <c r="BB23" s="74"/>
      <c r="BC23" s="53">
        <f t="shared" si="17"/>
        <v>0</v>
      </c>
    </row>
    <row r="24" spans="2:55" ht="13.15" x14ac:dyDescent="0.4">
      <c r="C24" t="s">
        <v>146</v>
      </c>
      <c r="D24" s="74">
        <v>0</v>
      </c>
      <c r="E24" s="74">
        <v>0</v>
      </c>
      <c r="F24" s="74">
        <v>0</v>
      </c>
      <c r="G24" s="74">
        <v>0</v>
      </c>
      <c r="H24" s="74">
        <v>0</v>
      </c>
      <c r="I24" s="74">
        <v>0</v>
      </c>
      <c r="J24" s="74">
        <v>0</v>
      </c>
      <c r="K24" s="74">
        <v>0</v>
      </c>
      <c r="L24" s="74">
        <v>0</v>
      </c>
      <c r="M24" s="74">
        <v>0</v>
      </c>
      <c r="N24" s="74">
        <v>0</v>
      </c>
      <c r="O24" s="74">
        <v>0</v>
      </c>
      <c r="P24" s="53">
        <f>SUM(D24:O24)</f>
        <v>0</v>
      </c>
      <c r="Q24" s="74">
        <v>0</v>
      </c>
      <c r="R24" s="74">
        <v>0</v>
      </c>
      <c r="S24" s="74">
        <v>0</v>
      </c>
      <c r="T24" s="74">
        <v>0</v>
      </c>
      <c r="U24" s="74">
        <v>0</v>
      </c>
      <c r="V24" s="74">
        <v>0</v>
      </c>
      <c r="W24" s="74">
        <v>0</v>
      </c>
      <c r="X24" s="74">
        <v>0</v>
      </c>
      <c r="Y24" s="74">
        <v>0</v>
      </c>
      <c r="Z24" s="74">
        <v>0</v>
      </c>
      <c r="AA24" s="74">
        <v>0</v>
      </c>
      <c r="AB24" s="74">
        <v>0</v>
      </c>
      <c r="AC24" s="53">
        <f>SUM(Q24:AB24)</f>
        <v>0</v>
      </c>
      <c r="AD24" s="74">
        <v>0</v>
      </c>
      <c r="AE24" s="74">
        <v>0</v>
      </c>
      <c r="AF24" s="74">
        <v>0</v>
      </c>
      <c r="AG24" s="74">
        <v>0</v>
      </c>
      <c r="AH24" s="74">
        <v>0</v>
      </c>
      <c r="AI24" s="74">
        <v>0</v>
      </c>
      <c r="AJ24" s="74">
        <v>0</v>
      </c>
      <c r="AK24" s="74">
        <v>0</v>
      </c>
      <c r="AL24" s="74">
        <v>0</v>
      </c>
      <c r="AM24" s="74">
        <v>0</v>
      </c>
      <c r="AN24" s="74">
        <v>0</v>
      </c>
      <c r="AO24" s="74">
        <v>0</v>
      </c>
      <c r="AP24" s="53">
        <f>SUM(AD24:AO24)</f>
        <v>0</v>
      </c>
      <c r="AQ24" s="74"/>
      <c r="AR24" s="74"/>
      <c r="AS24" s="74"/>
      <c r="AT24" s="74"/>
      <c r="AU24" s="74"/>
      <c r="AV24" s="74"/>
      <c r="AW24" s="74"/>
      <c r="AX24" s="74"/>
      <c r="AY24" s="74"/>
      <c r="AZ24" s="74"/>
      <c r="BA24" s="74"/>
      <c r="BB24" s="74"/>
      <c r="BC24" s="53">
        <f>SUM(AQ24:BB24)</f>
        <v>0</v>
      </c>
    </row>
    <row r="25" spans="2:55" ht="13.15" x14ac:dyDescent="0.4">
      <c r="C25" t="s">
        <v>10</v>
      </c>
      <c r="D25" s="74">
        <v>0</v>
      </c>
      <c r="E25" s="74">
        <v>0</v>
      </c>
      <c r="F25" s="74">
        <v>0</v>
      </c>
      <c r="G25" s="74">
        <v>0</v>
      </c>
      <c r="H25" s="74">
        <v>0</v>
      </c>
      <c r="I25" s="74">
        <v>0</v>
      </c>
      <c r="J25" s="74">
        <v>0</v>
      </c>
      <c r="K25" s="74">
        <v>0</v>
      </c>
      <c r="L25" s="74">
        <v>0</v>
      </c>
      <c r="M25" s="74">
        <v>0</v>
      </c>
      <c r="N25" s="74">
        <v>0</v>
      </c>
      <c r="O25" s="74">
        <v>0</v>
      </c>
      <c r="P25" s="53">
        <f t="shared" si="14"/>
        <v>0</v>
      </c>
      <c r="Q25" s="74">
        <v>0</v>
      </c>
      <c r="R25" s="74">
        <v>0</v>
      </c>
      <c r="S25" s="74">
        <v>0</v>
      </c>
      <c r="T25" s="74">
        <v>0</v>
      </c>
      <c r="U25" s="74">
        <v>0</v>
      </c>
      <c r="V25" s="74">
        <v>0</v>
      </c>
      <c r="W25" s="74">
        <v>0</v>
      </c>
      <c r="X25" s="74">
        <v>0</v>
      </c>
      <c r="Y25" s="74">
        <v>0</v>
      </c>
      <c r="Z25" s="74">
        <v>0</v>
      </c>
      <c r="AA25" s="74">
        <v>0</v>
      </c>
      <c r="AB25" s="74">
        <v>0</v>
      </c>
      <c r="AC25" s="53">
        <f t="shared" si="15"/>
        <v>0</v>
      </c>
      <c r="AD25" s="74">
        <f t="shared" ref="S25:AD25" si="18">AB25*1.05</f>
        <v>0</v>
      </c>
      <c r="AE25" s="74">
        <f t="shared" ref="AE25" si="19">AC25*1.05</f>
        <v>0</v>
      </c>
      <c r="AF25" s="74">
        <f t="shared" ref="AF25" si="20">AD25*1.05</f>
        <v>0</v>
      </c>
      <c r="AG25" s="74">
        <f t="shared" ref="AG25" si="21">AE25*1.05</f>
        <v>0</v>
      </c>
      <c r="AH25" s="74">
        <f t="shared" ref="AH25" si="22">AF25*1.05</f>
        <v>0</v>
      </c>
      <c r="AI25" s="74">
        <f t="shared" ref="AI25" si="23">AG25*1.05</f>
        <v>0</v>
      </c>
      <c r="AJ25" s="74">
        <f t="shared" ref="AJ25" si="24">AH25*1.05</f>
        <v>0</v>
      </c>
      <c r="AK25" s="74">
        <f t="shared" ref="AK25" si="25">AI25*1.05</f>
        <v>0</v>
      </c>
      <c r="AL25" s="74">
        <f t="shared" ref="AL25" si="26">AJ25*1.05</f>
        <v>0</v>
      </c>
      <c r="AM25" s="74">
        <v>0</v>
      </c>
      <c r="AN25" s="74">
        <v>0</v>
      </c>
      <c r="AO25" s="74">
        <v>0</v>
      </c>
      <c r="AP25" s="53">
        <f t="shared" si="16"/>
        <v>0</v>
      </c>
      <c r="AQ25" s="74"/>
      <c r="AR25" s="74"/>
      <c r="AS25" s="74"/>
      <c r="AT25" s="74"/>
      <c r="AU25" s="74"/>
      <c r="AV25" s="74"/>
      <c r="AW25" s="74"/>
      <c r="AX25" s="74"/>
      <c r="AY25" s="74"/>
      <c r="AZ25" s="74"/>
      <c r="BA25" s="74"/>
      <c r="BB25" s="74"/>
      <c r="BC25" s="53">
        <f t="shared" si="17"/>
        <v>0</v>
      </c>
    </row>
    <row r="26" spans="2:55" ht="13.15" x14ac:dyDescent="0.4">
      <c r="B26" t="s">
        <v>11</v>
      </c>
      <c r="D26" s="74">
        <v>0</v>
      </c>
      <c r="E26" s="74">
        <v>0</v>
      </c>
      <c r="F26" s="74">
        <v>0</v>
      </c>
      <c r="G26" s="74">
        <v>0</v>
      </c>
      <c r="H26" s="74">
        <v>0</v>
      </c>
      <c r="I26" s="74">
        <v>0</v>
      </c>
      <c r="J26" s="74">
        <v>0</v>
      </c>
      <c r="K26" s="74">
        <v>0</v>
      </c>
      <c r="L26" s="74">
        <v>0</v>
      </c>
      <c r="M26" s="74">
        <v>300</v>
      </c>
      <c r="N26" s="74">
        <v>300</v>
      </c>
      <c r="O26" s="74">
        <v>300</v>
      </c>
      <c r="P26" s="53">
        <f t="shared" si="14"/>
        <v>900</v>
      </c>
      <c r="Q26" s="74">
        <v>300</v>
      </c>
      <c r="R26" s="74">
        <v>300</v>
      </c>
      <c r="S26" s="74">
        <v>300</v>
      </c>
      <c r="T26" s="74">
        <v>300</v>
      </c>
      <c r="U26" s="74">
        <v>300</v>
      </c>
      <c r="V26" s="74">
        <v>300</v>
      </c>
      <c r="W26" s="74">
        <v>300</v>
      </c>
      <c r="X26" s="74">
        <v>300</v>
      </c>
      <c r="Y26" s="74">
        <v>300</v>
      </c>
      <c r="Z26" s="74">
        <v>300</v>
      </c>
      <c r="AA26" s="74">
        <v>300</v>
      </c>
      <c r="AB26" s="74">
        <v>300</v>
      </c>
      <c r="AC26" s="53">
        <f t="shared" si="15"/>
        <v>3600</v>
      </c>
      <c r="AD26" s="74">
        <v>0</v>
      </c>
      <c r="AE26" s="74">
        <v>0</v>
      </c>
      <c r="AF26" s="74">
        <v>0</v>
      </c>
      <c r="AG26" s="74">
        <v>0</v>
      </c>
      <c r="AH26" s="74">
        <v>0</v>
      </c>
      <c r="AI26" s="74">
        <v>0</v>
      </c>
      <c r="AJ26" s="74">
        <v>0</v>
      </c>
      <c r="AK26" s="74">
        <v>0</v>
      </c>
      <c r="AL26" s="74">
        <v>0</v>
      </c>
      <c r="AM26" s="74">
        <v>0</v>
      </c>
      <c r="AN26" s="74">
        <v>0</v>
      </c>
      <c r="AO26" s="74">
        <v>0</v>
      </c>
      <c r="AP26" s="53">
        <f t="shared" si="16"/>
        <v>0</v>
      </c>
      <c r="AQ26" s="74"/>
      <c r="AR26" s="74"/>
      <c r="AS26" s="74"/>
      <c r="AT26" s="74"/>
      <c r="AU26" s="74"/>
      <c r="AV26" s="74"/>
      <c r="AW26" s="74"/>
      <c r="AX26" s="74"/>
      <c r="AY26" s="74"/>
      <c r="AZ26" s="74"/>
      <c r="BA26" s="74"/>
      <c r="BB26" s="74"/>
      <c r="BC26" s="53">
        <f t="shared" si="17"/>
        <v>0</v>
      </c>
    </row>
    <row r="27" spans="2:55" ht="13.15" x14ac:dyDescent="0.4">
      <c r="B27" t="s">
        <v>12</v>
      </c>
      <c r="D27" s="74">
        <v>0</v>
      </c>
      <c r="E27" s="74">
        <v>0</v>
      </c>
      <c r="F27" s="74">
        <v>0</v>
      </c>
      <c r="G27" s="74">
        <v>0</v>
      </c>
      <c r="H27" s="74">
        <v>0</v>
      </c>
      <c r="I27" s="74">
        <v>0</v>
      </c>
      <c r="J27" s="74">
        <v>0</v>
      </c>
      <c r="K27" s="74">
        <v>0</v>
      </c>
      <c r="L27" s="74">
        <v>0</v>
      </c>
      <c r="M27" s="74">
        <v>100</v>
      </c>
      <c r="N27" s="74">
        <v>100</v>
      </c>
      <c r="O27" s="74">
        <v>100</v>
      </c>
      <c r="P27" s="53">
        <f t="shared" si="14"/>
        <v>300</v>
      </c>
      <c r="Q27" s="74">
        <v>100</v>
      </c>
      <c r="R27" s="74">
        <v>100</v>
      </c>
      <c r="S27" s="74">
        <v>100</v>
      </c>
      <c r="T27" s="74">
        <v>100</v>
      </c>
      <c r="U27" s="74">
        <v>100</v>
      </c>
      <c r="V27" s="74">
        <v>100</v>
      </c>
      <c r="W27" s="74">
        <v>100</v>
      </c>
      <c r="X27" s="74">
        <v>100</v>
      </c>
      <c r="Y27" s="74">
        <v>100</v>
      </c>
      <c r="Z27" s="74">
        <v>100</v>
      </c>
      <c r="AA27" s="74">
        <v>100</v>
      </c>
      <c r="AB27" s="74">
        <v>100</v>
      </c>
      <c r="AC27" s="53">
        <f t="shared" si="15"/>
        <v>1200</v>
      </c>
      <c r="AD27" s="74">
        <v>0</v>
      </c>
      <c r="AE27" s="74">
        <v>0</v>
      </c>
      <c r="AF27" s="74">
        <v>0</v>
      </c>
      <c r="AG27" s="74">
        <v>0</v>
      </c>
      <c r="AH27" s="74">
        <v>0</v>
      </c>
      <c r="AI27" s="74">
        <v>0</v>
      </c>
      <c r="AJ27" s="74">
        <v>0</v>
      </c>
      <c r="AK27" s="74">
        <v>0</v>
      </c>
      <c r="AL27" s="74">
        <v>0</v>
      </c>
      <c r="AM27" s="74">
        <v>0</v>
      </c>
      <c r="AN27" s="74">
        <v>0</v>
      </c>
      <c r="AO27" s="74">
        <v>0</v>
      </c>
      <c r="AP27" s="53">
        <f t="shared" si="16"/>
        <v>0</v>
      </c>
      <c r="AQ27" s="74"/>
      <c r="AR27" s="74"/>
      <c r="AS27" s="74"/>
      <c r="AT27" s="74"/>
      <c r="AU27" s="74"/>
      <c r="AV27" s="74"/>
      <c r="AW27" s="74"/>
      <c r="AX27" s="74"/>
      <c r="AY27" s="74"/>
      <c r="AZ27" s="74"/>
      <c r="BA27" s="74"/>
      <c r="BB27" s="74"/>
      <c r="BC27" s="53">
        <f t="shared" si="17"/>
        <v>0</v>
      </c>
    </row>
    <row r="28" spans="2:55" x14ac:dyDescent="0.35">
      <c r="B28" t="s">
        <v>132</v>
      </c>
      <c r="D28" s="10"/>
      <c r="E28" s="10"/>
      <c r="F28" s="10"/>
      <c r="G28" s="10"/>
      <c r="H28" s="10"/>
      <c r="I28" s="10"/>
      <c r="J28" s="10"/>
      <c r="K28" s="10"/>
      <c r="L28" s="10"/>
      <c r="M28" s="10"/>
      <c r="N28" s="10"/>
      <c r="O28" s="10"/>
      <c r="P28" s="53"/>
      <c r="Q28" s="10"/>
      <c r="R28" s="10"/>
      <c r="S28" s="10"/>
      <c r="T28" s="10"/>
      <c r="U28" s="10"/>
      <c r="V28" s="10"/>
      <c r="W28" s="10"/>
      <c r="X28" s="10"/>
      <c r="Y28" s="10"/>
      <c r="Z28" s="10"/>
      <c r="AA28" s="10"/>
      <c r="AB28" s="10"/>
      <c r="AC28" s="53"/>
      <c r="AD28" s="10"/>
      <c r="AE28" s="10"/>
      <c r="AF28" s="10"/>
      <c r="AG28" s="10"/>
      <c r="AH28" s="10"/>
      <c r="AI28" s="10"/>
      <c r="AJ28" s="10"/>
      <c r="AK28" s="10"/>
      <c r="AL28" s="10"/>
      <c r="AM28" s="10"/>
      <c r="AN28" s="10"/>
      <c r="AO28" s="10"/>
      <c r="AP28" s="53"/>
      <c r="AQ28" s="10"/>
      <c r="AR28" s="10"/>
      <c r="AS28" s="10"/>
      <c r="AT28" s="10"/>
      <c r="AU28" s="10"/>
      <c r="AV28" s="10"/>
      <c r="AW28" s="10"/>
      <c r="AX28" s="10"/>
      <c r="AY28" s="10"/>
      <c r="AZ28" s="10"/>
      <c r="BA28" s="10"/>
      <c r="BB28" s="10"/>
      <c r="BC28" s="53"/>
    </row>
    <row r="29" spans="2:55" ht="13.15" x14ac:dyDescent="0.4">
      <c r="C29" t="s">
        <v>134</v>
      </c>
      <c r="D29" s="74">
        <v>0</v>
      </c>
      <c r="E29" s="74">
        <v>0</v>
      </c>
      <c r="F29" s="74">
        <v>0</v>
      </c>
      <c r="G29" s="74">
        <v>0</v>
      </c>
      <c r="H29" s="74">
        <v>0</v>
      </c>
      <c r="I29" s="74">
        <v>0</v>
      </c>
      <c r="J29" s="74">
        <v>0</v>
      </c>
      <c r="K29" s="74">
        <v>0</v>
      </c>
      <c r="L29" s="74">
        <v>0</v>
      </c>
      <c r="M29" s="74">
        <v>0</v>
      </c>
      <c r="N29" s="74">
        <v>0</v>
      </c>
      <c r="O29" s="74">
        <v>0</v>
      </c>
      <c r="P29" s="53">
        <f>SUM(D29:O29)</f>
        <v>0</v>
      </c>
      <c r="Q29" s="74">
        <v>0</v>
      </c>
      <c r="R29" s="74">
        <v>0</v>
      </c>
      <c r="S29" s="74">
        <v>0</v>
      </c>
      <c r="T29" s="74">
        <v>0</v>
      </c>
      <c r="U29" s="74">
        <v>0</v>
      </c>
      <c r="V29" s="74">
        <v>0</v>
      </c>
      <c r="W29" s="74">
        <v>0</v>
      </c>
      <c r="X29" s="74">
        <v>0</v>
      </c>
      <c r="Y29" s="74">
        <v>0</v>
      </c>
      <c r="Z29" s="74">
        <v>0</v>
      </c>
      <c r="AA29" s="74">
        <v>0</v>
      </c>
      <c r="AB29" s="74">
        <v>0</v>
      </c>
      <c r="AC29" s="53">
        <f>SUM(Q29:AB29)</f>
        <v>0</v>
      </c>
      <c r="AD29" s="74">
        <v>0</v>
      </c>
      <c r="AE29" s="74">
        <v>0</v>
      </c>
      <c r="AF29" s="74">
        <v>0</v>
      </c>
      <c r="AG29" s="74">
        <v>0</v>
      </c>
      <c r="AH29" s="74">
        <v>0</v>
      </c>
      <c r="AI29" s="74">
        <v>0</v>
      </c>
      <c r="AJ29" s="74">
        <v>0</v>
      </c>
      <c r="AK29" s="74">
        <v>0</v>
      </c>
      <c r="AL29" s="74">
        <v>0</v>
      </c>
      <c r="AM29" s="74">
        <v>0</v>
      </c>
      <c r="AN29" s="74">
        <v>0</v>
      </c>
      <c r="AO29" s="74">
        <v>0</v>
      </c>
      <c r="AP29" s="53">
        <f>SUM(AD29:AO29)</f>
        <v>0</v>
      </c>
      <c r="AQ29" s="74"/>
      <c r="AR29" s="74"/>
      <c r="AS29" s="74"/>
      <c r="AT29" s="74"/>
      <c r="AU29" s="74"/>
      <c r="AV29" s="74"/>
      <c r="AW29" s="74"/>
      <c r="AX29" s="74"/>
      <c r="AY29" s="74"/>
      <c r="AZ29" s="74"/>
      <c r="BA29" s="74"/>
      <c r="BB29" s="74"/>
      <c r="BC29" s="53">
        <f>SUM(AQ29:BB29)</f>
        <v>0</v>
      </c>
    </row>
    <row r="30" spans="2:55" ht="13.15" x14ac:dyDescent="0.4">
      <c r="C30" t="s">
        <v>133</v>
      </c>
      <c r="D30" s="74">
        <v>0</v>
      </c>
      <c r="E30" s="74">
        <v>0</v>
      </c>
      <c r="F30" s="74">
        <v>0</v>
      </c>
      <c r="G30" s="74">
        <v>0</v>
      </c>
      <c r="H30" s="74">
        <v>0</v>
      </c>
      <c r="I30" s="74">
        <v>0</v>
      </c>
      <c r="J30" s="74">
        <v>0</v>
      </c>
      <c r="K30" s="74">
        <v>0</v>
      </c>
      <c r="L30" s="74">
        <v>0</v>
      </c>
      <c r="M30" s="74">
        <v>0</v>
      </c>
      <c r="N30" s="74">
        <v>0</v>
      </c>
      <c r="O30" s="74">
        <v>0</v>
      </c>
      <c r="P30" s="53">
        <f>SUM(D30:O30)</f>
        <v>0</v>
      </c>
      <c r="Q30" s="74">
        <v>0</v>
      </c>
      <c r="R30" s="74">
        <v>0</v>
      </c>
      <c r="S30" s="74">
        <v>0</v>
      </c>
      <c r="T30" s="74">
        <v>0</v>
      </c>
      <c r="U30" s="74">
        <v>0</v>
      </c>
      <c r="V30" s="74">
        <v>0</v>
      </c>
      <c r="W30" s="74">
        <v>0</v>
      </c>
      <c r="X30" s="74">
        <v>0</v>
      </c>
      <c r="Y30" s="74">
        <v>0</v>
      </c>
      <c r="Z30" s="74">
        <v>0</v>
      </c>
      <c r="AA30" s="74">
        <v>0</v>
      </c>
      <c r="AB30" s="74">
        <v>0</v>
      </c>
      <c r="AC30" s="53">
        <f>SUM(Q30:AB30)</f>
        <v>0</v>
      </c>
      <c r="AD30" s="74">
        <v>0</v>
      </c>
      <c r="AE30" s="74">
        <v>0</v>
      </c>
      <c r="AF30" s="74">
        <v>0</v>
      </c>
      <c r="AG30" s="74">
        <v>0</v>
      </c>
      <c r="AH30" s="74">
        <v>0</v>
      </c>
      <c r="AI30" s="74">
        <v>0</v>
      </c>
      <c r="AJ30" s="74">
        <v>0</v>
      </c>
      <c r="AK30" s="74">
        <v>0</v>
      </c>
      <c r="AL30" s="74">
        <v>0</v>
      </c>
      <c r="AM30" s="74">
        <v>0</v>
      </c>
      <c r="AN30" s="74">
        <v>0</v>
      </c>
      <c r="AO30" s="74">
        <v>0</v>
      </c>
      <c r="AP30" s="53">
        <f>SUM(AD30:AO30)</f>
        <v>0</v>
      </c>
      <c r="AQ30" s="74"/>
      <c r="AR30" s="74"/>
      <c r="AS30" s="74"/>
      <c r="AT30" s="74"/>
      <c r="AU30" s="74"/>
      <c r="AV30" s="74"/>
      <c r="AW30" s="74"/>
      <c r="AX30" s="74"/>
      <c r="AY30" s="74"/>
      <c r="AZ30" s="74"/>
      <c r="BA30" s="74"/>
      <c r="BB30" s="74"/>
      <c r="BC30" s="53">
        <f>SUM(AQ30:BB30)</f>
        <v>0</v>
      </c>
    </row>
    <row r="31" spans="2:55" ht="13.15" x14ac:dyDescent="0.4">
      <c r="B31" t="s">
        <v>13</v>
      </c>
      <c r="D31" s="74">
        <v>0</v>
      </c>
      <c r="E31" s="74">
        <v>0</v>
      </c>
      <c r="F31" s="74">
        <v>0</v>
      </c>
      <c r="G31" s="74">
        <v>0</v>
      </c>
      <c r="H31" s="74">
        <v>0</v>
      </c>
      <c r="I31" s="74">
        <v>0</v>
      </c>
      <c r="J31" s="74">
        <v>0</v>
      </c>
      <c r="K31" s="74">
        <v>0</v>
      </c>
      <c r="L31" s="74">
        <v>0</v>
      </c>
      <c r="M31" s="74">
        <v>0</v>
      </c>
      <c r="N31" s="74">
        <v>0</v>
      </c>
      <c r="O31" s="74">
        <v>0</v>
      </c>
      <c r="P31" s="53">
        <f t="shared" si="14"/>
        <v>0</v>
      </c>
      <c r="Q31" s="74">
        <v>0</v>
      </c>
      <c r="R31" s="74">
        <v>0</v>
      </c>
      <c r="S31" s="74">
        <v>0</v>
      </c>
      <c r="T31" s="74">
        <v>0</v>
      </c>
      <c r="U31" s="74">
        <v>0</v>
      </c>
      <c r="V31" s="74">
        <v>0</v>
      </c>
      <c r="W31" s="74">
        <v>0</v>
      </c>
      <c r="X31" s="74">
        <v>0</v>
      </c>
      <c r="Y31" s="74">
        <v>0</v>
      </c>
      <c r="Z31" s="74">
        <v>0</v>
      </c>
      <c r="AA31" s="74">
        <v>0</v>
      </c>
      <c r="AB31" s="74">
        <v>0</v>
      </c>
      <c r="AC31" s="53">
        <f t="shared" si="15"/>
        <v>0</v>
      </c>
      <c r="AD31" s="74">
        <v>0</v>
      </c>
      <c r="AE31" s="74">
        <v>0</v>
      </c>
      <c r="AF31" s="74">
        <v>0</v>
      </c>
      <c r="AG31" s="74">
        <v>0</v>
      </c>
      <c r="AH31" s="74">
        <v>0</v>
      </c>
      <c r="AI31" s="74">
        <v>0</v>
      </c>
      <c r="AJ31" s="74">
        <v>0</v>
      </c>
      <c r="AK31" s="74">
        <v>0</v>
      </c>
      <c r="AL31" s="74">
        <v>0</v>
      </c>
      <c r="AM31" s="74">
        <v>0</v>
      </c>
      <c r="AN31" s="74">
        <v>0</v>
      </c>
      <c r="AO31" s="74">
        <v>0</v>
      </c>
      <c r="AP31" s="53">
        <f t="shared" si="16"/>
        <v>0</v>
      </c>
      <c r="AQ31" s="74"/>
      <c r="AR31" s="74"/>
      <c r="AS31" s="74"/>
      <c r="AT31" s="74"/>
      <c r="AU31" s="74"/>
      <c r="AV31" s="74"/>
      <c r="AW31" s="74"/>
      <c r="AX31" s="74"/>
      <c r="AY31" s="74"/>
      <c r="AZ31" s="74"/>
      <c r="BA31" s="74"/>
      <c r="BB31" s="74"/>
      <c r="BC31" s="53">
        <f t="shared" si="17"/>
        <v>0</v>
      </c>
    </row>
    <row r="32" spans="2:55" ht="13.15" x14ac:dyDescent="0.4">
      <c r="B32" t="s">
        <v>147</v>
      </c>
      <c r="D32" s="74">
        <v>0</v>
      </c>
      <c r="E32" s="74">
        <v>0</v>
      </c>
      <c r="F32" s="74">
        <v>0</v>
      </c>
      <c r="G32" s="74">
        <v>0</v>
      </c>
      <c r="H32" s="74">
        <v>0</v>
      </c>
      <c r="I32" s="74">
        <v>0</v>
      </c>
      <c r="J32" s="74">
        <v>0</v>
      </c>
      <c r="K32" s="74">
        <v>0</v>
      </c>
      <c r="L32" s="74">
        <v>0</v>
      </c>
      <c r="M32" s="74">
        <v>0</v>
      </c>
      <c r="N32" s="74">
        <v>0</v>
      </c>
      <c r="O32" s="74">
        <v>0</v>
      </c>
      <c r="P32" s="53">
        <f>SUM(D32:O32)</f>
        <v>0</v>
      </c>
      <c r="Q32" s="74">
        <v>0</v>
      </c>
      <c r="R32" s="74">
        <v>0</v>
      </c>
      <c r="S32" s="74">
        <v>0</v>
      </c>
      <c r="T32" s="74">
        <v>0</v>
      </c>
      <c r="U32" s="74">
        <v>0</v>
      </c>
      <c r="V32" s="74">
        <v>0</v>
      </c>
      <c r="W32" s="74">
        <v>0</v>
      </c>
      <c r="X32" s="74">
        <v>0</v>
      </c>
      <c r="Y32" s="74">
        <v>0</v>
      </c>
      <c r="Z32" s="74">
        <v>0</v>
      </c>
      <c r="AA32" s="74">
        <v>0</v>
      </c>
      <c r="AB32" s="74">
        <v>0</v>
      </c>
      <c r="AC32" s="53">
        <f>SUM(Q32:AB32)</f>
        <v>0</v>
      </c>
      <c r="AD32" s="74">
        <v>0</v>
      </c>
      <c r="AE32" s="74">
        <v>0</v>
      </c>
      <c r="AF32" s="74">
        <v>0</v>
      </c>
      <c r="AG32" s="74">
        <v>0</v>
      </c>
      <c r="AH32" s="74">
        <v>0</v>
      </c>
      <c r="AI32" s="74">
        <v>0</v>
      </c>
      <c r="AJ32" s="74">
        <v>0</v>
      </c>
      <c r="AK32" s="74">
        <v>0</v>
      </c>
      <c r="AL32" s="74">
        <v>0</v>
      </c>
      <c r="AM32" s="74">
        <v>0</v>
      </c>
      <c r="AN32" s="74">
        <v>0</v>
      </c>
      <c r="AO32" s="74">
        <v>0</v>
      </c>
      <c r="AP32" s="53">
        <f>SUM(AD32:AO32)</f>
        <v>0</v>
      </c>
      <c r="AQ32" s="74"/>
      <c r="AR32" s="74"/>
      <c r="AS32" s="74"/>
      <c r="AT32" s="74"/>
      <c r="AU32" s="74"/>
      <c r="AV32" s="74"/>
      <c r="AW32" s="74"/>
      <c r="AX32" s="74"/>
      <c r="AY32" s="74"/>
      <c r="AZ32" s="74"/>
      <c r="BA32" s="74"/>
      <c r="BB32" s="74"/>
      <c r="BC32" s="53">
        <f>SUM(AQ32:BB32)</f>
        <v>0</v>
      </c>
    </row>
    <row r="33" spans="1:55" ht="13.15" x14ac:dyDescent="0.4">
      <c r="B33" t="s">
        <v>14</v>
      </c>
      <c r="D33" s="74">
        <v>0</v>
      </c>
      <c r="E33" s="74">
        <v>0</v>
      </c>
      <c r="F33" s="74">
        <v>0</v>
      </c>
      <c r="G33" s="74">
        <v>0</v>
      </c>
      <c r="H33" s="74">
        <v>0</v>
      </c>
      <c r="I33" s="74">
        <v>0</v>
      </c>
      <c r="J33" s="74">
        <v>0</v>
      </c>
      <c r="K33" s="74">
        <v>0</v>
      </c>
      <c r="L33" s="74">
        <v>0</v>
      </c>
      <c r="M33" s="74">
        <v>40</v>
      </c>
      <c r="N33" s="74">
        <v>40</v>
      </c>
      <c r="O33" s="74">
        <v>40</v>
      </c>
      <c r="P33" s="53">
        <f t="shared" si="14"/>
        <v>120</v>
      </c>
      <c r="Q33" s="74">
        <v>40</v>
      </c>
      <c r="R33" s="74">
        <v>40</v>
      </c>
      <c r="S33" s="74">
        <v>40</v>
      </c>
      <c r="T33" s="74">
        <v>40</v>
      </c>
      <c r="U33" s="74">
        <v>40</v>
      </c>
      <c r="V33" s="74">
        <v>40</v>
      </c>
      <c r="W33" s="74">
        <v>40</v>
      </c>
      <c r="X33" s="74">
        <v>40</v>
      </c>
      <c r="Y33" s="74">
        <v>40</v>
      </c>
      <c r="Z33" s="74">
        <v>40</v>
      </c>
      <c r="AA33" s="74">
        <v>40</v>
      </c>
      <c r="AB33" s="74">
        <v>40</v>
      </c>
      <c r="AC33" s="53">
        <f t="shared" si="15"/>
        <v>480</v>
      </c>
      <c r="AD33" s="74">
        <v>0</v>
      </c>
      <c r="AE33" s="74">
        <v>0</v>
      </c>
      <c r="AF33" s="74">
        <v>0</v>
      </c>
      <c r="AG33" s="74">
        <v>0</v>
      </c>
      <c r="AH33" s="74">
        <v>0</v>
      </c>
      <c r="AI33" s="74">
        <v>0</v>
      </c>
      <c r="AJ33" s="74">
        <v>0</v>
      </c>
      <c r="AK33" s="74">
        <v>0</v>
      </c>
      <c r="AL33" s="74">
        <v>0</v>
      </c>
      <c r="AM33" s="74">
        <v>0</v>
      </c>
      <c r="AN33" s="74">
        <v>0</v>
      </c>
      <c r="AO33" s="74">
        <v>0</v>
      </c>
      <c r="AP33" s="53">
        <f t="shared" si="16"/>
        <v>0</v>
      </c>
      <c r="AQ33" s="74"/>
      <c r="AR33" s="74"/>
      <c r="AS33" s="74"/>
      <c r="AT33" s="74"/>
      <c r="AU33" s="74"/>
      <c r="AV33" s="74"/>
      <c r="AW33" s="74"/>
      <c r="AX33" s="74"/>
      <c r="AY33" s="74"/>
      <c r="AZ33" s="74"/>
      <c r="BA33" s="74"/>
      <c r="BB33" s="74"/>
      <c r="BC33" s="53">
        <f t="shared" si="17"/>
        <v>0</v>
      </c>
    </row>
    <row r="34" spans="1:55" ht="13.15" x14ac:dyDescent="0.4">
      <c r="B34" t="s">
        <v>110</v>
      </c>
      <c r="D34" s="74">
        <v>0</v>
      </c>
      <c r="E34" s="74">
        <v>0</v>
      </c>
      <c r="F34" s="74">
        <v>0</v>
      </c>
      <c r="G34" s="74">
        <v>0</v>
      </c>
      <c r="H34" s="74">
        <v>0</v>
      </c>
      <c r="I34" s="74">
        <v>0</v>
      </c>
      <c r="J34" s="74">
        <v>0</v>
      </c>
      <c r="K34" s="74">
        <v>0</v>
      </c>
      <c r="L34" s="74">
        <v>0</v>
      </c>
      <c r="M34" s="74">
        <v>40</v>
      </c>
      <c r="N34" s="74">
        <v>40</v>
      </c>
      <c r="O34" s="74">
        <v>40</v>
      </c>
      <c r="P34" s="53">
        <f t="shared" si="14"/>
        <v>120</v>
      </c>
      <c r="Q34" s="74">
        <v>40</v>
      </c>
      <c r="R34" s="74">
        <v>40</v>
      </c>
      <c r="S34" s="74">
        <v>40</v>
      </c>
      <c r="T34" s="74">
        <v>40</v>
      </c>
      <c r="U34" s="74">
        <v>40</v>
      </c>
      <c r="V34" s="74">
        <v>40</v>
      </c>
      <c r="W34" s="74">
        <v>40</v>
      </c>
      <c r="X34" s="74">
        <v>40</v>
      </c>
      <c r="Y34" s="74">
        <v>40</v>
      </c>
      <c r="Z34" s="74">
        <v>40</v>
      </c>
      <c r="AA34" s="74">
        <v>40</v>
      </c>
      <c r="AB34" s="74">
        <v>40</v>
      </c>
      <c r="AC34" s="53">
        <f t="shared" si="15"/>
        <v>480</v>
      </c>
      <c r="AD34" s="74">
        <v>0</v>
      </c>
      <c r="AE34" s="74">
        <v>0</v>
      </c>
      <c r="AF34" s="74">
        <v>0</v>
      </c>
      <c r="AG34" s="74">
        <v>0</v>
      </c>
      <c r="AH34" s="74">
        <v>0</v>
      </c>
      <c r="AI34" s="74">
        <v>0</v>
      </c>
      <c r="AJ34" s="74">
        <v>0</v>
      </c>
      <c r="AK34" s="74">
        <v>0</v>
      </c>
      <c r="AL34" s="74">
        <v>0</v>
      </c>
      <c r="AM34" s="74">
        <v>0</v>
      </c>
      <c r="AN34" s="74">
        <v>0</v>
      </c>
      <c r="AO34" s="74">
        <v>0</v>
      </c>
      <c r="AP34" s="53">
        <f t="shared" si="16"/>
        <v>0</v>
      </c>
      <c r="AQ34" s="74"/>
      <c r="AR34" s="74"/>
      <c r="AS34" s="74"/>
      <c r="AT34" s="74"/>
      <c r="AU34" s="74"/>
      <c r="AV34" s="74"/>
      <c r="AW34" s="74"/>
      <c r="AX34" s="74"/>
      <c r="AY34" s="74"/>
      <c r="AZ34" s="74"/>
      <c r="BA34" s="74"/>
      <c r="BB34" s="74"/>
      <c r="BC34" s="53">
        <f t="shared" si="17"/>
        <v>0</v>
      </c>
    </row>
    <row r="35" spans="1:55" ht="13.15" x14ac:dyDescent="0.4">
      <c r="B35" t="s">
        <v>15</v>
      </c>
      <c r="D35" s="74">
        <v>0</v>
      </c>
      <c r="E35" s="74">
        <v>0</v>
      </c>
      <c r="F35" s="74">
        <v>0</v>
      </c>
      <c r="G35" s="74">
        <v>0</v>
      </c>
      <c r="H35" s="74">
        <v>0</v>
      </c>
      <c r="I35" s="74">
        <v>0</v>
      </c>
      <c r="J35" s="74">
        <v>0</v>
      </c>
      <c r="K35" s="74">
        <v>0</v>
      </c>
      <c r="L35" s="74">
        <v>0</v>
      </c>
      <c r="M35" s="74">
        <v>15</v>
      </c>
      <c r="N35" s="74">
        <v>15</v>
      </c>
      <c r="O35" s="74">
        <v>15</v>
      </c>
      <c r="P35" s="53">
        <f t="shared" si="14"/>
        <v>45</v>
      </c>
      <c r="Q35" s="74">
        <v>15</v>
      </c>
      <c r="R35" s="74">
        <v>15</v>
      </c>
      <c r="S35" s="74">
        <v>15</v>
      </c>
      <c r="T35" s="74">
        <v>15</v>
      </c>
      <c r="U35" s="74">
        <v>15</v>
      </c>
      <c r="V35" s="74">
        <v>15</v>
      </c>
      <c r="W35" s="74">
        <v>15</v>
      </c>
      <c r="X35" s="74">
        <v>15</v>
      </c>
      <c r="Y35" s="74">
        <v>15</v>
      </c>
      <c r="Z35" s="74">
        <v>15</v>
      </c>
      <c r="AA35" s="74">
        <v>15</v>
      </c>
      <c r="AB35" s="74">
        <v>15</v>
      </c>
      <c r="AC35" s="53">
        <f t="shared" si="15"/>
        <v>180</v>
      </c>
      <c r="AD35" s="74">
        <v>0</v>
      </c>
      <c r="AE35" s="74">
        <v>0</v>
      </c>
      <c r="AF35" s="74">
        <v>0</v>
      </c>
      <c r="AG35" s="74">
        <v>0</v>
      </c>
      <c r="AH35" s="74">
        <v>0</v>
      </c>
      <c r="AI35" s="74">
        <v>0</v>
      </c>
      <c r="AJ35" s="74">
        <v>0</v>
      </c>
      <c r="AK35" s="74">
        <v>0</v>
      </c>
      <c r="AL35" s="74">
        <v>0</v>
      </c>
      <c r="AM35" s="74">
        <v>0</v>
      </c>
      <c r="AN35" s="74">
        <v>0</v>
      </c>
      <c r="AO35" s="74">
        <v>0</v>
      </c>
      <c r="AP35" s="53">
        <f t="shared" si="16"/>
        <v>0</v>
      </c>
      <c r="AQ35" s="74"/>
      <c r="AR35" s="74"/>
      <c r="AS35" s="74"/>
      <c r="AT35" s="74"/>
      <c r="AU35" s="74"/>
      <c r="AV35" s="74"/>
      <c r="AW35" s="74"/>
      <c r="AX35" s="74"/>
      <c r="AY35" s="74"/>
      <c r="AZ35" s="74"/>
      <c r="BA35" s="74"/>
      <c r="BB35" s="74"/>
      <c r="BC35" s="53">
        <f t="shared" si="17"/>
        <v>0</v>
      </c>
    </row>
    <row r="36" spans="1:55" ht="13.15" x14ac:dyDescent="0.4">
      <c r="B36" t="s">
        <v>16</v>
      </c>
      <c r="D36" s="74">
        <v>0</v>
      </c>
      <c r="E36" s="74">
        <v>0</v>
      </c>
      <c r="F36" s="74">
        <v>0</v>
      </c>
      <c r="G36" s="74">
        <v>0</v>
      </c>
      <c r="H36" s="74">
        <v>0</v>
      </c>
      <c r="I36" s="74">
        <v>0</v>
      </c>
      <c r="J36" s="74">
        <v>0</v>
      </c>
      <c r="K36" s="74">
        <v>0</v>
      </c>
      <c r="L36" s="74">
        <v>0</v>
      </c>
      <c r="M36" s="74">
        <v>30</v>
      </c>
      <c r="N36" s="74">
        <v>30</v>
      </c>
      <c r="O36" s="74">
        <v>30</v>
      </c>
      <c r="P36" s="53">
        <f t="shared" si="14"/>
        <v>90</v>
      </c>
      <c r="Q36" s="74">
        <v>30</v>
      </c>
      <c r="R36" s="74">
        <v>30</v>
      </c>
      <c r="S36" s="74">
        <v>30</v>
      </c>
      <c r="T36" s="74">
        <v>30</v>
      </c>
      <c r="U36" s="74">
        <v>30</v>
      </c>
      <c r="V36" s="74">
        <v>30</v>
      </c>
      <c r="W36" s="74">
        <v>30</v>
      </c>
      <c r="X36" s="74">
        <v>30</v>
      </c>
      <c r="Y36" s="74">
        <v>30</v>
      </c>
      <c r="Z36" s="74">
        <v>30</v>
      </c>
      <c r="AA36" s="74">
        <v>30</v>
      </c>
      <c r="AB36" s="74">
        <v>30</v>
      </c>
      <c r="AC36" s="53">
        <f t="shared" si="15"/>
        <v>360</v>
      </c>
      <c r="AD36" s="74">
        <v>0</v>
      </c>
      <c r="AE36" s="74">
        <v>0</v>
      </c>
      <c r="AF36" s="74">
        <v>0</v>
      </c>
      <c r="AG36" s="74">
        <v>0</v>
      </c>
      <c r="AH36" s="74">
        <v>0</v>
      </c>
      <c r="AI36" s="74">
        <v>0</v>
      </c>
      <c r="AJ36" s="74">
        <v>0</v>
      </c>
      <c r="AK36" s="74">
        <v>0</v>
      </c>
      <c r="AL36" s="74">
        <v>0</v>
      </c>
      <c r="AM36" s="74">
        <v>0</v>
      </c>
      <c r="AN36" s="74">
        <v>0</v>
      </c>
      <c r="AO36" s="74">
        <v>0</v>
      </c>
      <c r="AP36" s="53">
        <f t="shared" si="16"/>
        <v>0</v>
      </c>
      <c r="AQ36" s="74"/>
      <c r="AR36" s="74"/>
      <c r="AS36" s="74"/>
      <c r="AT36" s="74"/>
      <c r="AU36" s="74"/>
      <c r="AV36" s="74"/>
      <c r="AW36" s="74"/>
      <c r="AX36" s="74"/>
      <c r="AY36" s="74"/>
      <c r="AZ36" s="74"/>
      <c r="BA36" s="74"/>
      <c r="BB36" s="74"/>
      <c r="BC36" s="53">
        <f t="shared" si="17"/>
        <v>0</v>
      </c>
    </row>
    <row r="37" spans="1:55" ht="13.15" x14ac:dyDescent="0.4">
      <c r="B37" t="s">
        <v>17</v>
      </c>
      <c r="D37" s="74">
        <v>0</v>
      </c>
      <c r="E37" s="74">
        <v>0</v>
      </c>
      <c r="F37" s="74">
        <v>0</v>
      </c>
      <c r="G37" s="74">
        <v>0</v>
      </c>
      <c r="H37" s="74">
        <v>0</v>
      </c>
      <c r="I37" s="74">
        <v>0</v>
      </c>
      <c r="J37" s="74">
        <v>0</v>
      </c>
      <c r="K37" s="74">
        <v>0</v>
      </c>
      <c r="L37" s="74">
        <v>0</v>
      </c>
      <c r="M37" s="74">
        <v>10</v>
      </c>
      <c r="N37" s="74">
        <v>10</v>
      </c>
      <c r="O37" s="74">
        <v>10</v>
      </c>
      <c r="P37" s="53">
        <f t="shared" si="14"/>
        <v>30</v>
      </c>
      <c r="Q37" s="74">
        <v>10</v>
      </c>
      <c r="R37" s="74">
        <v>10</v>
      </c>
      <c r="S37" s="74">
        <v>10</v>
      </c>
      <c r="T37" s="74">
        <v>10</v>
      </c>
      <c r="U37" s="74">
        <v>10</v>
      </c>
      <c r="V37" s="74">
        <v>10</v>
      </c>
      <c r="W37" s="74">
        <v>10</v>
      </c>
      <c r="X37" s="74">
        <v>10</v>
      </c>
      <c r="Y37" s="74">
        <v>10</v>
      </c>
      <c r="Z37" s="74">
        <v>10</v>
      </c>
      <c r="AA37" s="74">
        <v>10</v>
      </c>
      <c r="AB37" s="74">
        <v>10</v>
      </c>
      <c r="AC37" s="53">
        <f t="shared" si="15"/>
        <v>120</v>
      </c>
      <c r="AD37" s="74">
        <v>0</v>
      </c>
      <c r="AE37" s="74">
        <v>0</v>
      </c>
      <c r="AF37" s="74">
        <v>0</v>
      </c>
      <c r="AG37" s="74">
        <v>0</v>
      </c>
      <c r="AH37" s="74">
        <v>0</v>
      </c>
      <c r="AI37" s="74">
        <v>0</v>
      </c>
      <c r="AJ37" s="74">
        <v>0</v>
      </c>
      <c r="AK37" s="74">
        <v>0</v>
      </c>
      <c r="AL37" s="74">
        <v>0</v>
      </c>
      <c r="AM37" s="74">
        <v>0</v>
      </c>
      <c r="AN37" s="74">
        <v>0</v>
      </c>
      <c r="AO37" s="74">
        <v>0</v>
      </c>
      <c r="AP37" s="53">
        <f t="shared" si="16"/>
        <v>0</v>
      </c>
      <c r="AQ37" s="74"/>
      <c r="AR37" s="74"/>
      <c r="AS37" s="74"/>
      <c r="AT37" s="74"/>
      <c r="AU37" s="74"/>
      <c r="AV37" s="74"/>
      <c r="AW37" s="74"/>
      <c r="AX37" s="74"/>
      <c r="AY37" s="74"/>
      <c r="AZ37" s="74"/>
      <c r="BA37" s="74"/>
      <c r="BB37" s="74"/>
      <c r="BC37" s="53">
        <f t="shared" si="17"/>
        <v>0</v>
      </c>
    </row>
    <row r="38" spans="1:55" ht="13.15" x14ac:dyDescent="0.4">
      <c r="B38" t="s">
        <v>18</v>
      </c>
      <c r="D38" s="74">
        <v>0</v>
      </c>
      <c r="E38" s="74">
        <v>0</v>
      </c>
      <c r="F38" s="74">
        <v>0</v>
      </c>
      <c r="G38" s="74">
        <v>0</v>
      </c>
      <c r="H38" s="74">
        <v>0</v>
      </c>
      <c r="I38" s="74">
        <v>0</v>
      </c>
      <c r="J38" s="74">
        <v>0</v>
      </c>
      <c r="K38" s="74">
        <v>0</v>
      </c>
      <c r="L38" s="74">
        <v>0</v>
      </c>
      <c r="M38" s="74">
        <v>20</v>
      </c>
      <c r="N38" s="74">
        <v>20</v>
      </c>
      <c r="O38" s="74">
        <v>20</v>
      </c>
      <c r="P38" s="53">
        <f t="shared" si="14"/>
        <v>60</v>
      </c>
      <c r="Q38" s="74">
        <v>20</v>
      </c>
      <c r="R38" s="74">
        <v>20</v>
      </c>
      <c r="S38" s="74">
        <v>20</v>
      </c>
      <c r="T38" s="74">
        <v>20</v>
      </c>
      <c r="U38" s="74">
        <v>20</v>
      </c>
      <c r="V38" s="74">
        <v>20</v>
      </c>
      <c r="W38" s="74">
        <v>20</v>
      </c>
      <c r="X38" s="74">
        <v>20</v>
      </c>
      <c r="Y38" s="74">
        <v>20</v>
      </c>
      <c r="Z38" s="74">
        <v>20</v>
      </c>
      <c r="AA38" s="74">
        <v>20</v>
      </c>
      <c r="AB38" s="74">
        <v>20</v>
      </c>
      <c r="AC38" s="53">
        <f t="shared" si="15"/>
        <v>240</v>
      </c>
      <c r="AD38" s="74">
        <v>0</v>
      </c>
      <c r="AE38" s="74">
        <v>0</v>
      </c>
      <c r="AF38" s="74">
        <v>0</v>
      </c>
      <c r="AG38" s="74">
        <v>0</v>
      </c>
      <c r="AH38" s="74">
        <v>0</v>
      </c>
      <c r="AI38" s="74">
        <v>0</v>
      </c>
      <c r="AJ38" s="74">
        <v>0</v>
      </c>
      <c r="AK38" s="74">
        <v>0</v>
      </c>
      <c r="AL38" s="74">
        <v>0</v>
      </c>
      <c r="AM38" s="74">
        <v>0</v>
      </c>
      <c r="AN38" s="74">
        <v>0</v>
      </c>
      <c r="AO38" s="74">
        <v>0</v>
      </c>
      <c r="AP38" s="53">
        <f t="shared" si="16"/>
        <v>0</v>
      </c>
      <c r="AQ38" s="74"/>
      <c r="AR38" s="74"/>
      <c r="AS38" s="74"/>
      <c r="AT38" s="74"/>
      <c r="AU38" s="74"/>
      <c r="AV38" s="74"/>
      <c r="AW38" s="74"/>
      <c r="AX38" s="74"/>
      <c r="AY38" s="74"/>
      <c r="AZ38" s="74"/>
      <c r="BA38" s="74"/>
      <c r="BB38" s="74"/>
      <c r="BC38" s="53">
        <f t="shared" si="17"/>
        <v>0</v>
      </c>
    </row>
    <row r="39" spans="1:55" ht="13.15" x14ac:dyDescent="0.4">
      <c r="B39" t="s">
        <v>19</v>
      </c>
      <c r="D39" s="74">
        <v>0</v>
      </c>
      <c r="E39" s="74">
        <v>0</v>
      </c>
      <c r="F39" s="74">
        <v>0</v>
      </c>
      <c r="G39" s="74">
        <v>0</v>
      </c>
      <c r="H39" s="74">
        <v>0</v>
      </c>
      <c r="I39" s="74">
        <v>0</v>
      </c>
      <c r="J39" s="74">
        <v>0</v>
      </c>
      <c r="K39" s="74">
        <v>0</v>
      </c>
      <c r="L39" s="74">
        <v>0</v>
      </c>
      <c r="M39" s="74">
        <v>0</v>
      </c>
      <c r="N39" s="74">
        <v>0</v>
      </c>
      <c r="O39" s="74">
        <v>0</v>
      </c>
      <c r="P39" s="53">
        <f t="shared" si="14"/>
        <v>0</v>
      </c>
      <c r="Q39" s="74">
        <v>0</v>
      </c>
      <c r="R39" s="74">
        <v>0</v>
      </c>
      <c r="S39" s="74">
        <v>0</v>
      </c>
      <c r="T39" s="74">
        <v>0</v>
      </c>
      <c r="U39" s="74">
        <v>0</v>
      </c>
      <c r="V39" s="74">
        <v>0</v>
      </c>
      <c r="W39" s="74">
        <v>0</v>
      </c>
      <c r="X39" s="74">
        <v>0</v>
      </c>
      <c r="Y39" s="74">
        <v>0</v>
      </c>
      <c r="Z39" s="74">
        <v>0</v>
      </c>
      <c r="AA39" s="74">
        <v>0</v>
      </c>
      <c r="AB39" s="74">
        <v>0</v>
      </c>
      <c r="AC39" s="53">
        <f t="shared" si="15"/>
        <v>0</v>
      </c>
      <c r="AD39" s="74">
        <v>0</v>
      </c>
      <c r="AE39" s="74">
        <v>0</v>
      </c>
      <c r="AF39" s="74">
        <v>0</v>
      </c>
      <c r="AG39" s="74">
        <v>0</v>
      </c>
      <c r="AH39" s="74">
        <v>0</v>
      </c>
      <c r="AI39" s="74">
        <v>0</v>
      </c>
      <c r="AJ39" s="74">
        <v>0</v>
      </c>
      <c r="AK39" s="74">
        <v>0</v>
      </c>
      <c r="AL39" s="74">
        <v>0</v>
      </c>
      <c r="AM39" s="74">
        <v>0</v>
      </c>
      <c r="AN39" s="74">
        <v>0</v>
      </c>
      <c r="AO39" s="74">
        <v>0</v>
      </c>
      <c r="AP39" s="53">
        <f t="shared" si="16"/>
        <v>0</v>
      </c>
      <c r="AQ39" s="74"/>
      <c r="AR39" s="74"/>
      <c r="AS39" s="74"/>
      <c r="AT39" s="74"/>
      <c r="AU39" s="74"/>
      <c r="AV39" s="74"/>
      <c r="AW39" s="74"/>
      <c r="AX39" s="74"/>
      <c r="AY39" s="74"/>
      <c r="AZ39" s="74"/>
      <c r="BA39" s="74"/>
      <c r="BB39" s="74"/>
      <c r="BC39" s="53">
        <f t="shared" si="17"/>
        <v>0</v>
      </c>
    </row>
    <row r="40" spans="1:55" ht="13.15" x14ac:dyDescent="0.4">
      <c r="B40" t="s">
        <v>20</v>
      </c>
      <c r="D40" s="74">
        <v>0</v>
      </c>
      <c r="E40" s="74">
        <v>0</v>
      </c>
      <c r="F40" s="74">
        <v>0</v>
      </c>
      <c r="G40" s="74">
        <v>0</v>
      </c>
      <c r="H40" s="74">
        <v>0</v>
      </c>
      <c r="I40" s="74">
        <v>0</v>
      </c>
      <c r="J40" s="74">
        <v>0</v>
      </c>
      <c r="K40" s="74">
        <v>0</v>
      </c>
      <c r="L40" s="74">
        <v>0</v>
      </c>
      <c r="M40" s="74">
        <v>0</v>
      </c>
      <c r="N40" s="74">
        <v>0</v>
      </c>
      <c r="O40" s="74">
        <v>0</v>
      </c>
      <c r="P40" s="53">
        <f t="shared" si="14"/>
        <v>0</v>
      </c>
      <c r="Q40" s="74">
        <v>0</v>
      </c>
      <c r="R40" s="74">
        <v>0</v>
      </c>
      <c r="S40" s="74">
        <v>0</v>
      </c>
      <c r="T40" s="74">
        <v>0</v>
      </c>
      <c r="U40" s="74">
        <v>0</v>
      </c>
      <c r="V40" s="74">
        <v>0</v>
      </c>
      <c r="W40" s="74">
        <v>0</v>
      </c>
      <c r="X40" s="74">
        <v>0</v>
      </c>
      <c r="Y40" s="74">
        <v>0</v>
      </c>
      <c r="Z40" s="74">
        <v>0</v>
      </c>
      <c r="AA40" s="74">
        <v>0</v>
      </c>
      <c r="AB40" s="74">
        <v>0</v>
      </c>
      <c r="AC40" s="53">
        <f t="shared" si="15"/>
        <v>0</v>
      </c>
      <c r="AD40" s="74">
        <v>0</v>
      </c>
      <c r="AE40" s="74">
        <v>0</v>
      </c>
      <c r="AF40" s="74">
        <v>0</v>
      </c>
      <c r="AG40" s="74">
        <v>0</v>
      </c>
      <c r="AH40" s="74">
        <v>0</v>
      </c>
      <c r="AI40" s="74">
        <v>0</v>
      </c>
      <c r="AJ40" s="74">
        <v>0</v>
      </c>
      <c r="AK40" s="74">
        <v>0</v>
      </c>
      <c r="AL40" s="74">
        <v>0</v>
      </c>
      <c r="AM40" s="74">
        <v>0</v>
      </c>
      <c r="AN40" s="74">
        <v>0</v>
      </c>
      <c r="AO40" s="74">
        <v>0</v>
      </c>
      <c r="AP40" s="53">
        <f t="shared" si="16"/>
        <v>0</v>
      </c>
      <c r="AQ40" s="74"/>
      <c r="AR40" s="74"/>
      <c r="AS40" s="74"/>
      <c r="AT40" s="74"/>
      <c r="AU40" s="74"/>
      <c r="AV40" s="74"/>
      <c r="AW40" s="74"/>
      <c r="AX40" s="74"/>
      <c r="AY40" s="74"/>
      <c r="AZ40" s="74"/>
      <c r="BA40" s="74"/>
      <c r="BB40" s="74"/>
      <c r="BC40" s="53">
        <f t="shared" si="17"/>
        <v>0</v>
      </c>
    </row>
    <row r="41" spans="1:55" x14ac:dyDescent="0.35">
      <c r="B41" t="s">
        <v>21</v>
      </c>
      <c r="D41" s="10"/>
      <c r="E41" s="10"/>
      <c r="F41" s="10"/>
      <c r="G41" s="10"/>
      <c r="H41" s="10"/>
      <c r="I41" s="10"/>
      <c r="J41" s="10"/>
      <c r="K41" s="10"/>
      <c r="L41" s="10"/>
      <c r="M41" s="10"/>
      <c r="N41" s="10"/>
      <c r="O41" s="10"/>
      <c r="P41" s="53"/>
      <c r="Q41" s="10"/>
      <c r="R41" s="10"/>
      <c r="S41" s="10"/>
      <c r="T41" s="10"/>
      <c r="U41" s="10"/>
      <c r="V41" s="10"/>
      <c r="W41" s="10"/>
      <c r="X41" s="10"/>
      <c r="Y41" s="10"/>
      <c r="Z41" s="10"/>
      <c r="AA41" s="10"/>
      <c r="AB41" s="10"/>
      <c r="AC41" s="53"/>
      <c r="AD41" s="10"/>
      <c r="AE41" s="10"/>
      <c r="AF41" s="10"/>
      <c r="AG41" s="10"/>
      <c r="AH41" s="10"/>
      <c r="AI41" s="10"/>
      <c r="AJ41" s="10"/>
      <c r="AK41" s="10"/>
      <c r="AL41" s="10"/>
      <c r="AM41" s="10"/>
      <c r="AN41" s="10"/>
      <c r="AO41" s="10"/>
      <c r="AP41" s="53"/>
      <c r="AQ41" s="10"/>
      <c r="AR41" s="10"/>
      <c r="AS41" s="10"/>
      <c r="AT41" s="10"/>
      <c r="AU41" s="10"/>
      <c r="AV41" s="10"/>
      <c r="AW41" s="10"/>
      <c r="AX41" s="10"/>
      <c r="AY41" s="10"/>
      <c r="AZ41" s="10"/>
      <c r="BA41" s="10"/>
      <c r="BB41" s="10"/>
      <c r="BC41" s="53"/>
    </row>
    <row r="42" spans="1:55" ht="13.15" x14ac:dyDescent="0.4">
      <c r="C42" t="s">
        <v>22</v>
      </c>
      <c r="D42" s="74">
        <v>0</v>
      </c>
      <c r="E42" s="74">
        <v>0</v>
      </c>
      <c r="F42" s="74">
        <v>0</v>
      </c>
      <c r="G42" s="74">
        <v>0</v>
      </c>
      <c r="H42" s="74">
        <v>0</v>
      </c>
      <c r="I42" s="74">
        <v>0</v>
      </c>
      <c r="J42" s="74">
        <v>0</v>
      </c>
      <c r="K42" s="74">
        <v>0</v>
      </c>
      <c r="L42" s="74">
        <v>0</v>
      </c>
      <c r="M42" s="74">
        <v>150</v>
      </c>
      <c r="N42" s="74">
        <v>150</v>
      </c>
      <c r="O42" s="74">
        <v>150</v>
      </c>
      <c r="P42" s="53">
        <f>SUM(D42:O42)</f>
        <v>450</v>
      </c>
      <c r="Q42" s="74">
        <v>150</v>
      </c>
      <c r="R42" s="74">
        <v>150</v>
      </c>
      <c r="S42" s="74">
        <v>150</v>
      </c>
      <c r="T42" s="74">
        <v>150</v>
      </c>
      <c r="U42" s="74">
        <v>150</v>
      </c>
      <c r="V42" s="74">
        <v>150</v>
      </c>
      <c r="W42" s="74">
        <v>150</v>
      </c>
      <c r="X42" s="74">
        <v>150</v>
      </c>
      <c r="Y42" s="74">
        <v>150</v>
      </c>
      <c r="Z42" s="74">
        <v>150</v>
      </c>
      <c r="AA42" s="74">
        <v>150</v>
      </c>
      <c r="AB42" s="74">
        <v>150</v>
      </c>
      <c r="AC42" s="53">
        <f>SUM(Q42:AB42)</f>
        <v>1800</v>
      </c>
      <c r="AD42" s="74">
        <v>0</v>
      </c>
      <c r="AE42" s="74">
        <v>0</v>
      </c>
      <c r="AF42" s="74">
        <v>0</v>
      </c>
      <c r="AG42" s="74">
        <v>0</v>
      </c>
      <c r="AH42" s="74">
        <v>0</v>
      </c>
      <c r="AI42" s="74">
        <v>0</v>
      </c>
      <c r="AJ42" s="74">
        <v>0</v>
      </c>
      <c r="AK42" s="74">
        <v>0</v>
      </c>
      <c r="AL42" s="74">
        <v>0</v>
      </c>
      <c r="AM42" s="74">
        <v>0</v>
      </c>
      <c r="AN42" s="74">
        <v>0</v>
      </c>
      <c r="AO42" s="74">
        <v>0</v>
      </c>
      <c r="AP42" s="53">
        <f>SUM(AD42:AO42)</f>
        <v>0</v>
      </c>
      <c r="AQ42" s="74"/>
      <c r="AR42" s="74"/>
      <c r="AS42" s="74"/>
      <c r="AT42" s="74"/>
      <c r="AU42" s="74"/>
      <c r="AV42" s="74"/>
      <c r="AW42" s="74"/>
      <c r="AX42" s="74"/>
      <c r="AY42" s="74"/>
      <c r="AZ42" s="74"/>
      <c r="BA42" s="74"/>
      <c r="BB42" s="74"/>
      <c r="BC42" s="53">
        <f>SUM(AQ42:BB42)</f>
        <v>0</v>
      </c>
    </row>
    <row r="43" spans="1:55" ht="13.15" x14ac:dyDescent="0.4">
      <c r="C43" t="s">
        <v>23</v>
      </c>
      <c r="D43" s="74">
        <v>0</v>
      </c>
      <c r="E43" s="74">
        <v>0</v>
      </c>
      <c r="F43" s="74">
        <v>0</v>
      </c>
      <c r="G43" s="74">
        <v>0</v>
      </c>
      <c r="H43" s="74">
        <v>0</v>
      </c>
      <c r="I43" s="74">
        <v>0</v>
      </c>
      <c r="J43" s="74">
        <v>0</v>
      </c>
      <c r="K43" s="74">
        <v>0</v>
      </c>
      <c r="L43" s="74">
        <v>0</v>
      </c>
      <c r="M43" s="74">
        <v>0</v>
      </c>
      <c r="N43" s="74">
        <v>0</v>
      </c>
      <c r="O43" s="74">
        <v>0</v>
      </c>
      <c r="P43" s="53">
        <f>SUM(D43:O43)</f>
        <v>0</v>
      </c>
      <c r="Q43" s="74">
        <v>0</v>
      </c>
      <c r="R43" s="74">
        <v>0</v>
      </c>
      <c r="S43" s="74">
        <v>0</v>
      </c>
      <c r="T43" s="74">
        <v>0</v>
      </c>
      <c r="U43" s="74">
        <v>0</v>
      </c>
      <c r="V43" s="74">
        <v>0</v>
      </c>
      <c r="W43" s="74">
        <v>0</v>
      </c>
      <c r="X43" s="74">
        <v>0</v>
      </c>
      <c r="Y43" s="74">
        <v>0</v>
      </c>
      <c r="Z43" s="74">
        <v>0</v>
      </c>
      <c r="AA43" s="74">
        <v>0</v>
      </c>
      <c r="AB43" s="74">
        <v>0</v>
      </c>
      <c r="AC43" s="53">
        <f>SUM(Q43:AB43)</f>
        <v>0</v>
      </c>
      <c r="AD43" s="74">
        <v>0</v>
      </c>
      <c r="AE43" s="74">
        <v>0</v>
      </c>
      <c r="AF43" s="74">
        <v>0</v>
      </c>
      <c r="AG43" s="74">
        <v>0</v>
      </c>
      <c r="AH43" s="74">
        <v>0</v>
      </c>
      <c r="AI43" s="74">
        <v>0</v>
      </c>
      <c r="AJ43" s="74">
        <v>0</v>
      </c>
      <c r="AK43" s="74">
        <v>0</v>
      </c>
      <c r="AL43" s="74">
        <v>0</v>
      </c>
      <c r="AM43" s="74">
        <v>0</v>
      </c>
      <c r="AN43" s="74">
        <v>0</v>
      </c>
      <c r="AO43" s="74">
        <v>0</v>
      </c>
      <c r="AP43" s="53">
        <f>SUM(AD43:AO43)</f>
        <v>0</v>
      </c>
      <c r="AQ43" s="74"/>
      <c r="AR43" s="74"/>
      <c r="AS43" s="74"/>
      <c r="AT43" s="74"/>
      <c r="AU43" s="74"/>
      <c r="AV43" s="74"/>
      <c r="AW43" s="74"/>
      <c r="AX43" s="74"/>
      <c r="AY43" s="74"/>
      <c r="AZ43" s="74"/>
      <c r="BA43" s="74"/>
      <c r="BB43" s="74"/>
      <c r="BC43" s="53">
        <f>SUM(AQ43:BB43)</f>
        <v>0</v>
      </c>
    </row>
    <row r="44" spans="1:55" ht="13.15" x14ac:dyDescent="0.4">
      <c r="C44" t="s">
        <v>24</v>
      </c>
      <c r="D44" s="74">
        <v>0</v>
      </c>
      <c r="E44" s="74">
        <v>0</v>
      </c>
      <c r="F44" s="74">
        <v>0</v>
      </c>
      <c r="G44" s="74">
        <v>0</v>
      </c>
      <c r="H44" s="74">
        <v>0</v>
      </c>
      <c r="I44" s="74">
        <v>0</v>
      </c>
      <c r="J44" s="74">
        <v>0</v>
      </c>
      <c r="K44" s="74">
        <v>0</v>
      </c>
      <c r="L44" s="74">
        <v>0</v>
      </c>
      <c r="M44" s="74">
        <v>0</v>
      </c>
      <c r="N44" s="74">
        <v>0</v>
      </c>
      <c r="O44" s="74">
        <v>0</v>
      </c>
      <c r="P44" s="53">
        <f>SUM(D44:O44)</f>
        <v>0</v>
      </c>
      <c r="Q44" s="74">
        <v>0</v>
      </c>
      <c r="R44" s="74">
        <v>0</v>
      </c>
      <c r="S44" s="74">
        <v>0</v>
      </c>
      <c r="T44" s="74">
        <v>0</v>
      </c>
      <c r="U44" s="74">
        <v>0</v>
      </c>
      <c r="V44" s="74">
        <v>0</v>
      </c>
      <c r="W44" s="74">
        <v>0</v>
      </c>
      <c r="X44" s="74">
        <v>0</v>
      </c>
      <c r="Y44" s="74">
        <v>0</v>
      </c>
      <c r="Z44" s="74">
        <v>0</v>
      </c>
      <c r="AA44" s="74">
        <v>0</v>
      </c>
      <c r="AB44" s="74">
        <v>0</v>
      </c>
      <c r="AC44" s="53">
        <f>SUM(Q44:AB44)</f>
        <v>0</v>
      </c>
      <c r="AD44" s="74">
        <v>0</v>
      </c>
      <c r="AE44" s="74">
        <v>0</v>
      </c>
      <c r="AF44" s="74">
        <v>0</v>
      </c>
      <c r="AG44" s="74">
        <v>0</v>
      </c>
      <c r="AH44" s="74">
        <v>0</v>
      </c>
      <c r="AI44" s="74">
        <v>0</v>
      </c>
      <c r="AJ44" s="74">
        <v>0</v>
      </c>
      <c r="AK44" s="74">
        <v>0</v>
      </c>
      <c r="AL44" s="74">
        <v>0</v>
      </c>
      <c r="AM44" s="74">
        <v>0</v>
      </c>
      <c r="AN44" s="74">
        <v>0</v>
      </c>
      <c r="AO44" s="74">
        <v>0</v>
      </c>
      <c r="AP44" s="53">
        <f>SUM(AD44:AO44)</f>
        <v>0</v>
      </c>
      <c r="AQ44" s="74"/>
      <c r="AR44" s="74"/>
      <c r="AS44" s="74"/>
      <c r="AT44" s="74"/>
      <c r="AU44" s="74"/>
      <c r="AV44" s="74"/>
      <c r="AW44" s="74"/>
      <c r="AX44" s="74"/>
      <c r="AY44" s="74"/>
      <c r="AZ44" s="74"/>
      <c r="BA44" s="74"/>
      <c r="BB44" s="74"/>
      <c r="BC44" s="53">
        <f>SUM(AQ44:BB44)</f>
        <v>0</v>
      </c>
    </row>
    <row r="45" spans="1:55" ht="13.15" x14ac:dyDescent="0.4">
      <c r="B45" t="s">
        <v>25</v>
      </c>
      <c r="D45" s="74">
        <v>0</v>
      </c>
      <c r="E45" s="74">
        <v>0</v>
      </c>
      <c r="F45" s="74">
        <v>0</v>
      </c>
      <c r="G45" s="74">
        <v>0</v>
      </c>
      <c r="H45" s="74">
        <v>0</v>
      </c>
      <c r="I45" s="74">
        <v>0</v>
      </c>
      <c r="J45" s="74">
        <v>0</v>
      </c>
      <c r="K45" s="74">
        <v>0</v>
      </c>
      <c r="L45" s="74">
        <v>0</v>
      </c>
      <c r="M45" s="74">
        <v>20</v>
      </c>
      <c r="N45" s="74">
        <v>20</v>
      </c>
      <c r="O45" s="74">
        <v>20</v>
      </c>
      <c r="P45" s="53">
        <f>SUM(D45:O45)</f>
        <v>60</v>
      </c>
      <c r="Q45" s="74">
        <v>20</v>
      </c>
      <c r="R45" s="74">
        <v>20</v>
      </c>
      <c r="S45" s="74">
        <v>20</v>
      </c>
      <c r="T45" s="74">
        <v>20</v>
      </c>
      <c r="U45" s="74">
        <v>20</v>
      </c>
      <c r="V45" s="74">
        <v>20</v>
      </c>
      <c r="W45" s="74">
        <v>20</v>
      </c>
      <c r="X45" s="74">
        <v>20</v>
      </c>
      <c r="Y45" s="74">
        <v>20</v>
      </c>
      <c r="Z45" s="74">
        <v>20</v>
      </c>
      <c r="AA45" s="74">
        <v>20</v>
      </c>
      <c r="AB45" s="74">
        <v>20</v>
      </c>
      <c r="AC45" s="53">
        <f>SUM(Q45:AB45)</f>
        <v>240</v>
      </c>
      <c r="AD45" s="74">
        <v>0</v>
      </c>
      <c r="AE45" s="74">
        <v>0</v>
      </c>
      <c r="AF45" s="74">
        <v>0</v>
      </c>
      <c r="AG45" s="74">
        <v>0</v>
      </c>
      <c r="AH45" s="74">
        <v>0</v>
      </c>
      <c r="AI45" s="74">
        <v>0</v>
      </c>
      <c r="AJ45" s="74">
        <v>0</v>
      </c>
      <c r="AK45" s="74">
        <v>0</v>
      </c>
      <c r="AL45" s="74">
        <v>0</v>
      </c>
      <c r="AM45" s="74">
        <v>0</v>
      </c>
      <c r="AN45" s="74">
        <v>0</v>
      </c>
      <c r="AO45" s="74">
        <v>0</v>
      </c>
      <c r="AP45" s="53">
        <f>SUM(AD45:AO45)</f>
        <v>0</v>
      </c>
      <c r="AQ45" s="74"/>
      <c r="AR45" s="74"/>
      <c r="AS45" s="74"/>
      <c r="AT45" s="74"/>
      <c r="AU45" s="74"/>
      <c r="AV45" s="74"/>
      <c r="AW45" s="74"/>
      <c r="AX45" s="74"/>
      <c r="AY45" s="74"/>
      <c r="AZ45" s="74"/>
      <c r="BA45" s="74"/>
      <c r="BB45" s="74"/>
      <c r="BC45" s="53">
        <f>SUM(AQ45:BB45)</f>
        <v>0</v>
      </c>
    </row>
    <row r="46" spans="1:55" ht="13.15" x14ac:dyDescent="0.4">
      <c r="B46" t="s">
        <v>26</v>
      </c>
      <c r="D46" s="74"/>
      <c r="E46" s="74"/>
      <c r="F46" s="74"/>
      <c r="G46" s="74"/>
      <c r="H46" s="74"/>
      <c r="I46" s="74"/>
      <c r="J46" s="74"/>
      <c r="K46" s="74">
        <v>0</v>
      </c>
      <c r="L46" s="74">
        <v>0</v>
      </c>
      <c r="M46" s="74">
        <v>0</v>
      </c>
      <c r="N46" s="74">
        <v>0</v>
      </c>
      <c r="O46" s="74">
        <v>0</v>
      </c>
      <c r="P46" s="53">
        <f>SUM(D46:O46)</f>
        <v>0</v>
      </c>
      <c r="Q46" s="74">
        <v>0</v>
      </c>
      <c r="R46" s="74">
        <v>0</v>
      </c>
      <c r="S46" s="74">
        <v>0</v>
      </c>
      <c r="T46" s="74">
        <v>0</v>
      </c>
      <c r="U46" s="74">
        <v>0</v>
      </c>
      <c r="V46" s="74">
        <v>0</v>
      </c>
      <c r="W46" s="74">
        <v>0</v>
      </c>
      <c r="X46" s="74">
        <v>0</v>
      </c>
      <c r="Y46" s="74">
        <v>0</v>
      </c>
      <c r="Z46" s="74">
        <v>0</v>
      </c>
      <c r="AA46" s="74">
        <v>0</v>
      </c>
      <c r="AB46" s="74">
        <v>0</v>
      </c>
      <c r="AC46" s="53">
        <f>SUM(Q46:AB46)</f>
        <v>0</v>
      </c>
      <c r="AD46" s="74">
        <v>0</v>
      </c>
      <c r="AE46" s="74">
        <v>0</v>
      </c>
      <c r="AF46" s="74">
        <v>0</v>
      </c>
      <c r="AG46" s="74">
        <v>0</v>
      </c>
      <c r="AH46" s="74">
        <v>0</v>
      </c>
      <c r="AI46" s="74">
        <v>0</v>
      </c>
      <c r="AJ46" s="74">
        <v>0</v>
      </c>
      <c r="AK46" s="74">
        <v>0</v>
      </c>
      <c r="AL46" s="74">
        <v>0</v>
      </c>
      <c r="AM46" s="74">
        <v>0</v>
      </c>
      <c r="AN46" s="74">
        <v>0</v>
      </c>
      <c r="AO46" s="74">
        <v>0</v>
      </c>
      <c r="AP46" s="53">
        <f>SUM(AD46:AO46)</f>
        <v>0</v>
      </c>
      <c r="AQ46" s="74"/>
      <c r="AR46" s="74"/>
      <c r="AS46" s="74"/>
      <c r="AT46" s="74"/>
      <c r="AU46" s="74"/>
      <c r="AV46" s="74"/>
      <c r="AW46" s="74"/>
      <c r="AX46" s="74"/>
      <c r="AY46" s="74"/>
      <c r="AZ46" s="74"/>
      <c r="BA46" s="74"/>
      <c r="BB46" s="74"/>
      <c r="BC46" s="53">
        <f>SUM(AQ46:BB46)</f>
        <v>0</v>
      </c>
    </row>
    <row r="47" spans="1:55" x14ac:dyDescent="0.35">
      <c r="A47" s="61" t="s">
        <v>27</v>
      </c>
      <c r="B47" s="61"/>
      <c r="C47" s="61"/>
      <c r="D47" s="51">
        <f t="shared" ref="D47:P47" si="27">SUM(D14:D46)</f>
        <v>0</v>
      </c>
      <c r="E47" s="51">
        <f t="shared" si="27"/>
        <v>0</v>
      </c>
      <c r="F47" s="51">
        <f t="shared" si="27"/>
        <v>0</v>
      </c>
      <c r="G47" s="51">
        <f t="shared" si="27"/>
        <v>0</v>
      </c>
      <c r="H47" s="51">
        <f t="shared" si="27"/>
        <v>0</v>
      </c>
      <c r="I47" s="51">
        <f t="shared" si="27"/>
        <v>0</v>
      </c>
      <c r="J47" s="51">
        <f t="shared" si="27"/>
        <v>0</v>
      </c>
      <c r="K47" s="51">
        <f t="shared" si="27"/>
        <v>0</v>
      </c>
      <c r="L47" s="51">
        <f t="shared" si="27"/>
        <v>0</v>
      </c>
      <c r="M47" s="51">
        <f t="shared" si="27"/>
        <v>1475</v>
      </c>
      <c r="N47" s="51">
        <f t="shared" si="27"/>
        <v>1475</v>
      </c>
      <c r="O47" s="51">
        <f t="shared" si="27"/>
        <v>1475</v>
      </c>
      <c r="P47" s="51">
        <f t="shared" si="27"/>
        <v>4425</v>
      </c>
      <c r="Q47" s="51">
        <f t="shared" ref="Q47:AC47" si="28">SUM(Q14:Q46)</f>
        <v>2195</v>
      </c>
      <c r="R47" s="51">
        <f t="shared" si="28"/>
        <v>2195</v>
      </c>
      <c r="S47" s="51">
        <f t="shared" si="28"/>
        <v>2195</v>
      </c>
      <c r="T47" s="51">
        <f t="shared" si="28"/>
        <v>2195</v>
      </c>
      <c r="U47" s="51">
        <f t="shared" si="28"/>
        <v>2195</v>
      </c>
      <c r="V47" s="51">
        <f t="shared" si="28"/>
        <v>2195</v>
      </c>
      <c r="W47" s="51">
        <f t="shared" si="28"/>
        <v>2195</v>
      </c>
      <c r="X47" s="51">
        <f t="shared" si="28"/>
        <v>2195</v>
      </c>
      <c r="Y47" s="51">
        <f t="shared" si="28"/>
        <v>2195</v>
      </c>
      <c r="Z47" s="51">
        <f t="shared" si="28"/>
        <v>2195</v>
      </c>
      <c r="AA47" s="51">
        <f t="shared" si="28"/>
        <v>2195</v>
      </c>
      <c r="AB47" s="51">
        <f t="shared" si="28"/>
        <v>2195</v>
      </c>
      <c r="AC47" s="51">
        <f t="shared" si="28"/>
        <v>26340</v>
      </c>
      <c r="AD47" s="51">
        <f t="shared" ref="AD47:BC47" si="29">SUM(AD14:AD46)</f>
        <v>0</v>
      </c>
      <c r="AE47" s="51">
        <f t="shared" si="29"/>
        <v>0</v>
      </c>
      <c r="AF47" s="51">
        <f t="shared" si="29"/>
        <v>0</v>
      </c>
      <c r="AG47" s="51">
        <f t="shared" si="29"/>
        <v>0</v>
      </c>
      <c r="AH47" s="51">
        <f t="shared" si="29"/>
        <v>0</v>
      </c>
      <c r="AI47" s="51">
        <f t="shared" si="29"/>
        <v>0</v>
      </c>
      <c r="AJ47" s="51">
        <f t="shared" si="29"/>
        <v>0</v>
      </c>
      <c r="AK47" s="51">
        <f t="shared" si="29"/>
        <v>0</v>
      </c>
      <c r="AL47" s="51">
        <f t="shared" si="29"/>
        <v>0</v>
      </c>
      <c r="AM47" s="51">
        <f t="shared" si="29"/>
        <v>0</v>
      </c>
      <c r="AN47" s="51">
        <f t="shared" si="29"/>
        <v>0</v>
      </c>
      <c r="AO47" s="51">
        <f t="shared" si="29"/>
        <v>0</v>
      </c>
      <c r="AP47" s="51">
        <f t="shared" si="29"/>
        <v>0</v>
      </c>
      <c r="AQ47" s="51">
        <f t="shared" si="29"/>
        <v>0</v>
      </c>
      <c r="AR47" s="51">
        <f t="shared" si="29"/>
        <v>0</v>
      </c>
      <c r="AS47" s="51">
        <f t="shared" si="29"/>
        <v>0</v>
      </c>
      <c r="AT47" s="51">
        <f t="shared" si="29"/>
        <v>0</v>
      </c>
      <c r="AU47" s="51">
        <f t="shared" si="29"/>
        <v>0</v>
      </c>
      <c r="AV47" s="51">
        <f t="shared" si="29"/>
        <v>0</v>
      </c>
      <c r="AW47" s="51">
        <f t="shared" si="29"/>
        <v>0</v>
      </c>
      <c r="AX47" s="51">
        <f t="shared" si="29"/>
        <v>0</v>
      </c>
      <c r="AY47" s="51">
        <f t="shared" si="29"/>
        <v>0</v>
      </c>
      <c r="AZ47" s="51">
        <f t="shared" si="29"/>
        <v>0</v>
      </c>
      <c r="BA47" s="51">
        <f t="shared" si="29"/>
        <v>0</v>
      </c>
      <c r="BB47" s="51">
        <f t="shared" si="29"/>
        <v>0</v>
      </c>
      <c r="BC47" s="51">
        <f t="shared" si="29"/>
        <v>0</v>
      </c>
    </row>
    <row r="48" spans="1:55" x14ac:dyDescent="0.35">
      <c r="A48" s="61" t="s">
        <v>28</v>
      </c>
      <c r="B48" s="61"/>
      <c r="C48" s="61"/>
      <c r="D48" s="53">
        <f t="shared" ref="D48:P48" si="30">+D13-D47</f>
        <v>0</v>
      </c>
      <c r="E48" s="53">
        <f t="shared" si="30"/>
        <v>0</v>
      </c>
      <c r="F48" s="53">
        <f t="shared" si="30"/>
        <v>0</v>
      </c>
      <c r="G48" s="53">
        <f t="shared" si="30"/>
        <v>0</v>
      </c>
      <c r="H48" s="53">
        <f t="shared" si="30"/>
        <v>0</v>
      </c>
      <c r="I48" s="53">
        <f t="shared" si="30"/>
        <v>0</v>
      </c>
      <c r="J48" s="53">
        <f t="shared" si="30"/>
        <v>0</v>
      </c>
      <c r="K48" s="53">
        <f t="shared" si="30"/>
        <v>0</v>
      </c>
      <c r="L48" s="53">
        <f t="shared" si="30"/>
        <v>0</v>
      </c>
      <c r="M48" s="53">
        <f t="shared" si="30"/>
        <v>12525</v>
      </c>
      <c r="N48" s="53">
        <f t="shared" si="30"/>
        <v>-1475</v>
      </c>
      <c r="O48" s="53">
        <f t="shared" si="30"/>
        <v>16525</v>
      </c>
      <c r="P48" s="53">
        <f t="shared" si="30"/>
        <v>27575</v>
      </c>
      <c r="Q48" s="53">
        <f t="shared" ref="Q48:AC48" si="31">+Q13-Q47</f>
        <v>-2195</v>
      </c>
      <c r="R48" s="53">
        <f t="shared" si="31"/>
        <v>-2195</v>
      </c>
      <c r="S48" s="53">
        <f t="shared" si="31"/>
        <v>-2195</v>
      </c>
      <c r="T48" s="53">
        <f t="shared" si="31"/>
        <v>-2195</v>
      </c>
      <c r="U48" s="53">
        <f t="shared" si="31"/>
        <v>-2195</v>
      </c>
      <c r="V48" s="53">
        <f t="shared" si="31"/>
        <v>-2195</v>
      </c>
      <c r="W48" s="53">
        <f t="shared" si="31"/>
        <v>-2195</v>
      </c>
      <c r="X48" s="53">
        <f t="shared" si="31"/>
        <v>-2195</v>
      </c>
      <c r="Y48" s="53">
        <f t="shared" si="31"/>
        <v>-2195</v>
      </c>
      <c r="Z48" s="53">
        <f t="shared" si="31"/>
        <v>-2195</v>
      </c>
      <c r="AA48" s="53">
        <f t="shared" si="31"/>
        <v>-2195</v>
      </c>
      <c r="AB48" s="53">
        <f t="shared" si="31"/>
        <v>-2195</v>
      </c>
      <c r="AC48" s="53">
        <f t="shared" si="31"/>
        <v>-26340</v>
      </c>
      <c r="AD48" s="53">
        <f t="shared" ref="AD48:BC48" si="32">+AD13-AD47</f>
        <v>0</v>
      </c>
      <c r="AE48" s="53">
        <f t="shared" si="32"/>
        <v>0</v>
      </c>
      <c r="AF48" s="53">
        <f t="shared" si="32"/>
        <v>0</v>
      </c>
      <c r="AG48" s="53">
        <f t="shared" si="32"/>
        <v>0</v>
      </c>
      <c r="AH48" s="53">
        <f t="shared" si="32"/>
        <v>0</v>
      </c>
      <c r="AI48" s="53">
        <f t="shared" si="32"/>
        <v>0</v>
      </c>
      <c r="AJ48" s="53">
        <f t="shared" si="32"/>
        <v>0</v>
      </c>
      <c r="AK48" s="53">
        <f t="shared" si="32"/>
        <v>0</v>
      </c>
      <c r="AL48" s="53">
        <f t="shared" si="32"/>
        <v>0</v>
      </c>
      <c r="AM48" s="53">
        <f t="shared" si="32"/>
        <v>0</v>
      </c>
      <c r="AN48" s="53">
        <f t="shared" si="32"/>
        <v>0</v>
      </c>
      <c r="AO48" s="53">
        <f t="shared" si="32"/>
        <v>0</v>
      </c>
      <c r="AP48" s="53">
        <f t="shared" si="32"/>
        <v>0</v>
      </c>
      <c r="AQ48" s="53">
        <f t="shared" si="32"/>
        <v>0</v>
      </c>
      <c r="AR48" s="53">
        <f t="shared" si="32"/>
        <v>0</v>
      </c>
      <c r="AS48" s="53">
        <f t="shared" si="32"/>
        <v>0</v>
      </c>
      <c r="AT48" s="53">
        <f t="shared" si="32"/>
        <v>0</v>
      </c>
      <c r="AU48" s="53">
        <f t="shared" si="32"/>
        <v>0</v>
      </c>
      <c r="AV48" s="53">
        <f t="shared" si="32"/>
        <v>0</v>
      </c>
      <c r="AW48" s="53">
        <f t="shared" si="32"/>
        <v>0</v>
      </c>
      <c r="AX48" s="53">
        <f t="shared" si="32"/>
        <v>0</v>
      </c>
      <c r="AY48" s="53">
        <f t="shared" si="32"/>
        <v>0</v>
      </c>
      <c r="AZ48" s="53">
        <f t="shared" si="32"/>
        <v>0</v>
      </c>
      <c r="BA48" s="53">
        <f t="shared" si="32"/>
        <v>0</v>
      </c>
      <c r="BB48" s="53">
        <f t="shared" si="32"/>
        <v>0</v>
      </c>
      <c r="BC48" s="53">
        <f t="shared" si="32"/>
        <v>0</v>
      </c>
    </row>
    <row r="49" spans="1:55" ht="14.65" x14ac:dyDescent="0.4">
      <c r="A49" t="s">
        <v>121</v>
      </c>
      <c r="D49" s="74"/>
      <c r="E49" s="74"/>
      <c r="F49" s="74"/>
      <c r="G49" s="74"/>
      <c r="H49" s="74"/>
      <c r="I49" s="74"/>
      <c r="J49" s="74"/>
      <c r="K49" s="74"/>
      <c r="L49" s="74"/>
      <c r="M49" s="74"/>
      <c r="N49" s="74"/>
      <c r="O49" s="74"/>
      <c r="P49" s="53">
        <f>SUM(D49:O49)</f>
        <v>0</v>
      </c>
      <c r="Q49" s="74"/>
      <c r="R49" s="74"/>
      <c r="S49" s="74"/>
      <c r="T49" s="74"/>
      <c r="U49" s="74"/>
      <c r="V49" s="74"/>
      <c r="W49" s="74"/>
      <c r="X49" s="74"/>
      <c r="Y49" s="74"/>
      <c r="Z49" s="74"/>
      <c r="AA49" s="74"/>
      <c r="AB49" s="74"/>
      <c r="AC49" s="53">
        <f>SUM(Q49:AB49)</f>
        <v>0</v>
      </c>
      <c r="AD49" s="74"/>
      <c r="AE49" s="74"/>
      <c r="AF49" s="74"/>
      <c r="AG49" s="74"/>
      <c r="AH49" s="74"/>
      <c r="AI49" s="74"/>
      <c r="AJ49" s="74"/>
      <c r="AK49" s="74"/>
      <c r="AL49" s="74"/>
      <c r="AM49" s="74"/>
      <c r="AN49" s="74"/>
      <c r="AO49" s="74"/>
      <c r="AP49" s="53">
        <f>SUM(AD49:AO49)</f>
        <v>0</v>
      </c>
      <c r="AQ49" s="74"/>
      <c r="AR49" s="74"/>
      <c r="AS49" s="74"/>
      <c r="AT49" s="74"/>
      <c r="AU49" s="74"/>
      <c r="AV49" s="74"/>
      <c r="AW49" s="74"/>
      <c r="AX49" s="74"/>
      <c r="AY49" s="74"/>
      <c r="AZ49" s="74"/>
      <c r="BA49" s="74"/>
      <c r="BB49" s="74"/>
      <c r="BC49" s="53">
        <f>SUM(AQ49:BB49)</f>
        <v>0</v>
      </c>
    </row>
    <row r="50" spans="1:55" x14ac:dyDescent="0.35">
      <c r="A50" s="61" t="s">
        <v>29</v>
      </c>
      <c r="B50" s="61"/>
      <c r="C50" s="61"/>
      <c r="D50" s="55">
        <f>+D48-D49</f>
        <v>0</v>
      </c>
      <c r="E50" s="55">
        <f t="shared" ref="E50:Q50" si="33">+E48-E49</f>
        <v>0</v>
      </c>
      <c r="F50" s="55">
        <f t="shared" si="33"/>
        <v>0</v>
      </c>
      <c r="G50" s="55">
        <f t="shared" si="33"/>
        <v>0</v>
      </c>
      <c r="H50" s="55">
        <f t="shared" si="33"/>
        <v>0</v>
      </c>
      <c r="I50" s="55">
        <f t="shared" si="33"/>
        <v>0</v>
      </c>
      <c r="J50" s="55">
        <f t="shared" si="33"/>
        <v>0</v>
      </c>
      <c r="K50" s="55">
        <f t="shared" si="33"/>
        <v>0</v>
      </c>
      <c r="L50" s="55">
        <f t="shared" si="33"/>
        <v>0</v>
      </c>
      <c r="M50" s="55">
        <f t="shared" si="33"/>
        <v>12525</v>
      </c>
      <c r="N50" s="55">
        <f t="shared" si="33"/>
        <v>-1475</v>
      </c>
      <c r="O50" s="55">
        <f t="shared" si="33"/>
        <v>16525</v>
      </c>
      <c r="P50" s="55">
        <f t="shared" si="33"/>
        <v>27575</v>
      </c>
      <c r="Q50" s="55">
        <f t="shared" si="33"/>
        <v>-2195</v>
      </c>
      <c r="R50" s="55">
        <f t="shared" ref="R50:AB50" si="34">+R48-R49</f>
        <v>-2195</v>
      </c>
      <c r="S50" s="55">
        <f t="shared" si="34"/>
        <v>-2195</v>
      </c>
      <c r="T50" s="55">
        <f t="shared" si="34"/>
        <v>-2195</v>
      </c>
      <c r="U50" s="55">
        <f t="shared" si="34"/>
        <v>-2195</v>
      </c>
      <c r="V50" s="55">
        <f t="shared" si="34"/>
        <v>-2195</v>
      </c>
      <c r="W50" s="55">
        <f t="shared" si="34"/>
        <v>-2195</v>
      </c>
      <c r="X50" s="55">
        <f t="shared" si="34"/>
        <v>-2195</v>
      </c>
      <c r="Y50" s="55">
        <f t="shared" si="34"/>
        <v>-2195</v>
      </c>
      <c r="Z50" s="55">
        <f t="shared" si="34"/>
        <v>-2195</v>
      </c>
      <c r="AA50" s="55">
        <f t="shared" si="34"/>
        <v>-2195</v>
      </c>
      <c r="AB50" s="55">
        <f t="shared" si="34"/>
        <v>-2195</v>
      </c>
      <c r="AC50" s="55">
        <f t="shared" ref="AC50:BB50" si="35">+AC48-AC49</f>
        <v>-26340</v>
      </c>
      <c r="AD50" s="55">
        <f t="shared" si="35"/>
        <v>0</v>
      </c>
      <c r="AE50" s="55">
        <f t="shared" si="35"/>
        <v>0</v>
      </c>
      <c r="AF50" s="55">
        <f t="shared" si="35"/>
        <v>0</v>
      </c>
      <c r="AG50" s="55">
        <f t="shared" si="35"/>
        <v>0</v>
      </c>
      <c r="AH50" s="55">
        <f t="shared" si="35"/>
        <v>0</v>
      </c>
      <c r="AI50" s="55">
        <f t="shared" si="35"/>
        <v>0</v>
      </c>
      <c r="AJ50" s="55">
        <f t="shared" si="35"/>
        <v>0</v>
      </c>
      <c r="AK50" s="55">
        <f t="shared" si="35"/>
        <v>0</v>
      </c>
      <c r="AL50" s="55">
        <f t="shared" si="35"/>
        <v>0</v>
      </c>
      <c r="AM50" s="55">
        <f t="shared" si="35"/>
        <v>0</v>
      </c>
      <c r="AN50" s="55">
        <f t="shared" si="35"/>
        <v>0</v>
      </c>
      <c r="AO50" s="55">
        <f t="shared" si="35"/>
        <v>0</v>
      </c>
      <c r="AP50" s="55">
        <f>+AP48-AP49</f>
        <v>0</v>
      </c>
      <c r="AQ50" s="55">
        <f>+AQ48-AQ49</f>
        <v>0</v>
      </c>
      <c r="AR50" s="55">
        <f t="shared" si="35"/>
        <v>0</v>
      </c>
      <c r="AS50" s="55">
        <f t="shared" si="35"/>
        <v>0</v>
      </c>
      <c r="AT50" s="55">
        <f t="shared" si="35"/>
        <v>0</v>
      </c>
      <c r="AU50" s="55">
        <f t="shared" si="35"/>
        <v>0</v>
      </c>
      <c r="AV50" s="55">
        <f t="shared" si="35"/>
        <v>0</v>
      </c>
      <c r="AW50" s="55">
        <f t="shared" si="35"/>
        <v>0</v>
      </c>
      <c r="AX50" s="55">
        <f t="shared" si="35"/>
        <v>0</v>
      </c>
      <c r="AY50" s="55">
        <f t="shared" si="35"/>
        <v>0</v>
      </c>
      <c r="AZ50" s="55">
        <f t="shared" si="35"/>
        <v>0</v>
      </c>
      <c r="BA50" s="55">
        <f t="shared" si="35"/>
        <v>0</v>
      </c>
      <c r="BB50" s="55">
        <f t="shared" si="35"/>
        <v>0</v>
      </c>
      <c r="BC50" s="55">
        <f>+BC48-BC49</f>
        <v>0</v>
      </c>
    </row>
    <row r="51" spans="1:55" ht="13.15" x14ac:dyDescent="0.4">
      <c r="A51" t="s">
        <v>30</v>
      </c>
      <c r="D51" s="74"/>
      <c r="E51" s="74"/>
      <c r="F51" s="74"/>
      <c r="G51" s="74"/>
      <c r="H51" s="74"/>
      <c r="I51" s="74"/>
      <c r="J51" s="74"/>
      <c r="K51" s="74"/>
      <c r="L51" s="74"/>
      <c r="M51" s="74"/>
      <c r="N51" s="74"/>
      <c r="O51" s="74"/>
      <c r="P51" s="53">
        <f>SUM(D51:O51)</f>
        <v>0</v>
      </c>
      <c r="Q51" s="74"/>
      <c r="R51" s="74"/>
      <c r="S51" s="74"/>
      <c r="T51" s="74"/>
      <c r="U51" s="74"/>
      <c r="V51" s="74"/>
      <c r="W51" s="74"/>
      <c r="X51" s="74"/>
      <c r="Y51" s="74"/>
      <c r="Z51" s="74"/>
      <c r="AA51" s="74"/>
      <c r="AB51" s="74"/>
      <c r="AC51" s="53">
        <f>SUM(Q51:AB51)</f>
        <v>0</v>
      </c>
      <c r="AD51" s="74"/>
      <c r="AE51" s="74"/>
      <c r="AF51" s="74"/>
      <c r="AG51" s="74"/>
      <c r="AH51" s="74"/>
      <c r="AI51" s="74"/>
      <c r="AJ51" s="74"/>
      <c r="AK51" s="74"/>
      <c r="AL51" s="74"/>
      <c r="AM51" s="74"/>
      <c r="AN51" s="74"/>
      <c r="AO51" s="74"/>
      <c r="AP51" s="53">
        <f>SUM(AD51:AO51)</f>
        <v>0</v>
      </c>
      <c r="AQ51" s="74"/>
      <c r="AR51" s="74"/>
      <c r="AS51" s="74"/>
      <c r="AT51" s="74"/>
      <c r="AU51" s="74"/>
      <c r="AV51" s="74"/>
      <c r="AW51" s="74"/>
      <c r="AX51" s="74"/>
      <c r="AY51" s="74"/>
      <c r="AZ51" s="74"/>
      <c r="BA51" s="74"/>
      <c r="BB51" s="74"/>
      <c r="BC51" s="53">
        <f>SUM(AQ51:BB51)</f>
        <v>0</v>
      </c>
    </row>
    <row r="52" spans="1:55" ht="13.15" thickBot="1" x14ac:dyDescent="0.4">
      <c r="A52" s="61" t="s">
        <v>31</v>
      </c>
      <c r="B52" s="61"/>
      <c r="C52" s="61"/>
      <c r="D52" s="57">
        <f>+D50-D51</f>
        <v>0</v>
      </c>
      <c r="E52" s="57">
        <f t="shared" ref="E52:BC52" si="36">+E50-E51</f>
        <v>0</v>
      </c>
      <c r="F52" s="57">
        <f t="shared" si="36"/>
        <v>0</v>
      </c>
      <c r="G52" s="57">
        <f t="shared" si="36"/>
        <v>0</v>
      </c>
      <c r="H52" s="57">
        <f t="shared" si="36"/>
        <v>0</v>
      </c>
      <c r="I52" s="57">
        <f t="shared" si="36"/>
        <v>0</v>
      </c>
      <c r="J52" s="57">
        <f t="shared" si="36"/>
        <v>0</v>
      </c>
      <c r="K52" s="57">
        <f t="shared" si="36"/>
        <v>0</v>
      </c>
      <c r="L52" s="57">
        <f t="shared" si="36"/>
        <v>0</v>
      </c>
      <c r="M52" s="57">
        <f t="shared" si="36"/>
        <v>12525</v>
      </c>
      <c r="N52" s="57">
        <f t="shared" si="36"/>
        <v>-1475</v>
      </c>
      <c r="O52" s="57">
        <f t="shared" si="36"/>
        <v>16525</v>
      </c>
      <c r="P52" s="57">
        <f t="shared" si="36"/>
        <v>27575</v>
      </c>
      <c r="Q52" s="57">
        <f t="shared" si="36"/>
        <v>-2195</v>
      </c>
      <c r="R52" s="57">
        <f t="shared" si="36"/>
        <v>-2195</v>
      </c>
      <c r="S52" s="57">
        <f t="shared" si="36"/>
        <v>-2195</v>
      </c>
      <c r="T52" s="57">
        <f t="shared" si="36"/>
        <v>-2195</v>
      </c>
      <c r="U52" s="57">
        <f t="shared" si="36"/>
        <v>-2195</v>
      </c>
      <c r="V52" s="57">
        <f t="shared" si="36"/>
        <v>-2195</v>
      </c>
      <c r="W52" s="57">
        <f t="shared" si="36"/>
        <v>-2195</v>
      </c>
      <c r="X52" s="57">
        <f t="shared" si="36"/>
        <v>-2195</v>
      </c>
      <c r="Y52" s="57">
        <f t="shared" si="36"/>
        <v>-2195</v>
      </c>
      <c r="Z52" s="57">
        <f t="shared" si="36"/>
        <v>-2195</v>
      </c>
      <c r="AA52" s="57">
        <f t="shared" si="36"/>
        <v>-2195</v>
      </c>
      <c r="AB52" s="57">
        <f t="shared" si="36"/>
        <v>-2195</v>
      </c>
      <c r="AC52" s="57">
        <f t="shared" si="36"/>
        <v>-26340</v>
      </c>
      <c r="AD52" s="57">
        <f t="shared" si="36"/>
        <v>0</v>
      </c>
      <c r="AE52" s="57">
        <f t="shared" si="36"/>
        <v>0</v>
      </c>
      <c r="AF52" s="57">
        <f t="shared" si="36"/>
        <v>0</v>
      </c>
      <c r="AG52" s="57">
        <f t="shared" si="36"/>
        <v>0</v>
      </c>
      <c r="AH52" s="57">
        <f t="shared" si="36"/>
        <v>0</v>
      </c>
      <c r="AI52" s="57">
        <f t="shared" si="36"/>
        <v>0</v>
      </c>
      <c r="AJ52" s="57">
        <f t="shared" si="36"/>
        <v>0</v>
      </c>
      <c r="AK52" s="57">
        <f t="shared" si="36"/>
        <v>0</v>
      </c>
      <c r="AL52" s="57">
        <f t="shared" si="36"/>
        <v>0</v>
      </c>
      <c r="AM52" s="57">
        <f t="shared" si="36"/>
        <v>0</v>
      </c>
      <c r="AN52" s="57">
        <f t="shared" si="36"/>
        <v>0</v>
      </c>
      <c r="AO52" s="57">
        <f t="shared" si="36"/>
        <v>0</v>
      </c>
      <c r="AP52" s="57">
        <f t="shared" si="36"/>
        <v>0</v>
      </c>
      <c r="AQ52" s="57">
        <f t="shared" si="36"/>
        <v>0</v>
      </c>
      <c r="AR52" s="57">
        <f t="shared" si="36"/>
        <v>0</v>
      </c>
      <c r="AS52" s="57">
        <f t="shared" si="36"/>
        <v>0</v>
      </c>
      <c r="AT52" s="57">
        <f t="shared" si="36"/>
        <v>0</v>
      </c>
      <c r="AU52" s="57">
        <f t="shared" si="36"/>
        <v>0</v>
      </c>
      <c r="AV52" s="57">
        <f t="shared" si="36"/>
        <v>0</v>
      </c>
      <c r="AW52" s="57">
        <f t="shared" si="36"/>
        <v>0</v>
      </c>
      <c r="AX52" s="57">
        <f t="shared" si="36"/>
        <v>0</v>
      </c>
      <c r="AY52" s="57">
        <f t="shared" si="36"/>
        <v>0</v>
      </c>
      <c r="AZ52" s="57">
        <f t="shared" si="36"/>
        <v>0</v>
      </c>
      <c r="BA52" s="57">
        <f t="shared" si="36"/>
        <v>0</v>
      </c>
      <c r="BB52" s="57">
        <f t="shared" si="36"/>
        <v>0</v>
      </c>
      <c r="BC52" s="57">
        <f t="shared" si="36"/>
        <v>0</v>
      </c>
    </row>
    <row r="53" spans="1:55" ht="7.5" customHeight="1" thickTop="1" x14ac:dyDescent="0.35"/>
    <row r="54" spans="1:55" ht="27" customHeight="1" x14ac:dyDescent="0.35">
      <c r="A54" s="62" t="s">
        <v>32</v>
      </c>
      <c r="B54" s="148" t="s">
        <v>120</v>
      </c>
      <c r="C54" s="148"/>
    </row>
    <row r="55" spans="1:55" ht="14.25" x14ac:dyDescent="0.35">
      <c r="A55" s="63"/>
    </row>
  </sheetData>
  <sheetProtection algorithmName="SHA-512" hashValue="S662gPvaiTN685+TriyZY0vttanMutLWWwsuZ8n+2DcfI775FC77MjQcmbiul5eG6hd4lkkP0vypdqNoyPuh8g==" saltValue="5YGYO0iOTi7vIwlUG1QKyw==" spinCount="100000" sheet="1" formatColumns="0"/>
  <mergeCells count="4">
    <mergeCell ref="A1:C1"/>
    <mergeCell ref="B54:C54"/>
    <mergeCell ref="B3:C3"/>
    <mergeCell ref="B4:C4"/>
  </mergeCells>
  <pageMargins left="0.70866141732283472" right="0.70866141732283472" top="1.1811023622047245" bottom="0.78740157480314965" header="0.31496062992125984" footer="0.31496062992125984"/>
  <pageSetup paperSize="9" scale="61" fitToWidth="4" orientation="landscape" r:id="rId1"/>
  <headerFooter>
    <oddHeader>&amp;L&amp;G&amp;R&amp;"Arial,Fett"&amp;12IHK Köln - das Finanztool&amp;"Arial,Standard"&amp;10
&amp;A</oddHeader>
    <oddFooter>&amp;L&amp;8&amp;Z&amp;F\&amp;A\&amp;D\&amp;T&amp;RRelease 3.10</oddFooter>
  </headerFooter>
  <colBreaks count="3" manualBreakCount="3">
    <brk id="16" max="1048575" man="1"/>
    <brk id="29" max="1048575" man="1"/>
    <brk id="42" max="1048575" man="1"/>
  </colBreaks>
  <legacyDrawing r:id="rId2"/>
  <legacyDrawingHF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C65"/>
  <sheetViews>
    <sheetView zoomScaleNormal="100" workbookViewId="0">
      <pane xSplit="3" ySplit="1" topLeftCell="K40" activePane="bottomRight" state="frozen"/>
      <selection activeCell="A14" sqref="A14"/>
      <selection pane="topRight" activeCell="A14" sqref="A14"/>
      <selection pane="bottomLeft" activeCell="A14" sqref="A14"/>
      <selection pane="bottomRight" activeCell="A65" sqref="A65:XFD65"/>
    </sheetView>
  </sheetViews>
  <sheetFormatPr baseColWidth="10" defaultColWidth="11.3984375" defaultRowHeight="12.75" x14ac:dyDescent="0.35"/>
  <cols>
    <col min="1" max="2" width="2.59765625" customWidth="1"/>
    <col min="3" max="3" width="44.265625" customWidth="1"/>
  </cols>
  <sheetData>
    <row r="1" spans="1:55" s="24" customFormat="1" ht="26.1" customHeight="1" x14ac:dyDescent="0.35">
      <c r="A1" s="23"/>
      <c r="D1" s="25" t="str">
        <f>+'Umsatzplan Dienstleistungen'!G1</f>
        <v>Januar</v>
      </c>
      <c r="E1" s="25" t="str">
        <f>+'Umsatzplan Dienstleistungen'!H1</f>
        <v>Februar</v>
      </c>
      <c r="F1" s="25" t="str">
        <f>+'Umsatzplan Dienstleistungen'!I1</f>
        <v>März</v>
      </c>
      <c r="G1" s="25" t="str">
        <f>+'Umsatzplan Dienstleistungen'!J1</f>
        <v>April</v>
      </c>
      <c r="H1" s="25" t="str">
        <f>+'Umsatzplan Dienstleistungen'!K1</f>
        <v>Mai</v>
      </c>
      <c r="I1" s="25" t="str">
        <f>+'Umsatzplan Dienstleistungen'!L1</f>
        <v>Juni</v>
      </c>
      <c r="J1" s="25" t="str">
        <f>+'Umsatzplan Dienstleistungen'!M1</f>
        <v>Juli</v>
      </c>
      <c r="K1" s="25" t="str">
        <f>+'Umsatzplan Dienstleistungen'!N1</f>
        <v>August</v>
      </c>
      <c r="L1" s="25" t="str">
        <f>+'Umsatzplan Dienstleistungen'!O1</f>
        <v>September</v>
      </c>
      <c r="M1" s="25" t="str">
        <f>+'Umsatzplan Dienstleistungen'!P1</f>
        <v>Oktober</v>
      </c>
      <c r="N1" s="25" t="str">
        <f>+'Umsatzplan Dienstleistungen'!Q1</f>
        <v>November</v>
      </c>
      <c r="O1" s="25" t="str">
        <f>+'Umsatzplan Dienstleistungen'!R1</f>
        <v>Dezember</v>
      </c>
      <c r="P1" s="132">
        <f>+gj</f>
        <v>2026</v>
      </c>
      <c r="Q1" s="25" t="str">
        <f>+'Umsatzplan Dienstleistungen'!T1</f>
        <v>Januar</v>
      </c>
      <c r="R1" s="25" t="str">
        <f>+'Umsatzplan Dienstleistungen'!U1</f>
        <v>Februar</v>
      </c>
      <c r="S1" s="25" t="str">
        <f>+'Umsatzplan Dienstleistungen'!V1</f>
        <v>März</v>
      </c>
      <c r="T1" s="25" t="str">
        <f>+'Umsatzplan Dienstleistungen'!W1</f>
        <v>April</v>
      </c>
      <c r="U1" s="25" t="str">
        <f>+'Umsatzplan Dienstleistungen'!X1</f>
        <v>Mai</v>
      </c>
      <c r="V1" s="25" t="str">
        <f>+'Umsatzplan Dienstleistungen'!Y1</f>
        <v>Juni</v>
      </c>
      <c r="W1" s="25" t="str">
        <f>+'Umsatzplan Dienstleistungen'!Z1</f>
        <v>Juli</v>
      </c>
      <c r="X1" s="25" t="str">
        <f>+'Umsatzplan Dienstleistungen'!AA1</f>
        <v>August</v>
      </c>
      <c r="Y1" s="25" t="str">
        <f>+'Umsatzplan Dienstleistungen'!AB1</f>
        <v>September</v>
      </c>
      <c r="Z1" s="25" t="str">
        <f>+'Umsatzplan Dienstleistungen'!AC1</f>
        <v>Oktober</v>
      </c>
      <c r="AA1" s="25" t="str">
        <f>+'Umsatzplan Dienstleistungen'!AD1</f>
        <v>November</v>
      </c>
      <c r="AB1" s="25" t="str">
        <f>+'Umsatzplan Dienstleistungen'!AE1</f>
        <v>Dezember</v>
      </c>
      <c r="AC1" s="132">
        <f>+gj+1</f>
        <v>2027</v>
      </c>
      <c r="AD1" s="25" t="str">
        <f>+'Umsatzplan Dienstleistungen'!AG1</f>
        <v>Januar</v>
      </c>
      <c r="AE1" s="25" t="str">
        <f>+'Umsatzplan Dienstleistungen'!AH1</f>
        <v>Februar</v>
      </c>
      <c r="AF1" s="25" t="str">
        <f>+'Umsatzplan Dienstleistungen'!AI1</f>
        <v>März</v>
      </c>
      <c r="AG1" s="25" t="str">
        <f>+'Umsatzplan Dienstleistungen'!AJ1</f>
        <v>April</v>
      </c>
      <c r="AH1" s="25" t="str">
        <f>+'Umsatzplan Dienstleistungen'!AK1</f>
        <v>Mai</v>
      </c>
      <c r="AI1" s="25" t="str">
        <f>+'Umsatzplan Dienstleistungen'!AL1</f>
        <v>Juni</v>
      </c>
      <c r="AJ1" s="25" t="str">
        <f>+'Umsatzplan Dienstleistungen'!AM1</f>
        <v>Juli</v>
      </c>
      <c r="AK1" s="25" t="str">
        <f>+'Umsatzplan Dienstleistungen'!AN1</f>
        <v>August</v>
      </c>
      <c r="AL1" s="25" t="str">
        <f>+'Umsatzplan Dienstleistungen'!AO1</f>
        <v>September</v>
      </c>
      <c r="AM1" s="25" t="str">
        <f>+'Umsatzplan Dienstleistungen'!AP1</f>
        <v>Oktober</v>
      </c>
      <c r="AN1" s="25" t="str">
        <f>+'Umsatzplan Dienstleistungen'!AQ1</f>
        <v>November</v>
      </c>
      <c r="AO1" s="25" t="str">
        <f>+'Umsatzplan Dienstleistungen'!AR1</f>
        <v>Dezember</v>
      </c>
      <c r="AP1" s="132">
        <f>+gj+2</f>
        <v>2028</v>
      </c>
      <c r="AQ1" s="25" t="str">
        <f>+'Umsatzplan Dienstleistungen'!AT1</f>
        <v>Januar</v>
      </c>
      <c r="AR1" s="25" t="str">
        <f>+'Umsatzplan Dienstleistungen'!AU1</f>
        <v>Februar</v>
      </c>
      <c r="AS1" s="25" t="str">
        <f>+'Umsatzplan Dienstleistungen'!AV1</f>
        <v>März</v>
      </c>
      <c r="AT1" s="25" t="str">
        <f>+'Umsatzplan Dienstleistungen'!AW1</f>
        <v>April</v>
      </c>
      <c r="AU1" s="25" t="str">
        <f>+'Umsatzplan Dienstleistungen'!AX1</f>
        <v>Mai</v>
      </c>
      <c r="AV1" s="25" t="str">
        <f>+'Umsatzplan Dienstleistungen'!AY1</f>
        <v>Juni</v>
      </c>
      <c r="AW1" s="25" t="str">
        <f>+'Umsatzplan Dienstleistungen'!AZ1</f>
        <v>Juli</v>
      </c>
      <c r="AX1" s="25" t="str">
        <f>+'Umsatzplan Dienstleistungen'!BA1</f>
        <v>August</v>
      </c>
      <c r="AY1" s="25" t="str">
        <f>+'Umsatzplan Dienstleistungen'!BB1</f>
        <v>September</v>
      </c>
      <c r="AZ1" s="25" t="str">
        <f>+'Umsatzplan Dienstleistungen'!BC1</f>
        <v>Oktober</v>
      </c>
      <c r="BA1" s="25" t="str">
        <f>+'Umsatzplan Dienstleistungen'!BD1</f>
        <v>November</v>
      </c>
      <c r="BB1" s="25" t="str">
        <f>+'Umsatzplan Dienstleistungen'!BE1</f>
        <v>Dezember</v>
      </c>
      <c r="BC1" s="132">
        <f>+gj+3</f>
        <v>2029</v>
      </c>
    </row>
    <row r="2" spans="1:55" ht="17.25" customHeight="1" x14ac:dyDescent="0.35">
      <c r="A2" s="8" t="s">
        <v>34</v>
      </c>
      <c r="D2" s="8"/>
      <c r="E2" s="8"/>
      <c r="F2" s="8"/>
      <c r="G2" s="8"/>
      <c r="H2" s="8"/>
      <c r="I2" s="8"/>
      <c r="J2" s="8"/>
      <c r="K2" s="8"/>
      <c r="L2" s="8"/>
      <c r="M2" s="8"/>
      <c r="N2" s="8"/>
      <c r="O2" s="8"/>
      <c r="P2" s="9"/>
      <c r="Q2" s="8"/>
      <c r="R2" s="8"/>
      <c r="S2" s="8"/>
      <c r="T2" s="8"/>
      <c r="U2" s="8"/>
      <c r="V2" s="8"/>
      <c r="W2" s="8"/>
      <c r="X2" s="8"/>
      <c r="Y2" s="8"/>
      <c r="Z2" s="8"/>
      <c r="AA2" s="8"/>
      <c r="AB2" s="8"/>
      <c r="AC2" s="9"/>
      <c r="AD2" s="8"/>
      <c r="AE2" s="8"/>
      <c r="AF2" s="8"/>
      <c r="AG2" s="8"/>
      <c r="AH2" s="8"/>
      <c r="AI2" s="8"/>
      <c r="AJ2" s="8"/>
      <c r="AK2" s="8"/>
      <c r="AL2" s="8"/>
      <c r="AM2" s="8"/>
      <c r="AN2" s="8"/>
      <c r="AO2" s="8"/>
      <c r="AP2" s="9"/>
      <c r="AQ2" s="8"/>
      <c r="AR2" s="8"/>
      <c r="AS2" s="8"/>
      <c r="AT2" s="8"/>
      <c r="AU2" s="8"/>
      <c r="AV2" s="8"/>
      <c r="AW2" s="8"/>
      <c r="AX2" s="8"/>
      <c r="AY2" s="8"/>
      <c r="AZ2" s="8"/>
      <c r="BA2" s="8"/>
      <c r="BB2" s="8"/>
      <c r="BC2" s="9"/>
    </row>
    <row r="3" spans="1:55" x14ac:dyDescent="0.35">
      <c r="A3" s="8"/>
      <c r="B3" t="str">
        <f>IF('Infos vor dem Start'!$A$17="x","Bruttoumsatz Handel/Dienstleistungen","Umsatz Handel/Dienstleistungen")</f>
        <v>Bruttoumsatz Handel/Dienstleistungen</v>
      </c>
      <c r="D3" s="8"/>
      <c r="E3" s="8"/>
      <c r="F3" s="8"/>
      <c r="G3" s="8"/>
      <c r="H3" s="8"/>
      <c r="I3" s="8"/>
      <c r="J3" s="8"/>
      <c r="K3" s="8"/>
      <c r="L3" s="8"/>
      <c r="M3" s="8"/>
      <c r="N3" s="8"/>
      <c r="O3" s="8"/>
      <c r="P3" s="9"/>
      <c r="Q3" s="8"/>
      <c r="R3" s="8"/>
      <c r="S3" s="8"/>
      <c r="T3" s="8"/>
      <c r="U3" s="8"/>
      <c r="V3" s="8"/>
      <c r="W3" s="8"/>
      <c r="X3" s="8"/>
      <c r="Y3" s="8"/>
      <c r="Z3" s="8"/>
      <c r="AA3" s="8"/>
      <c r="AB3" s="8"/>
      <c r="AC3" s="9"/>
      <c r="AD3" s="8"/>
      <c r="AE3" s="8"/>
      <c r="AF3" s="8"/>
      <c r="AG3" s="8"/>
      <c r="AH3" s="8"/>
      <c r="AI3" s="8"/>
      <c r="AJ3" s="8"/>
      <c r="AK3" s="8"/>
      <c r="AL3" s="8"/>
      <c r="AM3" s="8"/>
      <c r="AN3" s="8"/>
      <c r="AO3" s="8"/>
      <c r="AP3" s="9"/>
      <c r="AQ3" s="8"/>
      <c r="AR3" s="8"/>
      <c r="AS3" s="8"/>
      <c r="AT3" s="8"/>
      <c r="AU3" s="8"/>
      <c r="AV3" s="8"/>
      <c r="AW3" s="8"/>
      <c r="AX3" s="8"/>
      <c r="AY3" s="8"/>
      <c r="AZ3" s="8"/>
      <c r="BA3" s="8"/>
      <c r="BB3" s="8"/>
      <c r="BC3" s="9"/>
    </row>
    <row r="4" spans="1:55" x14ac:dyDescent="0.35">
      <c r="A4" s="8"/>
      <c r="C4" t="str">
        <f>IF('Infos vor dem Start'!$A$17="x","Bruttoumsatz 19%","Umsatz")</f>
        <v>Bruttoumsatz 19%</v>
      </c>
      <c r="D4" s="10">
        <f>IF(rechnung="x",0,+Rentabilitätsvorschau!D3*(1+USteins))</f>
        <v>0</v>
      </c>
      <c r="E4" s="10">
        <f>IF(rechnung="x",+Rentabilitätsvorschau!D3*(1+USteins),+Rentabilitätsvorschau!E3*(1+USteins))</f>
        <v>0</v>
      </c>
      <c r="F4" s="10">
        <f>IF(rechnung="x",+Rentabilitätsvorschau!E3*(1+USteins),+Rentabilitätsvorschau!F3*(1+USteins))</f>
        <v>0</v>
      </c>
      <c r="G4" s="10">
        <f>IF(rechnung="x",+Rentabilitätsvorschau!F3*(1+USteins),+Rentabilitätsvorschau!G3*(1+USteins))</f>
        <v>0</v>
      </c>
      <c r="H4" s="10">
        <f>IF(rechnung="x",+Rentabilitätsvorschau!G3*(1+USteins),+Rentabilitätsvorschau!H3*(1+USteins))</f>
        <v>0</v>
      </c>
      <c r="I4" s="10">
        <f>IF(rechnung="x",+Rentabilitätsvorschau!H3*(1+USteins),+Rentabilitätsvorschau!I3*(1+USteins))</f>
        <v>0</v>
      </c>
      <c r="J4" s="10">
        <f>IF(rechnung="x",+Rentabilitätsvorschau!I3*(1+USteins),+Rentabilitätsvorschau!J3*(1+USteins))</f>
        <v>0</v>
      </c>
      <c r="K4" s="10">
        <f>IF(rechnung="x",+Rentabilitätsvorschau!J3*(1+USteins),+Rentabilitätsvorschau!K3*(1+USteins))</f>
        <v>0</v>
      </c>
      <c r="L4" s="10">
        <f>IF(rechnung="x",+Rentabilitätsvorschau!K3*(1+USteins),+Rentabilitätsvorschau!L3*(1+USteins))</f>
        <v>0</v>
      </c>
      <c r="M4" s="10">
        <f>IF(rechnung="x",+Rentabilitätsvorschau!L3*(1+USteins),+Rentabilitätsvorschau!M3*(1+USteins))</f>
        <v>0</v>
      </c>
      <c r="N4" s="10">
        <f>IF(rechnung="x",+Rentabilitätsvorschau!M3*(1+USteins),+Rentabilitätsvorschau!N3*(1+USteins))</f>
        <v>0</v>
      </c>
      <c r="O4" s="10">
        <f>IF(rechnung="x",+Rentabilitätsvorschau!N3*(1+USteins),+Rentabilitätsvorschau!O3*(1+USteins))</f>
        <v>0</v>
      </c>
      <c r="P4" s="26">
        <f t="shared" ref="P4:P11" si="0">SUM(D4:O4)</f>
        <v>0</v>
      </c>
      <c r="Q4" s="10">
        <f>IF(rechnung="x",+Rentabilitätsvorschau!O3*(1+USteins),+Rentabilitätsvorschau!Q3*(1+USt))</f>
        <v>0</v>
      </c>
      <c r="R4" s="10">
        <f>IF(rechnung="x",+Rentabilitätsvorschau!Q3*(1+USt),+Rentabilitätsvorschau!R3*(1+USt))</f>
        <v>0</v>
      </c>
      <c r="S4" s="10">
        <f>IF(rechnung="x",+Rentabilitätsvorschau!R3*(1+USt),+Rentabilitätsvorschau!S3*(1+USt))</f>
        <v>0</v>
      </c>
      <c r="T4" s="10">
        <f>IF(rechnung="x",+Rentabilitätsvorschau!S3*(1+USt),+Rentabilitätsvorschau!T3*(1+USt))</f>
        <v>0</v>
      </c>
      <c r="U4" s="10">
        <f>IF(rechnung="x",+Rentabilitätsvorschau!T3*(1+USt),+Rentabilitätsvorschau!U3*(1+USt))</f>
        <v>0</v>
      </c>
      <c r="V4" s="10">
        <f>IF(rechnung="x",+Rentabilitätsvorschau!U3*(1+USt),+Rentabilitätsvorschau!V3*(1+USt))</f>
        <v>0</v>
      </c>
      <c r="W4" s="10">
        <f>IF(rechnung="x",+Rentabilitätsvorschau!V3*(1+USt),+Rentabilitätsvorschau!W3*(1+USt))</f>
        <v>0</v>
      </c>
      <c r="X4" s="10">
        <f>IF(rechnung="x",+Rentabilitätsvorschau!W3*(1+USt),+Rentabilitätsvorschau!X3*(1+USt))</f>
        <v>0</v>
      </c>
      <c r="Y4" s="10">
        <f>IF(rechnung="x",+Rentabilitätsvorschau!X3*(1+USt),+Rentabilitätsvorschau!Y3*(1+USt))</f>
        <v>0</v>
      </c>
      <c r="Z4" s="10">
        <f>IF(rechnung="x",+Rentabilitätsvorschau!Y3*(1+USt),+Rentabilitätsvorschau!Z3*(1+USt))</f>
        <v>0</v>
      </c>
      <c r="AA4" s="10">
        <f>IF(rechnung="x",+Rentabilitätsvorschau!Z3*(1+USt),+Rentabilitätsvorschau!AA3*(1+USt))</f>
        <v>0</v>
      </c>
      <c r="AB4" s="10">
        <f>IF(rechnung="x",+Rentabilitätsvorschau!AA3*(1+USt),+Rentabilitätsvorschau!AB3*(1+USt))</f>
        <v>0</v>
      </c>
      <c r="AC4" s="26">
        <f t="shared" ref="AC4:AC11" si="1">SUM(Q4:AB4)</f>
        <v>0</v>
      </c>
      <c r="AD4" s="10">
        <f>IF(rechnung="x",+Rentabilitätsvorschau!AB3*(1+USt),+Rentabilitätsvorschau!AD3*(1+USt))</f>
        <v>0</v>
      </c>
      <c r="AE4" s="10">
        <f>IF(rechnung="x",+Rentabilitätsvorschau!AD3*(1+USt),+Rentabilitätsvorschau!AE3*(1+USt))</f>
        <v>0</v>
      </c>
      <c r="AF4" s="10">
        <f>IF(rechnung="x",+Rentabilitätsvorschau!AE3*(1+USt),+Rentabilitätsvorschau!AF3*(1+USt))</f>
        <v>0</v>
      </c>
      <c r="AG4" s="10">
        <f>IF(rechnung="x",+Rentabilitätsvorschau!AF3*(1+USt),+Rentabilitätsvorschau!AG3*(1+USt))</f>
        <v>0</v>
      </c>
      <c r="AH4" s="10">
        <f>IF(rechnung="x",+Rentabilitätsvorschau!AG3*(1+USt),+Rentabilitätsvorschau!AH3*(1+USt))</f>
        <v>0</v>
      </c>
      <c r="AI4" s="10">
        <f>IF(rechnung="x",+Rentabilitätsvorschau!AH3*(1+USt),+Rentabilitätsvorschau!AI3*(1+USt))</f>
        <v>0</v>
      </c>
      <c r="AJ4" s="10">
        <f>IF(rechnung="x",+Rentabilitätsvorschau!AI3*(1+USt),+Rentabilitätsvorschau!AJ3*(1+USt))</f>
        <v>0</v>
      </c>
      <c r="AK4" s="10">
        <f>IF(rechnung="x",+Rentabilitätsvorschau!AJ3*(1+USt),+Rentabilitätsvorschau!AK3*(1+USt))</f>
        <v>0</v>
      </c>
      <c r="AL4" s="10">
        <f>IF(rechnung="x",+Rentabilitätsvorschau!AK3*(1+USt),+Rentabilitätsvorschau!AL3*(1+USt))</f>
        <v>0</v>
      </c>
      <c r="AM4" s="10">
        <f>IF(rechnung="x",+Rentabilitätsvorschau!AL3*(1+USt),+Rentabilitätsvorschau!AM3*(1+USt))</f>
        <v>0</v>
      </c>
      <c r="AN4" s="10">
        <f>IF(rechnung="x",+Rentabilitätsvorschau!AM3*(1+USt),+Rentabilitätsvorschau!AN3*(1+USt))</f>
        <v>0</v>
      </c>
      <c r="AO4" s="10">
        <f>IF(rechnung="x",+Rentabilitätsvorschau!AN3*(1+USt),+Rentabilitätsvorschau!AO3*(1+USt))</f>
        <v>0</v>
      </c>
      <c r="AP4" s="26">
        <f>SUM(AD4:AO4)</f>
        <v>0</v>
      </c>
      <c r="AQ4" s="10">
        <f>IF(rechnung="x",+Rentabilitätsvorschau!AO3*(1+USt),+Rentabilitätsvorschau!AQ3*(1+USt))</f>
        <v>0</v>
      </c>
      <c r="AR4" s="10">
        <f>IF(rechnung="x",+Rentabilitätsvorschau!AQ3*(1+USt),+Rentabilitätsvorschau!AR3*(1+USt))</f>
        <v>0</v>
      </c>
      <c r="AS4" s="10">
        <f>IF(rechnung="x",+Rentabilitätsvorschau!AR3*(1+USt),+Rentabilitätsvorschau!AS3*(1+USt))</f>
        <v>0</v>
      </c>
      <c r="AT4" s="10">
        <f>IF(rechnung="x",+Rentabilitätsvorschau!AS3*(1+USt),+Rentabilitätsvorschau!AT3*(1+USt))</f>
        <v>0</v>
      </c>
      <c r="AU4" s="10">
        <f>IF(rechnung="x",+Rentabilitätsvorschau!AT3*(1+USt),+Rentabilitätsvorschau!AU3*(1+USt))</f>
        <v>0</v>
      </c>
      <c r="AV4" s="10">
        <f>IF(rechnung="x",+Rentabilitätsvorschau!AU3*(1+USt),+Rentabilitätsvorschau!AV3*(1+USt))</f>
        <v>0</v>
      </c>
      <c r="AW4" s="10">
        <f>IF(rechnung="x",+Rentabilitätsvorschau!AV3*(1+USt),+Rentabilitätsvorschau!AW3*(1+USt))</f>
        <v>0</v>
      </c>
      <c r="AX4" s="10">
        <f>IF(rechnung="x",+Rentabilitätsvorschau!AW3*(1+USt),+Rentabilitätsvorschau!AX3*(1+USt))</f>
        <v>0</v>
      </c>
      <c r="AY4" s="10">
        <f>IF(rechnung="x",+Rentabilitätsvorschau!AX3*(1+USt),+Rentabilitätsvorschau!AY3*(1+USt))</f>
        <v>0</v>
      </c>
      <c r="AZ4" s="10">
        <f>IF(rechnung="x",+Rentabilitätsvorschau!AY3*(1+USt),+Rentabilitätsvorschau!AZ3*(1+USt))</f>
        <v>0</v>
      </c>
      <c r="BA4" s="10">
        <f>IF(rechnung="x",+Rentabilitätsvorschau!AZ3*(1+USt),+Rentabilitätsvorschau!BA3*(1+USt))</f>
        <v>0</v>
      </c>
      <c r="BB4" s="10">
        <f>IF(rechnung="x",+Rentabilitätsvorschau!BA3*(1+USt),+Rentabilitätsvorschau!BB3*(1+USt))</f>
        <v>0</v>
      </c>
      <c r="BC4" s="26">
        <f>SUM(AQ4:BB4)</f>
        <v>0</v>
      </c>
    </row>
    <row r="5" spans="1:55" x14ac:dyDescent="0.35">
      <c r="A5" s="8"/>
      <c r="C5" t="str">
        <f>IF('Infos vor dem Start'!$A$17="x","Bruttoumsatz 7%","Umsatz")</f>
        <v>Bruttoumsatz 7%</v>
      </c>
      <c r="D5" s="10">
        <f>IF(rechnung="x",0,+Rentabilitätsvorschau!D4*(1+UStermeins))</f>
        <v>0</v>
      </c>
      <c r="E5" s="10">
        <f>IF(rechnung="x",+Rentabilitätsvorschau!D4*(1+UStermeins),+Rentabilitätsvorschau!E4*(1+UStermeins))</f>
        <v>0</v>
      </c>
      <c r="F5" s="10">
        <f>IF(rechnung="x",+Rentabilitätsvorschau!E4*(1+UStermeins),+Rentabilitätsvorschau!F4*(1+UStermeins))</f>
        <v>0</v>
      </c>
      <c r="G5" s="10">
        <f>IF(rechnung="x",+Rentabilitätsvorschau!F4*(1+UStermeins),+Rentabilitätsvorschau!G4*(1+UStermeins))</f>
        <v>0</v>
      </c>
      <c r="H5" s="10">
        <f>IF(rechnung="x",+Rentabilitätsvorschau!G4*(1+UStermeins),+Rentabilitätsvorschau!H4*(1+UStermeins))</f>
        <v>0</v>
      </c>
      <c r="I5" s="10">
        <f>IF(rechnung="x",+Rentabilitätsvorschau!H4*(1+UStermeins),+Rentabilitätsvorschau!I4*(1+UStermeins))</f>
        <v>0</v>
      </c>
      <c r="J5" s="10">
        <f>IF(rechnung="x",+Rentabilitätsvorschau!I4*(1+UStermeins),+Rentabilitätsvorschau!J4*(1+UStermeins))</f>
        <v>0</v>
      </c>
      <c r="K5" s="10">
        <f>IF(rechnung="x",+Rentabilitätsvorschau!J4*(1+UStermeins),+Rentabilitätsvorschau!K4*(1+UStermeins))</f>
        <v>0</v>
      </c>
      <c r="L5" s="10">
        <f>IF(rechnung="x",+Rentabilitätsvorschau!K4*(1+UStermeins),+Rentabilitätsvorschau!L4*(1+UStermeins))</f>
        <v>0</v>
      </c>
      <c r="M5" s="10">
        <f>IF(rechnung="x",+Rentabilitätsvorschau!L4*(1+UStermeins),+Rentabilitätsvorschau!M4*(1+UStermeins))</f>
        <v>0</v>
      </c>
      <c r="N5" s="10">
        <f>IF(rechnung="x",+Rentabilitätsvorschau!M4*(1+UStermeins),+Rentabilitätsvorschau!N4*(1+UStermeins))</f>
        <v>0</v>
      </c>
      <c r="O5" s="10">
        <f>IF(rechnung="x",+Rentabilitätsvorschau!N4*(1+UStermeins),+Rentabilitätsvorschau!O4*(1+UStermeins))</f>
        <v>0</v>
      </c>
      <c r="P5" s="26">
        <f t="shared" si="0"/>
        <v>0</v>
      </c>
      <c r="Q5" s="10">
        <f>IF(rechnung="x",+Rentabilitätsvorschau!O4*(1+UStermeins),+Rentabilitätsvorschau!Q4*(1+USterm))</f>
        <v>0</v>
      </c>
      <c r="R5" s="10">
        <f>IF(rechnung="x",+Rentabilitätsvorschau!Q4*(1+USterm),+Rentabilitätsvorschau!R4*(1+USterm))</f>
        <v>0</v>
      </c>
      <c r="S5" s="10">
        <f>IF(rechnung="x",+Rentabilitätsvorschau!R4*(1+USterm),+Rentabilitätsvorschau!S4*(1+USterm))</f>
        <v>0</v>
      </c>
      <c r="T5" s="10">
        <f>IF(rechnung="x",+Rentabilitätsvorschau!S4*(1+USterm),+Rentabilitätsvorschau!T4*(1+USterm))</f>
        <v>0</v>
      </c>
      <c r="U5" s="10">
        <f>IF(rechnung="x",+Rentabilitätsvorschau!T4*(1+USterm),+Rentabilitätsvorschau!U4*(1+USterm))</f>
        <v>0</v>
      </c>
      <c r="V5" s="10">
        <f>IF(rechnung="x",+Rentabilitätsvorschau!U4*(1+USterm),+Rentabilitätsvorschau!V4*(1+USterm))</f>
        <v>0</v>
      </c>
      <c r="W5" s="10">
        <f>IF(rechnung="x",+Rentabilitätsvorschau!V4*(1+USterm),+Rentabilitätsvorschau!W4*(1+USterm))</f>
        <v>0</v>
      </c>
      <c r="X5" s="10">
        <f>IF(rechnung="x",+Rentabilitätsvorschau!W4*(1+USterm),+Rentabilitätsvorschau!X4*(1+USterm))</f>
        <v>0</v>
      </c>
      <c r="Y5" s="10">
        <f>IF(rechnung="x",+Rentabilitätsvorschau!X4*(1+USterm),+Rentabilitätsvorschau!Y4*(1+USterm))</f>
        <v>0</v>
      </c>
      <c r="Z5" s="10">
        <f>IF(rechnung="x",+Rentabilitätsvorschau!Y4*(1+USterm),+Rentabilitätsvorschau!Z4*(1+USterm))</f>
        <v>0</v>
      </c>
      <c r="AA5" s="10">
        <f>IF(rechnung="x",+Rentabilitätsvorschau!Z4*(1+USterm),+Rentabilitätsvorschau!AA4*(1+USterm))</f>
        <v>0</v>
      </c>
      <c r="AB5" s="10">
        <f>IF(rechnung="x",+Rentabilitätsvorschau!AA4*(1+USterm),+Rentabilitätsvorschau!AB4*(1+USterm))</f>
        <v>0</v>
      </c>
      <c r="AC5" s="26">
        <f t="shared" si="1"/>
        <v>0</v>
      </c>
      <c r="AD5" s="10">
        <f>IF(rechnung="x",+Rentabilitätsvorschau!AB4*(1+USterm),+Rentabilitätsvorschau!AD4*(1+USterm))</f>
        <v>0</v>
      </c>
      <c r="AE5" s="10">
        <f>IF(rechnung="x",+Rentabilitätsvorschau!AD4*(1+USterm),+Rentabilitätsvorschau!AE4*(1+USterm))</f>
        <v>0</v>
      </c>
      <c r="AF5" s="10">
        <f>IF(rechnung="x",+Rentabilitätsvorschau!AE4*(1+USterm),+Rentabilitätsvorschau!AF4*(1+USterm))</f>
        <v>0</v>
      </c>
      <c r="AG5" s="10">
        <f>IF(rechnung="x",+Rentabilitätsvorschau!AF4*(1+USterm),+Rentabilitätsvorschau!AG4*(1+USterm))</f>
        <v>0</v>
      </c>
      <c r="AH5" s="10">
        <f>IF(rechnung="x",+Rentabilitätsvorschau!AG4*(1+USterm),+Rentabilitätsvorschau!AH4*(1+USterm))</f>
        <v>0</v>
      </c>
      <c r="AI5" s="10">
        <f>IF(rechnung="x",+Rentabilitätsvorschau!AH4*(1+USterm),+Rentabilitätsvorschau!AI4*(1+USterm))</f>
        <v>0</v>
      </c>
      <c r="AJ5" s="10">
        <f>IF(rechnung="x",+Rentabilitätsvorschau!AI4*(1+USterm),+Rentabilitätsvorschau!AJ4*(1+USterm))</f>
        <v>0</v>
      </c>
      <c r="AK5" s="10">
        <f>IF(rechnung="x",+Rentabilitätsvorschau!AJ4*(1+USterm),+Rentabilitätsvorschau!AK4*(1+USterm))</f>
        <v>0</v>
      </c>
      <c r="AL5" s="10">
        <f>IF(rechnung="x",+Rentabilitätsvorschau!AK4*(1+USterm),+Rentabilitätsvorschau!AL4*(1+USterm))</f>
        <v>0</v>
      </c>
      <c r="AM5" s="10">
        <f>IF(rechnung="x",+Rentabilitätsvorschau!AL4*(1+USterm),+Rentabilitätsvorschau!AM4*(1+USterm))</f>
        <v>0</v>
      </c>
      <c r="AN5" s="10">
        <f>IF(rechnung="x",+Rentabilitätsvorschau!AM4*(1+USterm),+Rentabilitätsvorschau!AN4*(1+USterm))</f>
        <v>0</v>
      </c>
      <c r="AO5" s="10">
        <f>IF(rechnung="x",+Rentabilitätsvorschau!AN4*(1+USterm),+Rentabilitätsvorschau!AO4*(1+USterm))</f>
        <v>0</v>
      </c>
      <c r="AP5" s="26">
        <f>SUM(AD5:AO5)</f>
        <v>0</v>
      </c>
      <c r="AQ5" s="10">
        <f>IF(rechnung="x",+Rentabilitätsvorschau!AO4*(1+USterm),+Rentabilitätsvorschau!AQ4*(1+USterm))</f>
        <v>0</v>
      </c>
      <c r="AR5" s="10">
        <f>IF(rechnung="x",+Rentabilitätsvorschau!AQ4*(1+USterm),+Rentabilitätsvorschau!AR4*(1+USterm))</f>
        <v>0</v>
      </c>
      <c r="AS5" s="10">
        <f>IF(rechnung="x",+Rentabilitätsvorschau!AR4*(1+USterm),+Rentabilitätsvorschau!AS4*(1+USterm))</f>
        <v>0</v>
      </c>
      <c r="AT5" s="10">
        <f>IF(rechnung="x",+Rentabilitätsvorschau!AS4*(1+USterm),+Rentabilitätsvorschau!AT4*(1+USterm))</f>
        <v>0</v>
      </c>
      <c r="AU5" s="10">
        <f>IF(rechnung="x",+Rentabilitätsvorschau!AT4*(1+USterm),+Rentabilitätsvorschau!AU4*(1+USterm))</f>
        <v>0</v>
      </c>
      <c r="AV5" s="10">
        <f>IF(rechnung="x",+Rentabilitätsvorschau!AU4*(1+USterm),+Rentabilitätsvorschau!AV4*(1+USterm))</f>
        <v>0</v>
      </c>
      <c r="AW5" s="10">
        <f>IF(rechnung="x",+Rentabilitätsvorschau!AV4*(1+USterm),+Rentabilitätsvorschau!AW4*(1+USterm))</f>
        <v>0</v>
      </c>
      <c r="AX5" s="10">
        <f>IF(rechnung="x",+Rentabilitätsvorschau!AW4*(1+USterm),+Rentabilitätsvorschau!AX4*(1+USterm))</f>
        <v>0</v>
      </c>
      <c r="AY5" s="10">
        <f>IF(rechnung="x",+Rentabilitätsvorschau!AX4*(1+USterm),+Rentabilitätsvorschau!AY4*(1+USterm))</f>
        <v>0</v>
      </c>
      <c r="AZ5" s="10">
        <f>IF(rechnung="x",+Rentabilitätsvorschau!AY4*(1+USterm),+Rentabilitätsvorschau!AZ4*(1+USterm))</f>
        <v>0</v>
      </c>
      <c r="BA5" s="10">
        <f>IF(rechnung="x",+Rentabilitätsvorschau!AZ4*(1+USterm),+Rentabilitätsvorschau!BA4*(1+USterm))</f>
        <v>0</v>
      </c>
      <c r="BB5" s="10">
        <f>IF(rechnung="x",+Rentabilitätsvorschau!BA4*(1+USterm),+Rentabilitätsvorschau!BB4*(1+USterm))</f>
        <v>0</v>
      </c>
      <c r="BC5" s="26">
        <f>SUM(AQ5:BB5)</f>
        <v>0</v>
      </c>
    </row>
    <row r="6" spans="1:55" x14ac:dyDescent="0.35">
      <c r="A6" s="8"/>
      <c r="B6" t="str">
        <f>IF('Infos vor dem Start'!$A$17="x","Bruttoumsatz Dienstleistungen 19%","Umsatz Dienstleistungen")</f>
        <v>Bruttoumsatz Dienstleistungen 19%</v>
      </c>
      <c r="D6" s="10">
        <f>IF(rechnung="x",0,+Rentabilitätsvorschau!D5*(1+USteins))</f>
        <v>0</v>
      </c>
      <c r="E6" s="10">
        <f>IF(rechnung="x",+Rentabilitätsvorschau!D5*(1+USteins),+Rentabilitätsvorschau!E5*(1+USteins))</f>
        <v>0</v>
      </c>
      <c r="F6" s="10">
        <f>IF(rechnung="x",+Rentabilitätsvorschau!E5*(1+USteins),+Rentabilitätsvorschau!F5*(1+USteins))</f>
        <v>0</v>
      </c>
      <c r="G6" s="10">
        <f>IF(rechnung="x",+Rentabilitätsvorschau!F5*(1+USteins),+Rentabilitätsvorschau!G5*(1+USteins))</f>
        <v>0</v>
      </c>
      <c r="H6" s="10">
        <f>IF(rechnung="x",+Rentabilitätsvorschau!G5*(1+USteins),+Rentabilitätsvorschau!H5*(1+USteins))</f>
        <v>0</v>
      </c>
      <c r="I6" s="10">
        <f>IF(rechnung="x",+Rentabilitätsvorschau!H5*(1+USteins),+Rentabilitätsvorschau!I5*(1+USteins))</f>
        <v>0</v>
      </c>
      <c r="J6" s="10">
        <f>IF(rechnung="x",+Rentabilitätsvorschau!I5*(1+USteins),+Rentabilitätsvorschau!J5*(1+USteins))</f>
        <v>0</v>
      </c>
      <c r="K6" s="10">
        <f>IF(rechnung="x",+Rentabilitätsvorschau!J5*(1+USteins),+Rentabilitätsvorschau!K5*(1+USteins))</f>
        <v>0</v>
      </c>
      <c r="L6" s="10">
        <f>IF(rechnung="x",+Rentabilitätsvorschau!K5*(1+USteins),+Rentabilitätsvorschau!L5*(1+USteins))</f>
        <v>0</v>
      </c>
      <c r="M6" s="10">
        <f>IF(rechnung="x",+Rentabilitätsvorschau!L5*(1+USteins),+Rentabilitätsvorschau!M5*(1+USteins))</f>
        <v>0</v>
      </c>
      <c r="N6" s="10">
        <f>IF(rechnung="x",+Rentabilitätsvorschau!M5*(1+USteins),+Rentabilitätsvorschau!N5*(1+USteins))</f>
        <v>16660</v>
      </c>
      <c r="O6" s="10">
        <f>IF(rechnung="x",+Rentabilitätsvorschau!N5*(1+USteins),+Rentabilitätsvorschau!O5*(1+USteins))</f>
        <v>0</v>
      </c>
      <c r="P6" s="26">
        <f t="shared" si="0"/>
        <v>16660</v>
      </c>
      <c r="Q6" s="10">
        <f>IF(rechnung="x",+Rentabilitätsvorschau!O5*(1+USteins),+Rentabilitätsvorschau!Q5*(1+USt))</f>
        <v>21420</v>
      </c>
      <c r="R6" s="10">
        <f>IF(rechnung="x",+Rentabilitätsvorschau!Q5*(1+USt),+Rentabilitätsvorschau!R5*(1+USt))</f>
        <v>0</v>
      </c>
      <c r="S6" s="10">
        <f>IF(rechnung="x",+Rentabilitätsvorschau!R5*(1+USt),+Rentabilitätsvorschau!S5*(1+USt))</f>
        <v>0</v>
      </c>
      <c r="T6" s="10">
        <f>IF(rechnung="x",+Rentabilitätsvorschau!S5*(1+USt),+Rentabilitätsvorschau!T5*(1+USt))</f>
        <v>0</v>
      </c>
      <c r="U6" s="10">
        <f>IF(rechnung="x",+Rentabilitätsvorschau!T5*(1+USt),+Rentabilitätsvorschau!U5*(1+USt))</f>
        <v>0</v>
      </c>
      <c r="V6" s="10">
        <f>IF(rechnung="x",+Rentabilitätsvorschau!U5*(1+USt),+Rentabilitätsvorschau!V5*(1+USt))</f>
        <v>0</v>
      </c>
      <c r="W6" s="10">
        <f>IF(rechnung="x",+Rentabilitätsvorschau!V5*(1+USt),+Rentabilitätsvorschau!W5*(1+USt))</f>
        <v>0</v>
      </c>
      <c r="X6" s="10">
        <f>IF(rechnung="x",+Rentabilitätsvorschau!W5*(1+USt),+Rentabilitätsvorschau!X5*(1+USt))</f>
        <v>0</v>
      </c>
      <c r="Y6" s="10">
        <f>IF(rechnung="x",+Rentabilitätsvorschau!X5*(1+USt),+Rentabilitätsvorschau!Y5*(1+USt))</f>
        <v>0</v>
      </c>
      <c r="Z6" s="10">
        <f>IF(rechnung="x",+Rentabilitätsvorschau!Y5*(1+USt),+Rentabilitätsvorschau!Z5*(1+USt))</f>
        <v>0</v>
      </c>
      <c r="AA6" s="10">
        <f>IF(rechnung="x",+Rentabilitätsvorschau!Z5*(1+USt),+Rentabilitätsvorschau!AA5*(1+USt))</f>
        <v>0</v>
      </c>
      <c r="AB6" s="10">
        <f>IF(rechnung="x",+Rentabilitätsvorschau!AA5*(1+USt),+Rentabilitätsvorschau!AB5*(1+USt))</f>
        <v>0</v>
      </c>
      <c r="AC6" s="26">
        <f t="shared" si="1"/>
        <v>21420</v>
      </c>
      <c r="AD6" s="10">
        <f>IF(rechnung="x",+Rentabilitätsvorschau!AB5*(1+USt),+Rentabilitätsvorschau!AD5*(1+USt))</f>
        <v>0</v>
      </c>
      <c r="AE6" s="10">
        <f>IF(rechnung="x",+Rentabilitätsvorschau!AD5*(1+USt),+Rentabilitätsvorschau!AE5*(1+USt))</f>
        <v>0</v>
      </c>
      <c r="AF6" s="10">
        <f>IF(rechnung="x",+Rentabilitätsvorschau!AE5*(1+USt),+Rentabilitätsvorschau!AF5*(1+USt))</f>
        <v>0</v>
      </c>
      <c r="AG6" s="10">
        <f>IF(rechnung="x",+Rentabilitätsvorschau!AF5*(1+USt),+Rentabilitätsvorschau!AG5*(1+USt))</f>
        <v>0</v>
      </c>
      <c r="AH6" s="10">
        <f>IF(rechnung="x",+Rentabilitätsvorschau!AG5*(1+USt),+Rentabilitätsvorschau!AH5*(1+USt))</f>
        <v>0</v>
      </c>
      <c r="AI6" s="10">
        <f>IF(rechnung="x",+Rentabilitätsvorschau!AH5*(1+USt),+Rentabilitätsvorschau!AI5*(1+USt))</f>
        <v>0</v>
      </c>
      <c r="AJ6" s="10">
        <f>IF(rechnung="x",+Rentabilitätsvorschau!AI5*(1+USt),+Rentabilitätsvorschau!AJ5*(1+USt))</f>
        <v>0</v>
      </c>
      <c r="AK6" s="10">
        <f>IF(rechnung="x",+Rentabilitätsvorschau!AJ5*(1+USt),+Rentabilitätsvorschau!AK5*(1+USt))</f>
        <v>0</v>
      </c>
      <c r="AL6" s="10">
        <f>IF(rechnung="x",+Rentabilitätsvorschau!AK5*(1+USt),+Rentabilitätsvorschau!AL5*(1+USt))</f>
        <v>0</v>
      </c>
      <c r="AM6" s="10">
        <f>IF(rechnung="x",+Rentabilitätsvorschau!AL5*(1+USt),+Rentabilitätsvorschau!AM5*(1+USt))</f>
        <v>0</v>
      </c>
      <c r="AN6" s="10">
        <f>IF(rechnung="x",+Rentabilitätsvorschau!AM5*(1+USt),+Rentabilitätsvorschau!AN5*(1+USt))</f>
        <v>0</v>
      </c>
      <c r="AO6" s="10">
        <f>IF(rechnung="x",+Rentabilitätsvorschau!AN5*(1+USt),+Rentabilitätsvorschau!AO5*(1+USt))</f>
        <v>0</v>
      </c>
      <c r="AP6" s="26">
        <f>SUM(AD6:AO6)</f>
        <v>0</v>
      </c>
      <c r="AQ6" s="10">
        <f>IF(rechnung="x",+Rentabilitätsvorschau!AO5*(1+USt),+Rentabilitätsvorschau!AQ5*(1+USt))</f>
        <v>0</v>
      </c>
      <c r="AR6" s="10">
        <f>IF(rechnung="x",+Rentabilitätsvorschau!AQ5*(1+USt),+Rentabilitätsvorschau!AR5*(1+USt))</f>
        <v>0</v>
      </c>
      <c r="AS6" s="10">
        <f>IF(rechnung="x",+Rentabilitätsvorschau!AR5*(1+USt),+Rentabilitätsvorschau!AS5*(1+USt))</f>
        <v>0</v>
      </c>
      <c r="AT6" s="10">
        <f>IF(rechnung="x",+Rentabilitätsvorschau!AS5*(1+USt),+Rentabilitätsvorschau!AT5*(1+USt))</f>
        <v>0</v>
      </c>
      <c r="AU6" s="10">
        <f>IF(rechnung="x",+Rentabilitätsvorschau!AT5*(1+USt),+Rentabilitätsvorschau!AU5*(1+USt))</f>
        <v>0</v>
      </c>
      <c r="AV6" s="10">
        <f>IF(rechnung="x",+Rentabilitätsvorschau!AU5*(1+USt),+Rentabilitätsvorschau!AV5*(1+USt))</f>
        <v>0</v>
      </c>
      <c r="AW6" s="10">
        <f>IF(rechnung="x",+Rentabilitätsvorschau!AV5*(1+USt),+Rentabilitätsvorschau!AW5*(1+USt))</f>
        <v>0</v>
      </c>
      <c r="AX6" s="10">
        <f>IF(rechnung="x",+Rentabilitätsvorschau!AW5*(1+USt),+Rentabilitätsvorschau!AX5*(1+USt))</f>
        <v>0</v>
      </c>
      <c r="AY6" s="10">
        <f>IF(rechnung="x",+Rentabilitätsvorschau!AX5*(1+USt),+Rentabilitätsvorschau!AY5*(1+USt))</f>
        <v>0</v>
      </c>
      <c r="AZ6" s="10">
        <f>IF(rechnung="x",+Rentabilitätsvorschau!AY5*(1+USt),+Rentabilitätsvorschau!AZ5*(1+USt))</f>
        <v>0</v>
      </c>
      <c r="BA6" s="10">
        <f>IF(rechnung="x",+Rentabilitätsvorschau!AZ5*(1+USt),+Rentabilitätsvorschau!BA5*(1+USt))</f>
        <v>0</v>
      </c>
      <c r="BB6" s="10">
        <f>IF(rechnung="x",+Rentabilitätsvorschau!BA5*(1+USt),+Rentabilitätsvorschau!BB5*(1+USt))</f>
        <v>0</v>
      </c>
      <c r="BC6" s="26">
        <f>SUM(AQ6:BB6)</f>
        <v>0</v>
      </c>
    </row>
    <row r="7" spans="1:55" x14ac:dyDescent="0.35">
      <c r="A7" s="8"/>
      <c r="B7" t="str">
        <f>IF('Infos vor dem Start'!$A$17="x","Erlösschmälerungen (Skonto) brutto","Erlösschmälerungen (Skonto)")</f>
        <v>Erlösschmälerungen (Skonto) brutto</v>
      </c>
      <c r="D7" s="10">
        <f>IF(rechnung="x",0,(((+Rentabilitätsvorschau!D3+Rentabilitätsvorschau!D5)*(1+USteins)+Rentabilitätsvorschau!D4*(1+UStermeins)))*Rentabilitätsvorschau!$B6)</f>
        <v>0</v>
      </c>
      <c r="E7" s="10">
        <f>IF(rechnung="x",((Rentabilitätsvorschau!D3+Rentabilitätsvorschau!D5)*(1+USteins)+Rentabilitätsvorschau!D4*(1+UStermeins))*Rentabilitätsvorschau!$B6,((+Rentabilitätsvorschau!D3+Rentabilitätsvorschau!D5)*(1+USteins)+Rentabilitätsvorschau!E4*(1+UStermeins))*Rentabilitätsvorschau!$B6)</f>
        <v>0</v>
      </c>
      <c r="F7" s="10">
        <f>IF(rechnung="x",((Rentabilitätsvorschau!E3+Rentabilitätsvorschau!E5)*(1+USteins)+Rentabilitätsvorschau!E4*(1+UStermeins))*Rentabilitätsvorschau!$B6,((+Rentabilitätsvorschau!E3+Rentabilitätsvorschau!E5)*(1+USteins)+Rentabilitätsvorschau!F4*(1+UStermeins))*Rentabilitätsvorschau!$B6)</f>
        <v>0</v>
      </c>
      <c r="G7" s="10">
        <f>IF(rechnung="x",((Rentabilitätsvorschau!F3+Rentabilitätsvorschau!F5)*(1+USteins)+Rentabilitätsvorschau!F4*(1+UStermeins))*Rentabilitätsvorschau!$B6,((+Rentabilitätsvorschau!F3+Rentabilitätsvorschau!F5)*(1+USteins)+Rentabilitätsvorschau!G4*(1+UStermeins))*Rentabilitätsvorschau!$B6)</f>
        <v>0</v>
      </c>
      <c r="H7" s="10">
        <f>IF(rechnung="x",((Rentabilitätsvorschau!G3+Rentabilitätsvorschau!G5)*(1+USteins)+Rentabilitätsvorschau!G4*(1+UStermeins))*Rentabilitätsvorschau!$B6,((+Rentabilitätsvorschau!G3+Rentabilitätsvorschau!G5)*(1+USteins)+Rentabilitätsvorschau!H4*(1+UStermeins))*Rentabilitätsvorschau!$B6)</f>
        <v>0</v>
      </c>
      <c r="I7" s="10">
        <f>IF(rechnung="x",((Rentabilitätsvorschau!H3+Rentabilitätsvorschau!H5)*(1+USteins)+Rentabilitätsvorschau!H4*(1+UStermeins))*Rentabilitätsvorschau!$B6,((+Rentabilitätsvorschau!H3+Rentabilitätsvorschau!H5)*(1+USteins)+Rentabilitätsvorschau!I4*(1+UStermeins))*Rentabilitätsvorschau!$B6)</f>
        <v>0</v>
      </c>
      <c r="J7" s="10">
        <f>IF(rechnung="x",((Rentabilitätsvorschau!I3+Rentabilitätsvorschau!I5)*(1+USteins)+Rentabilitätsvorschau!I4*(1+UStermeins))*Rentabilitätsvorschau!$B6,((+Rentabilitätsvorschau!I3+Rentabilitätsvorschau!I5)*(1+USteins)+Rentabilitätsvorschau!J4*(1+UStermeins))*Rentabilitätsvorschau!$B6)</f>
        <v>0</v>
      </c>
      <c r="K7" s="10">
        <f>IF(rechnung="x",((Rentabilitätsvorschau!J3+Rentabilitätsvorschau!J5)*(1+USteins)+Rentabilitätsvorschau!J4*(1+UStermeins))*Rentabilitätsvorschau!$B6,((+Rentabilitätsvorschau!J3+Rentabilitätsvorschau!J5)*(1+USteins)+Rentabilitätsvorschau!K4*(1+UStermeins))*Rentabilitätsvorschau!$B6)</f>
        <v>0</v>
      </c>
      <c r="L7" s="10">
        <f>IF(rechnung="x",((Rentabilitätsvorschau!K3+Rentabilitätsvorschau!K5)*(1+USteins)+Rentabilitätsvorschau!K4*(1+UStermeins))*Rentabilitätsvorschau!$B6,((+Rentabilitätsvorschau!K3+Rentabilitätsvorschau!K5)*(1+USteins)+Rentabilitätsvorschau!L4*(1+UStermeins))*Rentabilitätsvorschau!$B6)</f>
        <v>0</v>
      </c>
      <c r="M7" s="10">
        <f>IF(rechnung="x",((Rentabilitätsvorschau!L3+Rentabilitätsvorschau!L5)*(1+USteins)+Rentabilitätsvorschau!L4*(1+UStermeins))*Rentabilitätsvorschau!$B6,((+Rentabilitätsvorschau!L3+Rentabilitätsvorschau!L5)*(1+USteins)+Rentabilitätsvorschau!M4*(1+UStermeins))*Rentabilitätsvorschau!$B6)</f>
        <v>0</v>
      </c>
      <c r="N7" s="10">
        <f>IF(rechnung="x",((Rentabilitätsvorschau!M3+Rentabilitätsvorschau!M5)*(1+USteins)+Rentabilitätsvorschau!M4*(1+UStermeins))*Rentabilitätsvorschau!$B6,((+Rentabilitätsvorschau!M3+Rentabilitätsvorschau!M5)*(1+USteins)+Rentabilitätsvorschau!N4*(1+UStermeins))*Rentabilitätsvorschau!$B6)</f>
        <v>0</v>
      </c>
      <c r="O7" s="10">
        <f>IF(rechnung="x",((Rentabilitätsvorschau!N3+Rentabilitätsvorschau!N5)*(1+USteins)+Rentabilitätsvorschau!N4*(1+UStermeins))*Rentabilitätsvorschau!$B6,((+Rentabilitätsvorschau!N3+Rentabilitätsvorschau!N5)*(1+USteins)+Rentabilitätsvorschau!O4*(1+UStermeins))*Rentabilitätsvorschau!$B6)</f>
        <v>0</v>
      </c>
      <c r="P7" s="26">
        <f t="shared" si="0"/>
        <v>0</v>
      </c>
      <c r="Q7" s="10">
        <f>IF(rechnung="x",((Rentabilitätsvorschau!O3+Rentabilitätsvorschau!O5)*(1+USteins)+Rentabilitätsvorschau!O4*(1+UStermeins))*Rentabilitätsvorschau!$B6,((+Rentabilitätsvorschau!Q3+Rentabilitätsvorschau!Q5)*(1+USt)+Rentabilitätsvorschau!Q4*(1+USterm))*Rentabilitätsvorschau!$B6)</f>
        <v>0</v>
      </c>
      <c r="R7" s="10">
        <f>IF(rechnung="x",((Rentabilitätsvorschau!Q3+Rentabilitätsvorschau!Q5)*(1+USt)+Rentabilitätsvorschau!Q4*(1+USterm))*Rentabilitätsvorschau!$B6,((+Rentabilitätsvorschau!R3+Rentabilitätsvorschau!R5)*(1+USt)+Rentabilitätsvorschau!R4*(1+USterm))*Rentabilitätsvorschau!$B6)</f>
        <v>0</v>
      </c>
      <c r="S7" s="10">
        <f>IF(rechnung="x",((Rentabilitätsvorschau!R3+Rentabilitätsvorschau!R5)*(1+USt)+Rentabilitätsvorschau!R4*(1+USterm))*Rentabilitätsvorschau!$B6,((+Rentabilitätsvorschau!S3+Rentabilitätsvorschau!S5)*(1+USt)+Rentabilitätsvorschau!S4*(1+USterm))*Rentabilitätsvorschau!$B6)</f>
        <v>0</v>
      </c>
      <c r="T7" s="10">
        <f>IF(rechnung="x",((Rentabilitätsvorschau!S3+Rentabilitätsvorschau!S5)*(1+USt)+Rentabilitätsvorschau!S4*(1+USterm))*Rentabilitätsvorschau!$B6,((+Rentabilitätsvorschau!T3+Rentabilitätsvorschau!T5)*(1+USt)+Rentabilitätsvorschau!T4*(1+USterm))*Rentabilitätsvorschau!$B6)</f>
        <v>0</v>
      </c>
      <c r="U7" s="10">
        <f>IF(rechnung="x",((Rentabilitätsvorschau!T3+Rentabilitätsvorschau!T5)*(1+USt)+Rentabilitätsvorschau!T4*(1+USterm))*Rentabilitätsvorschau!$B6,((+Rentabilitätsvorschau!U3+Rentabilitätsvorschau!U5)*(1+USt)+Rentabilitätsvorschau!U4*(1+USterm))*Rentabilitätsvorschau!$B6)</f>
        <v>0</v>
      </c>
      <c r="V7" s="10">
        <f>IF(rechnung="x",((Rentabilitätsvorschau!U3+Rentabilitätsvorschau!U5)*(1+USt)+Rentabilitätsvorschau!U4*(1+USterm))*Rentabilitätsvorschau!$B6,((+Rentabilitätsvorschau!V3+Rentabilitätsvorschau!V5)*(1+USt)+Rentabilitätsvorschau!V4*(1+USterm))*Rentabilitätsvorschau!$B6)</f>
        <v>0</v>
      </c>
      <c r="W7" s="10">
        <f>IF(rechnung="x",((Rentabilitätsvorschau!V3+Rentabilitätsvorschau!V5)*(1+USt)+Rentabilitätsvorschau!V4*(1+USterm))*Rentabilitätsvorschau!$B6,((+Rentabilitätsvorschau!W3+Rentabilitätsvorschau!W5)*(1+USt)+Rentabilitätsvorschau!W4*(1+USterm))*Rentabilitätsvorschau!$B6)</f>
        <v>0</v>
      </c>
      <c r="X7" s="10">
        <f>IF(rechnung="x",((Rentabilitätsvorschau!W3+Rentabilitätsvorschau!W5)*(1+USt)+Rentabilitätsvorschau!W4*(1+USterm))*Rentabilitätsvorschau!$B6,((+Rentabilitätsvorschau!X3+Rentabilitätsvorschau!X5)*(1+USt)+Rentabilitätsvorschau!X4*(1+USterm))*Rentabilitätsvorschau!$B6)</f>
        <v>0</v>
      </c>
      <c r="Y7" s="10">
        <f>IF(rechnung="x",((Rentabilitätsvorschau!X3+Rentabilitätsvorschau!X5)*(1+USt)+Rentabilitätsvorschau!X4*(1+USterm))*Rentabilitätsvorschau!$B6,((+Rentabilitätsvorschau!Y3+Rentabilitätsvorschau!Y5)*(1+USt)+Rentabilitätsvorschau!Y4*(1+USterm))*Rentabilitätsvorschau!$B6)</f>
        <v>0</v>
      </c>
      <c r="Z7" s="10">
        <f>IF(rechnung="x",((Rentabilitätsvorschau!Y3+Rentabilitätsvorschau!Y5)*(1+USt)+Rentabilitätsvorschau!Y4*(1+USterm))*Rentabilitätsvorschau!$B6,((+Rentabilitätsvorschau!Z3+Rentabilitätsvorschau!Z5)*(1+USt)+Rentabilitätsvorschau!Z4*(1+USterm))*Rentabilitätsvorschau!$B6)</f>
        <v>0</v>
      </c>
      <c r="AA7" s="10">
        <f>IF(rechnung="x",((Rentabilitätsvorschau!Z3+Rentabilitätsvorschau!Z5)*(1+USt)+Rentabilitätsvorschau!Z4*(1+USterm))*Rentabilitätsvorschau!$B6,((+Rentabilitätsvorschau!AA3+Rentabilitätsvorschau!AA5)*(1+USt)+Rentabilitätsvorschau!AA4*(1+USterm))*Rentabilitätsvorschau!$B6)</f>
        <v>0</v>
      </c>
      <c r="AB7" s="10">
        <f>IF(rechnung="x",((Rentabilitätsvorschau!AA3+Rentabilitätsvorschau!AA5)*(1+USt)+Rentabilitätsvorschau!AA4*(1+USterm))*Rentabilitätsvorschau!$B6,((+Rentabilitätsvorschau!AB3+Rentabilitätsvorschau!AB5)*(1+USt)+Rentabilitätsvorschau!AB4*(1+USterm))*Rentabilitätsvorschau!$B6)</f>
        <v>0</v>
      </c>
      <c r="AC7" s="26">
        <f t="shared" si="1"/>
        <v>0</v>
      </c>
      <c r="AD7" s="10">
        <f>IF(rechnung="x",((Rentabilitätsvorschau!AB3+Rentabilitätsvorschau!AB5)*(1+USt)+Rentabilitätsvorschau!AB4*(1+USterm))*Rentabilitätsvorschau!$B6,((+Rentabilitätsvorschau!AD3+Rentabilitätsvorschau!AD5)*(1+USt)+Rentabilitätsvorschau!AD4*(1+USterm))*Rentabilitätsvorschau!$B6)</f>
        <v>0</v>
      </c>
      <c r="AE7" s="10">
        <f>IF(rechnung="x",((Rentabilitätsvorschau!AD3+Rentabilitätsvorschau!AD5)*(1+USt)+Rentabilitätsvorschau!AD4*(1+USterm))*Rentabilitätsvorschau!$B6,((+Rentabilitätsvorschau!AE3+Rentabilitätsvorschau!AE5)*(1+USt)+Rentabilitätsvorschau!AE4*(1+USterm))*Rentabilitätsvorschau!$B6)</f>
        <v>0</v>
      </c>
      <c r="AF7" s="10">
        <f>IF(rechnung="x",((Rentabilitätsvorschau!AE3+Rentabilitätsvorschau!AE5)*(1+USt)+Rentabilitätsvorschau!AE4*(1+USterm))*Rentabilitätsvorschau!$B6,((+Rentabilitätsvorschau!AF3+Rentabilitätsvorschau!AF5)*(1+USt)+Rentabilitätsvorschau!AF4*(1+USterm))*Rentabilitätsvorschau!$B6)</f>
        <v>0</v>
      </c>
      <c r="AG7" s="10">
        <f>IF(rechnung="x",((Rentabilitätsvorschau!AF3+Rentabilitätsvorschau!AF5)*(1+USt)+Rentabilitätsvorschau!AF4*(1+USterm))*Rentabilitätsvorschau!$B6,((+Rentabilitätsvorschau!AG3+Rentabilitätsvorschau!AG5)*(1+USt)+Rentabilitätsvorschau!AG4*(1+USterm))*Rentabilitätsvorschau!$B6)</f>
        <v>0</v>
      </c>
      <c r="AH7" s="10">
        <f>IF(rechnung="x",((Rentabilitätsvorschau!AG3+Rentabilitätsvorschau!AG5)*(1+USt)+Rentabilitätsvorschau!AG4*(1+USterm))*Rentabilitätsvorschau!$B6,((+Rentabilitätsvorschau!AH3+Rentabilitätsvorschau!AH5)*(1+USt)+Rentabilitätsvorschau!AH4*(1+USterm))*Rentabilitätsvorschau!$B6)</f>
        <v>0</v>
      </c>
      <c r="AI7" s="10">
        <f>IF(rechnung="x",((Rentabilitätsvorschau!AH3+Rentabilitätsvorschau!AH5)*(1+USt)+Rentabilitätsvorschau!AH4*(1+USterm))*Rentabilitätsvorschau!$B6,((+Rentabilitätsvorschau!AI3+Rentabilitätsvorschau!AI5)*(1+USt)+Rentabilitätsvorschau!AI4*(1+USterm))*Rentabilitätsvorschau!$B6)</f>
        <v>0</v>
      </c>
      <c r="AJ7" s="10">
        <f>IF(rechnung="x",((Rentabilitätsvorschau!AI3+Rentabilitätsvorschau!AI5)*(1+USt)+Rentabilitätsvorschau!AI4*(1+USterm))*Rentabilitätsvorschau!$B6,((+Rentabilitätsvorschau!AJ3+Rentabilitätsvorschau!AJ5)*(1+USt)+Rentabilitätsvorschau!AJ4*(1+USterm))*Rentabilitätsvorschau!$B6)</f>
        <v>0</v>
      </c>
      <c r="AK7" s="10">
        <f>IF(rechnung="x",((Rentabilitätsvorschau!AJ3+Rentabilitätsvorschau!AJ5)*(1+USt)+Rentabilitätsvorschau!AJ4*(1+USterm))*Rentabilitätsvorschau!$B6,((+Rentabilitätsvorschau!AK3+Rentabilitätsvorschau!AK5)*(1+USt)+Rentabilitätsvorschau!AK4*(1+USterm))*Rentabilitätsvorschau!$B6)</f>
        <v>0</v>
      </c>
      <c r="AL7" s="10">
        <f>IF(rechnung="x",((Rentabilitätsvorschau!AK3+Rentabilitätsvorschau!AK5)*(1+USt)+Rentabilitätsvorschau!AK4*(1+USterm))*Rentabilitätsvorschau!$B6,((+Rentabilitätsvorschau!AL3+Rentabilitätsvorschau!AL5)*(1+USt)+Rentabilitätsvorschau!AL4*(1+USterm))*Rentabilitätsvorschau!$B6)</f>
        <v>0</v>
      </c>
      <c r="AM7" s="10">
        <f>IF(rechnung="x",((Rentabilitätsvorschau!AL3+Rentabilitätsvorschau!AL5)*(1+USt)+Rentabilitätsvorschau!AL4*(1+USterm))*Rentabilitätsvorschau!$B6,((+Rentabilitätsvorschau!AM3+Rentabilitätsvorschau!AM5)*(1+USt)+Rentabilitätsvorschau!AM4*(1+USterm))*Rentabilitätsvorschau!$B6)</f>
        <v>0</v>
      </c>
      <c r="AN7" s="10">
        <f>IF(rechnung="x",((Rentabilitätsvorschau!AM3+Rentabilitätsvorschau!AM5)*(1+USt)+Rentabilitätsvorschau!AM4*(1+USterm))*Rentabilitätsvorschau!$B6,((+Rentabilitätsvorschau!AN3+Rentabilitätsvorschau!AN5)*(1+USt)+Rentabilitätsvorschau!AN4*(1+USterm))*Rentabilitätsvorschau!$B6)</f>
        <v>0</v>
      </c>
      <c r="AO7" s="10">
        <f>IF(rechnung="x",((Rentabilitätsvorschau!AN3+Rentabilitätsvorschau!AN5)*(1+USt)+Rentabilitätsvorschau!AN4*(1+USterm))*Rentabilitätsvorschau!$B6,((+Rentabilitätsvorschau!AO3+Rentabilitätsvorschau!AO5)*(1+USt)+Rentabilitätsvorschau!AO4*(1+USterm))*Rentabilitätsvorschau!$B6)</f>
        <v>0</v>
      </c>
      <c r="AP7" s="26">
        <f>SUM(AD7:AO7)</f>
        <v>0</v>
      </c>
      <c r="AQ7" s="10">
        <f>IF(rechnung="x",((Rentabilitätsvorschau!AO3+Rentabilitätsvorschau!AO5)*(1+USt)+Rentabilitätsvorschau!AO4*(1+USterm))*Rentabilitätsvorschau!$B6,((+Rentabilitätsvorschau!AQ3+Rentabilitätsvorschau!AQ5)*(1+USt)+Rentabilitätsvorschau!AQ4*(1+USterm))*Rentabilitätsvorschau!$B6)</f>
        <v>0</v>
      </c>
      <c r="AR7" s="10">
        <f>IF(rechnung="x",((Rentabilitätsvorschau!AQ3+Rentabilitätsvorschau!AQ5)*(1+USt)+Rentabilitätsvorschau!AQ4*(1+USterm))*Rentabilitätsvorschau!$B6,((+Rentabilitätsvorschau!AR3+Rentabilitätsvorschau!AR5)*(1+USt)+Rentabilitätsvorschau!AR4*(1+USterm))*Rentabilitätsvorschau!$B6)</f>
        <v>0</v>
      </c>
      <c r="AS7" s="10">
        <f>IF(rechnung="x",((Rentabilitätsvorschau!AR3+Rentabilitätsvorschau!AR5)*(1+USt)+Rentabilitätsvorschau!AR4*(1+USterm))*Rentabilitätsvorschau!$B6,((+Rentabilitätsvorschau!AS3+Rentabilitätsvorschau!AS5)*(1+USt)+Rentabilitätsvorschau!AS4*(1+USterm))*Rentabilitätsvorschau!$B6)</f>
        <v>0</v>
      </c>
      <c r="AT7" s="10">
        <f>IF(rechnung="x",((Rentabilitätsvorschau!AS3+Rentabilitätsvorschau!AS5)*(1+USt)+Rentabilitätsvorschau!AS4*(1+USterm))*Rentabilitätsvorschau!$B6,((+Rentabilitätsvorschau!AT3+Rentabilitätsvorschau!AT5)*(1+USt)+Rentabilitätsvorschau!AT4*(1+USterm))*Rentabilitätsvorschau!$B6)</f>
        <v>0</v>
      </c>
      <c r="AU7" s="10">
        <f>IF(rechnung="x",((Rentabilitätsvorschau!AT3+Rentabilitätsvorschau!AT5)*(1+USt)+Rentabilitätsvorschau!AT4*(1+USterm))*Rentabilitätsvorschau!$B6,((+Rentabilitätsvorschau!AU3+Rentabilitätsvorschau!AU5)*(1+USt)+Rentabilitätsvorschau!AU4*(1+USterm))*Rentabilitätsvorschau!$B6)</f>
        <v>0</v>
      </c>
      <c r="AV7" s="10">
        <f>IF(rechnung="x",((Rentabilitätsvorschau!AU3+Rentabilitätsvorschau!AU5)*(1+USt)+Rentabilitätsvorschau!AU4*(1+USterm))*Rentabilitätsvorschau!$B6,((+Rentabilitätsvorschau!AV3+Rentabilitätsvorschau!AV5)*(1+USt)+Rentabilitätsvorschau!AV4*(1+USterm))*Rentabilitätsvorschau!$B6)</f>
        <v>0</v>
      </c>
      <c r="AW7" s="10">
        <f>IF(rechnung="x",((Rentabilitätsvorschau!AV3+Rentabilitätsvorschau!AV5)*(1+USt)+Rentabilitätsvorschau!AV4*(1+USterm))*Rentabilitätsvorschau!$B6,((+Rentabilitätsvorschau!AW3+Rentabilitätsvorschau!AW5)*(1+USt)+Rentabilitätsvorschau!AW4*(1+USterm))*Rentabilitätsvorschau!$B6)</f>
        <v>0</v>
      </c>
      <c r="AX7" s="10">
        <f>IF(rechnung="x",((Rentabilitätsvorschau!AW3+Rentabilitätsvorschau!AW5)*(1+USt)+Rentabilitätsvorschau!AW4*(1+USterm))*Rentabilitätsvorschau!$B6,((+Rentabilitätsvorschau!AX3+Rentabilitätsvorschau!AX5)*(1+USt)+Rentabilitätsvorschau!AX4*(1+USterm))*Rentabilitätsvorschau!$B6)</f>
        <v>0</v>
      </c>
      <c r="AY7" s="10">
        <f>IF(rechnung="x",((Rentabilitätsvorschau!AX3+Rentabilitätsvorschau!AX5)*(1+USt)+Rentabilitätsvorschau!AX4*(1+USterm))*Rentabilitätsvorschau!$B6,((+Rentabilitätsvorschau!AY3+Rentabilitätsvorschau!AY5)*(1+USt)+Rentabilitätsvorschau!AY4*(1+USterm))*Rentabilitätsvorschau!$B6)</f>
        <v>0</v>
      </c>
      <c r="AZ7" s="10">
        <f>IF(rechnung="x",((Rentabilitätsvorschau!AY3+Rentabilitätsvorschau!AY5)*(1+USt)+Rentabilitätsvorschau!AY4*(1+USterm))*Rentabilitätsvorschau!$B6,((+Rentabilitätsvorschau!AZ3+Rentabilitätsvorschau!AZ5)*(1+USt)+Rentabilitätsvorschau!AZ4*(1+USterm))*Rentabilitätsvorschau!$B6)</f>
        <v>0</v>
      </c>
      <c r="BA7" s="10">
        <f>IF(rechnung="x",((Rentabilitätsvorschau!AZ3+Rentabilitätsvorschau!AZ5)*(1+USt)+Rentabilitätsvorschau!AZ4*(1+USterm))*Rentabilitätsvorschau!$B6,((+Rentabilitätsvorschau!BA3+Rentabilitätsvorschau!BA5)*(1+USt)+Rentabilitätsvorschau!BA4*(1+USterm))*Rentabilitätsvorschau!$B6)</f>
        <v>0</v>
      </c>
      <c r="BB7" s="10">
        <f>IF(rechnung="x",((Rentabilitätsvorschau!BA3+Rentabilitätsvorschau!BA5)*(1+USt)+Rentabilitätsvorschau!BA4*(1+USterm))*Rentabilitätsvorschau!$B6,((+Rentabilitätsvorschau!BB3+Rentabilitätsvorschau!BB5)*(1+USt)+Rentabilitätsvorschau!BB4*(1+USterm))*Rentabilitätsvorschau!$B6)</f>
        <v>0</v>
      </c>
      <c r="BC7" s="26">
        <f>SUM(AQ7:BB7)</f>
        <v>0</v>
      </c>
    </row>
    <row r="8" spans="1:55" x14ac:dyDescent="0.35">
      <c r="A8" s="8" t="str">
        <f>+Rentabilitätsvorschau!A7</f>
        <v>sonstige betriebliche Erträge</v>
      </c>
      <c r="D8" s="10">
        <f>+Rentabilitätsvorschau!D7*(1+USteins)</f>
        <v>0</v>
      </c>
      <c r="E8" s="10">
        <f>+Rentabilitätsvorschau!E7*(1+USteins)</f>
        <v>0</v>
      </c>
      <c r="F8" s="10">
        <f>+Rentabilitätsvorschau!F7*(1+USteins)</f>
        <v>0</v>
      </c>
      <c r="G8" s="10">
        <f>+Rentabilitätsvorschau!G7*(1+USteins)</f>
        <v>0</v>
      </c>
      <c r="H8" s="10">
        <f>+Rentabilitätsvorschau!H7*(1+USteins)</f>
        <v>0</v>
      </c>
      <c r="I8" s="10">
        <f>+Rentabilitätsvorschau!I7*(1+USteins)</f>
        <v>0</v>
      </c>
      <c r="J8" s="10">
        <f>+Rentabilitätsvorschau!J7*(1+USteins)</f>
        <v>0</v>
      </c>
      <c r="K8" s="10">
        <f>+Rentabilitätsvorschau!K7*(1+USteins)</f>
        <v>0</v>
      </c>
      <c r="L8" s="10">
        <f>+Rentabilitätsvorschau!L7*(1+USteins)</f>
        <v>0</v>
      </c>
      <c r="M8" s="10">
        <f>+Rentabilitätsvorschau!M7*(1+USteins)</f>
        <v>0</v>
      </c>
      <c r="N8" s="10">
        <f>+Rentabilitätsvorschau!N7*(1+USteins)</f>
        <v>0</v>
      </c>
      <c r="O8" s="10">
        <f>+Rentabilitätsvorschau!O7*(1+USteins)</f>
        <v>0</v>
      </c>
      <c r="P8" s="26">
        <f t="shared" si="0"/>
        <v>0</v>
      </c>
      <c r="Q8" s="10">
        <f>+Rentabilitätsvorschau!Q7*(1+USt)</f>
        <v>0</v>
      </c>
      <c r="R8" s="10">
        <f>+Rentabilitätsvorschau!R7*(1+USt)</f>
        <v>0</v>
      </c>
      <c r="S8" s="10">
        <f>+Rentabilitätsvorschau!S7*(1+USt)</f>
        <v>0</v>
      </c>
      <c r="T8" s="10">
        <f>+Rentabilitätsvorschau!T7*(1+USt)</f>
        <v>0</v>
      </c>
      <c r="U8" s="10">
        <f>+Rentabilitätsvorschau!U7*(1+USt)</f>
        <v>0</v>
      </c>
      <c r="V8" s="10">
        <f>+Rentabilitätsvorschau!V7*(1+USt)</f>
        <v>0</v>
      </c>
      <c r="W8" s="10">
        <f>+Rentabilitätsvorschau!W7*(1+USt)</f>
        <v>0</v>
      </c>
      <c r="X8" s="10">
        <f>+Rentabilitätsvorschau!X7*(1+USt)</f>
        <v>0</v>
      </c>
      <c r="Y8" s="10">
        <f>+Rentabilitätsvorschau!Y7*(1+USt)</f>
        <v>0</v>
      </c>
      <c r="Z8" s="10">
        <f>+Rentabilitätsvorschau!Z7*(1+USt)</f>
        <v>0</v>
      </c>
      <c r="AA8" s="10">
        <f>+Rentabilitätsvorschau!AA7*(1+USt)</f>
        <v>0</v>
      </c>
      <c r="AB8" s="10">
        <f>+Rentabilitätsvorschau!AB7*(1+USt)</f>
        <v>0</v>
      </c>
      <c r="AC8" s="26">
        <f t="shared" si="1"/>
        <v>0</v>
      </c>
      <c r="AD8" s="10">
        <f>+Rentabilitätsvorschau!AD7*(1+USt)</f>
        <v>0</v>
      </c>
      <c r="AE8" s="10">
        <f>+Rentabilitätsvorschau!AE7*(1+USt)</f>
        <v>0</v>
      </c>
      <c r="AF8" s="10">
        <f>+Rentabilitätsvorschau!AF7*(1+USt)</f>
        <v>0</v>
      </c>
      <c r="AG8" s="10">
        <f>+Rentabilitätsvorschau!AG7*(1+USt)</f>
        <v>0</v>
      </c>
      <c r="AH8" s="10">
        <f>+Rentabilitätsvorschau!AH7*(1+USt)</f>
        <v>0</v>
      </c>
      <c r="AI8" s="10">
        <f>+Rentabilitätsvorschau!AI7*(1+USt)</f>
        <v>0</v>
      </c>
      <c r="AJ8" s="10">
        <f>+Rentabilitätsvorschau!AJ7*(1+USt)</f>
        <v>0</v>
      </c>
      <c r="AK8" s="10">
        <f>+Rentabilitätsvorschau!AK7*(1+USt)</f>
        <v>0</v>
      </c>
      <c r="AL8" s="10">
        <f>+Rentabilitätsvorschau!AL7*(1+USt)</f>
        <v>0</v>
      </c>
      <c r="AM8" s="10">
        <f>+Rentabilitätsvorschau!AM7*(1+USt)</f>
        <v>0</v>
      </c>
      <c r="AN8" s="10">
        <f>+Rentabilitätsvorschau!AN7*(1+USt)</f>
        <v>0</v>
      </c>
      <c r="AO8" s="10">
        <f>+Rentabilitätsvorschau!AO7*(1+USt)</f>
        <v>0</v>
      </c>
      <c r="AP8" s="26">
        <f>SUM(AD8:AO8)</f>
        <v>0</v>
      </c>
      <c r="AQ8" s="10">
        <f>+Rentabilitätsvorschau!AQ7*(1+USt)</f>
        <v>0</v>
      </c>
      <c r="AR8" s="10">
        <f>+Rentabilitätsvorschau!AR7*(1+USt)</f>
        <v>0</v>
      </c>
      <c r="AS8" s="10">
        <f>+Rentabilitätsvorschau!AS7*(1+USt)</f>
        <v>0</v>
      </c>
      <c r="AT8" s="10">
        <f>+Rentabilitätsvorschau!AT7*(1+USt)</f>
        <v>0</v>
      </c>
      <c r="AU8" s="10">
        <f>+Rentabilitätsvorschau!AU7*(1+USt)</f>
        <v>0</v>
      </c>
      <c r="AV8" s="10">
        <f>+Rentabilitätsvorschau!AV7*(1+USt)</f>
        <v>0</v>
      </c>
      <c r="AW8" s="10">
        <f>+Rentabilitätsvorschau!AW7*(1+USt)</f>
        <v>0</v>
      </c>
      <c r="AX8" s="10">
        <f>+Rentabilitätsvorschau!AX7*(1+USt)</f>
        <v>0</v>
      </c>
      <c r="AY8" s="10">
        <f>+Rentabilitätsvorschau!AY7*(1+USt)</f>
        <v>0</v>
      </c>
      <c r="AZ8" s="10">
        <f>+Rentabilitätsvorschau!AZ7*(1+USt)</f>
        <v>0</v>
      </c>
      <c r="BA8" s="10">
        <f>+Rentabilitätsvorschau!BA7*(1+USt)</f>
        <v>0</v>
      </c>
      <c r="BB8" s="10">
        <f>+Rentabilitätsvorschau!BB7*(1+USt)</f>
        <v>0</v>
      </c>
      <c r="BC8" s="26">
        <f>SUM(AQ8:BB8)</f>
        <v>0</v>
      </c>
    </row>
    <row r="9" spans="1:55" x14ac:dyDescent="0.35">
      <c r="A9" s="8" t="str">
        <f>+Rentabilitätsvorschau!A8</f>
        <v>Wareneinkauf/Materialaufwand</v>
      </c>
      <c r="D9" s="10"/>
      <c r="E9" s="10"/>
      <c r="F9" s="10"/>
      <c r="G9" s="10"/>
      <c r="H9" s="10"/>
      <c r="I9" s="10"/>
      <c r="J9" s="10"/>
      <c r="K9" s="10"/>
      <c r="L9" s="10"/>
      <c r="M9" s="10"/>
      <c r="N9" s="10"/>
      <c r="O9" s="10"/>
      <c r="P9" s="26"/>
      <c r="Q9" s="10"/>
      <c r="R9" s="10"/>
      <c r="S9" s="10"/>
      <c r="T9" s="10"/>
      <c r="U9" s="10"/>
      <c r="V9" s="10"/>
      <c r="W9" s="10"/>
      <c r="X9" s="10"/>
      <c r="Y9" s="10"/>
      <c r="Z9" s="10"/>
      <c r="AA9" s="10"/>
      <c r="AB9" s="10"/>
      <c r="AC9" s="26"/>
      <c r="AD9" s="10"/>
      <c r="AE9" s="10"/>
      <c r="AF9" s="10"/>
      <c r="AG9" s="10"/>
      <c r="AH9" s="10"/>
      <c r="AI9" s="10"/>
      <c r="AJ9" s="10"/>
      <c r="AK9" s="10"/>
      <c r="AL9" s="10"/>
      <c r="AM9" s="10"/>
      <c r="AN9" s="10"/>
      <c r="AO9" s="10"/>
      <c r="AP9" s="26"/>
      <c r="AQ9" s="10"/>
      <c r="AR9" s="10"/>
      <c r="AS9" s="10"/>
      <c r="AT9" s="10"/>
      <c r="AU9" s="10"/>
      <c r="AV9" s="10"/>
      <c r="AW9" s="10"/>
      <c r="AX9" s="10"/>
      <c r="AY9" s="10"/>
      <c r="AZ9" s="10"/>
      <c r="BA9" s="10"/>
      <c r="BB9" s="10"/>
      <c r="BC9" s="26"/>
    </row>
    <row r="10" spans="1:55" x14ac:dyDescent="0.35">
      <c r="B10" t="str">
        <f>+Rentabilitätsvorschau!C9</f>
        <v>pauschaler Wareneinsatz</v>
      </c>
      <c r="D10" s="10">
        <f>+Rentabilitätsvorschau!D9*(1+VStWEeins)</f>
        <v>0</v>
      </c>
      <c r="E10" s="10">
        <f>+Rentabilitätsvorschau!E9*(1+VStWEeins)</f>
        <v>0</v>
      </c>
      <c r="F10" s="10">
        <f>+Rentabilitätsvorschau!F9*(1+VStWEeins)</f>
        <v>0</v>
      </c>
      <c r="G10" s="10">
        <f>+Rentabilitätsvorschau!G9*(1+VStWEeins)</f>
        <v>0</v>
      </c>
      <c r="H10" s="10">
        <f>+Rentabilitätsvorschau!H9*(1+VStWEeins)</f>
        <v>0</v>
      </c>
      <c r="I10" s="10">
        <f>+Rentabilitätsvorschau!I9*(1+VStWEeins)</f>
        <v>0</v>
      </c>
      <c r="J10" s="10">
        <f>+Rentabilitätsvorschau!J9*(1+VStWEeins)</f>
        <v>0</v>
      </c>
      <c r="K10" s="10">
        <f>+Rentabilitätsvorschau!K9*(1+VStWEeins)</f>
        <v>0</v>
      </c>
      <c r="L10" s="10">
        <f>+Rentabilitätsvorschau!L9*(1+VStWEeins)</f>
        <v>0</v>
      </c>
      <c r="M10" s="10">
        <f>+Rentabilitätsvorschau!M9*(1+VStWEeins)</f>
        <v>0</v>
      </c>
      <c r="N10" s="10">
        <f>+Rentabilitätsvorschau!N9*(1+VStWEeins)</f>
        <v>0</v>
      </c>
      <c r="O10" s="10">
        <f>+Rentabilitätsvorschau!O9*(1+VStWEeins)</f>
        <v>0</v>
      </c>
      <c r="P10" s="26">
        <f t="shared" si="0"/>
        <v>0</v>
      </c>
      <c r="Q10" s="10">
        <f>+Rentabilitätsvorschau!Q9*(1+VStWE)</f>
        <v>0</v>
      </c>
      <c r="R10" s="10">
        <f>+Rentabilitätsvorschau!R9*(1+VStWE)</f>
        <v>0</v>
      </c>
      <c r="S10" s="10">
        <f>+Rentabilitätsvorschau!S9*(1+VStWE)</f>
        <v>0</v>
      </c>
      <c r="T10" s="10">
        <f>+Rentabilitätsvorschau!T9*(1+VStWE)</f>
        <v>0</v>
      </c>
      <c r="U10" s="10">
        <f>+Rentabilitätsvorschau!U9*(1+VStWE)</f>
        <v>0</v>
      </c>
      <c r="V10" s="10">
        <f>+Rentabilitätsvorschau!V9*(1+VStWE)</f>
        <v>0</v>
      </c>
      <c r="W10" s="10">
        <f>+Rentabilitätsvorschau!W9*(1+VStWE)</f>
        <v>0</v>
      </c>
      <c r="X10" s="10">
        <f>+Rentabilitätsvorschau!X9*(1+VStWE)</f>
        <v>0</v>
      </c>
      <c r="Y10" s="10">
        <f>+Rentabilitätsvorschau!Y9*(1+VStWE)</f>
        <v>0</v>
      </c>
      <c r="Z10" s="10">
        <f>+Rentabilitätsvorschau!Z9*(1+VStWE)</f>
        <v>0</v>
      </c>
      <c r="AA10" s="10">
        <f>+Rentabilitätsvorschau!AA9*(1+VStWE)</f>
        <v>0</v>
      </c>
      <c r="AB10" s="10">
        <f>+Rentabilitätsvorschau!AB9*(1+VStWE)</f>
        <v>0</v>
      </c>
      <c r="AC10" s="26">
        <f t="shared" si="1"/>
        <v>0</v>
      </c>
      <c r="AD10" s="10">
        <f>+Rentabilitätsvorschau!AD9*(1+VStWE)</f>
        <v>0</v>
      </c>
      <c r="AE10" s="10">
        <f>+Rentabilitätsvorschau!AE9*(1+VStWE)</f>
        <v>0</v>
      </c>
      <c r="AF10" s="10">
        <f>+Rentabilitätsvorschau!AF9*(1+VStWE)</f>
        <v>0</v>
      </c>
      <c r="AG10" s="10">
        <f>+Rentabilitätsvorschau!AG9*(1+VStWE)</f>
        <v>0</v>
      </c>
      <c r="AH10" s="10">
        <f>+Rentabilitätsvorschau!AH9*(1+VStWE)</f>
        <v>0</v>
      </c>
      <c r="AI10" s="10">
        <f>+Rentabilitätsvorschau!AI9*(1+VStWE)</f>
        <v>0</v>
      </c>
      <c r="AJ10" s="10">
        <f>+Rentabilitätsvorschau!AJ9*(1+VStWE)</f>
        <v>0</v>
      </c>
      <c r="AK10" s="10">
        <f>+Rentabilitätsvorschau!AK9*(1+VStWE)</f>
        <v>0</v>
      </c>
      <c r="AL10" s="10">
        <f>+Rentabilitätsvorschau!AL9*(1+VStWE)</f>
        <v>0</v>
      </c>
      <c r="AM10" s="10">
        <f>+Rentabilitätsvorschau!AM9*(1+VStWE)</f>
        <v>0</v>
      </c>
      <c r="AN10" s="10">
        <f>+Rentabilitätsvorschau!AN9*(1+VStWE)</f>
        <v>0</v>
      </c>
      <c r="AO10" s="10">
        <f>+Rentabilitätsvorschau!AO9*(1+VStWE)</f>
        <v>0</v>
      </c>
      <c r="AP10" s="26">
        <f>SUM(AD10:AO10)</f>
        <v>0</v>
      </c>
      <c r="AQ10" s="10">
        <f>+Rentabilitätsvorschau!AQ9*(1+VStWE)</f>
        <v>0</v>
      </c>
      <c r="AR10" s="10">
        <f>+Rentabilitätsvorschau!AR9*(1+VStWE)</f>
        <v>0</v>
      </c>
      <c r="AS10" s="10">
        <f>+Rentabilitätsvorschau!AS9*(1+VStWE)</f>
        <v>0</v>
      </c>
      <c r="AT10" s="10">
        <f>+Rentabilitätsvorschau!AT9*(1+VStWE)</f>
        <v>0</v>
      </c>
      <c r="AU10" s="10">
        <f>+Rentabilitätsvorschau!AU9*(1+VStWE)</f>
        <v>0</v>
      </c>
      <c r="AV10" s="10">
        <f>+Rentabilitätsvorschau!AV9*(1+VStWE)</f>
        <v>0</v>
      </c>
      <c r="AW10" s="10">
        <f>+Rentabilitätsvorschau!AW9*(1+VStWE)</f>
        <v>0</v>
      </c>
      <c r="AX10" s="10">
        <f>+Rentabilitätsvorschau!AX9*(1+VStWE)</f>
        <v>0</v>
      </c>
      <c r="AY10" s="10">
        <f>+Rentabilitätsvorschau!AY9*(1+VStWE)</f>
        <v>0</v>
      </c>
      <c r="AZ10" s="10">
        <f>+Rentabilitätsvorschau!AZ9*(1+VStWE)</f>
        <v>0</v>
      </c>
      <c r="BA10" s="10">
        <f>+Rentabilitätsvorschau!BA9*(1+VStWE)</f>
        <v>0</v>
      </c>
      <c r="BB10" s="10">
        <f>+Rentabilitätsvorschau!BB9*(1+VStWE)</f>
        <v>0</v>
      </c>
      <c r="BC10" s="26">
        <f>SUM(AQ10:BB10)</f>
        <v>0</v>
      </c>
    </row>
    <row r="11" spans="1:55" x14ac:dyDescent="0.35">
      <c r="A11" s="8"/>
      <c r="B11" s="45" t="str">
        <f>+Rentabilitätsvorschau!B10</f>
        <v>Fremdleistungen</v>
      </c>
      <c r="D11" s="10">
        <f>+Rentabilitätsvorschau!D10*(1+VSteins)</f>
        <v>0</v>
      </c>
      <c r="E11" s="10">
        <f>+Rentabilitätsvorschau!E10*(1+VSteins)</f>
        <v>0</v>
      </c>
      <c r="F11" s="10">
        <f>+Rentabilitätsvorschau!F10*(1+VSteins)</f>
        <v>0</v>
      </c>
      <c r="G11" s="10">
        <f>+Rentabilitätsvorschau!G10*(1+VSteins)</f>
        <v>0</v>
      </c>
      <c r="H11" s="10">
        <f>+Rentabilitätsvorschau!H10*(1+VSteins)</f>
        <v>0</v>
      </c>
      <c r="I11" s="10">
        <f>+Rentabilitätsvorschau!I10*(1+VSteins)</f>
        <v>0</v>
      </c>
      <c r="J11" s="10">
        <f>+Rentabilitätsvorschau!J10*(1+VSteins)</f>
        <v>0</v>
      </c>
      <c r="K11" s="10">
        <f>+Rentabilitätsvorschau!K10*(1+VSteins)</f>
        <v>0</v>
      </c>
      <c r="L11" s="10">
        <f>+Rentabilitätsvorschau!L10*(1+VSteins)</f>
        <v>0</v>
      </c>
      <c r="M11" s="10">
        <f>+Rentabilitätsvorschau!M10*(1+VSteins)</f>
        <v>0</v>
      </c>
      <c r="N11" s="10">
        <f>+Rentabilitätsvorschau!N10*(1+VSteins)</f>
        <v>0</v>
      </c>
      <c r="O11" s="10">
        <f>+Rentabilitätsvorschau!O10*(1+VSteins)</f>
        <v>0</v>
      </c>
      <c r="P11" s="26">
        <f t="shared" si="0"/>
        <v>0</v>
      </c>
      <c r="Q11" s="10">
        <f>+Rentabilitätsvorschau!Q10*(1+VSt)</f>
        <v>0</v>
      </c>
      <c r="R11" s="10">
        <f>+Rentabilitätsvorschau!R10*(1+VSt)</f>
        <v>0</v>
      </c>
      <c r="S11" s="10">
        <f>+Rentabilitätsvorschau!S10*(1+VSt)</f>
        <v>0</v>
      </c>
      <c r="T11" s="10">
        <f>+Rentabilitätsvorschau!T10*(1+VSt)</f>
        <v>0</v>
      </c>
      <c r="U11" s="10">
        <f>+Rentabilitätsvorschau!U10*(1+VSt)</f>
        <v>0</v>
      </c>
      <c r="V11" s="10">
        <f>+Rentabilitätsvorschau!V10*(1+VSt)</f>
        <v>0</v>
      </c>
      <c r="W11" s="10">
        <f>+Rentabilitätsvorschau!W10*(1+VSt)</f>
        <v>0</v>
      </c>
      <c r="X11" s="10">
        <f>+Rentabilitätsvorschau!X10*(1+VSt)</f>
        <v>0</v>
      </c>
      <c r="Y11" s="10">
        <f>+Rentabilitätsvorschau!Y10*(1+VSt)</f>
        <v>0</v>
      </c>
      <c r="Z11" s="10">
        <f>+Rentabilitätsvorschau!Z10*(1+VSt)</f>
        <v>0</v>
      </c>
      <c r="AA11" s="10">
        <f>+Rentabilitätsvorschau!AA10*(1+VSt)</f>
        <v>0</v>
      </c>
      <c r="AB11" s="10">
        <f>+Rentabilitätsvorschau!AB10*(1+VSt)</f>
        <v>0</v>
      </c>
      <c r="AC11" s="26">
        <f t="shared" si="1"/>
        <v>0</v>
      </c>
      <c r="AD11" s="10">
        <f>+Rentabilitätsvorschau!AD10*(1+VStWE)</f>
        <v>0</v>
      </c>
      <c r="AE11" s="10">
        <f>+Rentabilitätsvorschau!AE10*(1+VStWE)</f>
        <v>0</v>
      </c>
      <c r="AF11" s="10">
        <f>+Rentabilitätsvorschau!AF10*(1+VStWE)</f>
        <v>0</v>
      </c>
      <c r="AG11" s="10">
        <f>+Rentabilitätsvorschau!AG10*(1+VStWE)</f>
        <v>0</v>
      </c>
      <c r="AH11" s="10">
        <f>+Rentabilitätsvorschau!AH10*(1+VStWE)</f>
        <v>0</v>
      </c>
      <c r="AI11" s="10">
        <f>+Rentabilitätsvorschau!AI10*(1+VStWE)</f>
        <v>0</v>
      </c>
      <c r="AJ11" s="10">
        <f>+Rentabilitätsvorschau!AJ10*(1+VStWE)</f>
        <v>0</v>
      </c>
      <c r="AK11" s="10">
        <f>+Rentabilitätsvorschau!AK10*(1+VStWE)</f>
        <v>0</v>
      </c>
      <c r="AL11" s="10">
        <f>+Rentabilitätsvorschau!AL10*(1+VStWE)</f>
        <v>0</v>
      </c>
      <c r="AM11" s="10">
        <f>+Rentabilitätsvorschau!AM10*(1+VStWE)</f>
        <v>0</v>
      </c>
      <c r="AN11" s="10">
        <f>+Rentabilitätsvorschau!AN10*(1+VStWE)</f>
        <v>0</v>
      </c>
      <c r="AO11" s="10">
        <f>+Rentabilitätsvorschau!AO10*(1+VStWE)</f>
        <v>0</v>
      </c>
      <c r="AP11" s="26">
        <f>SUM(AD11:AO11)</f>
        <v>0</v>
      </c>
      <c r="AQ11" s="10">
        <f>+Rentabilitätsvorschau!AQ10*(1+VStWE)</f>
        <v>0</v>
      </c>
      <c r="AR11" s="10">
        <f>+Rentabilitätsvorschau!AR10*(1+VStWE)</f>
        <v>0</v>
      </c>
      <c r="AS11" s="10">
        <f>+Rentabilitätsvorschau!AS10*(1+VStWE)</f>
        <v>0</v>
      </c>
      <c r="AT11" s="10">
        <f>+Rentabilitätsvorschau!AT10*(1+VStWE)</f>
        <v>0</v>
      </c>
      <c r="AU11" s="10">
        <f>+Rentabilitätsvorschau!AU10*(1+VStWE)</f>
        <v>0</v>
      </c>
      <c r="AV11" s="10">
        <f>+Rentabilitätsvorschau!AV10*(1+VStWE)</f>
        <v>0</v>
      </c>
      <c r="AW11" s="10">
        <f>+Rentabilitätsvorschau!AW10*(1+VStWE)</f>
        <v>0</v>
      </c>
      <c r="AX11" s="10">
        <f>+Rentabilitätsvorschau!AX10*(1+VStWE)</f>
        <v>0</v>
      </c>
      <c r="AY11" s="10">
        <f>+Rentabilitätsvorschau!AY10*(1+VStWE)</f>
        <v>0</v>
      </c>
      <c r="AZ11" s="10">
        <f>+Rentabilitätsvorschau!AZ10*(1+VStWE)</f>
        <v>0</v>
      </c>
      <c r="BA11" s="10">
        <f>+Rentabilitätsvorschau!BA10*(1+VStWE)</f>
        <v>0</v>
      </c>
      <c r="BB11" s="10">
        <f>+Rentabilitätsvorschau!BB10*(1+VStWE)</f>
        <v>0</v>
      </c>
      <c r="BC11" s="26">
        <f>SUM(AQ11:BB11)</f>
        <v>0</v>
      </c>
    </row>
    <row r="12" spans="1:55" x14ac:dyDescent="0.35">
      <c r="A12" s="8"/>
      <c r="B12" s="45" t="str">
        <f>+Rentabilitätsvorschau!B11</f>
        <v>Wareneinkauf Saisongeschäft</v>
      </c>
      <c r="D12" s="10">
        <f>+Rentabilitätsvorschau!D11*(1+VSteins)</f>
        <v>0</v>
      </c>
      <c r="E12" s="10">
        <f>+Rentabilitätsvorschau!E11*(1+VSteins)</f>
        <v>0</v>
      </c>
      <c r="F12" s="10">
        <f>+Rentabilitätsvorschau!F11*(1+VSteins)</f>
        <v>0</v>
      </c>
      <c r="G12" s="10">
        <f>+Rentabilitätsvorschau!G11*(1+VSteins)</f>
        <v>0</v>
      </c>
      <c r="H12" s="10">
        <f>+Rentabilitätsvorschau!H11*(1+VSteins)</f>
        <v>0</v>
      </c>
      <c r="I12" s="10">
        <f>+Rentabilitätsvorschau!I11*(1+VSteins)</f>
        <v>0</v>
      </c>
      <c r="J12" s="10">
        <f>+Rentabilitätsvorschau!J11*(1+VSteins)</f>
        <v>0</v>
      </c>
      <c r="K12" s="10">
        <f>+Rentabilitätsvorschau!K11*(1+VSteins)</f>
        <v>0</v>
      </c>
      <c r="L12" s="10">
        <f>+Rentabilitätsvorschau!L11*(1+VSteins)</f>
        <v>0</v>
      </c>
      <c r="M12" s="10">
        <f>+Rentabilitätsvorschau!M11*(1+VSteins)</f>
        <v>0</v>
      </c>
      <c r="N12" s="10">
        <f>+Rentabilitätsvorschau!N11*(1+VSteins)</f>
        <v>0</v>
      </c>
      <c r="O12" s="10">
        <f>+Rentabilitätsvorschau!O11*(1+VSteins)</f>
        <v>0</v>
      </c>
      <c r="P12" s="26">
        <f t="shared" ref="P12:P13" si="2">SUM(D12:O12)</f>
        <v>0</v>
      </c>
      <c r="Q12" s="10">
        <f>+Rentabilitätsvorschau!Q11*(1+VSt)</f>
        <v>0</v>
      </c>
      <c r="R12" s="10">
        <f>+Rentabilitätsvorschau!R11*(1+VSt)</f>
        <v>0</v>
      </c>
      <c r="S12" s="10">
        <f>+Rentabilitätsvorschau!S11*(1+VSt)</f>
        <v>0</v>
      </c>
      <c r="T12" s="10">
        <f>+Rentabilitätsvorschau!T11*(1+VSt)</f>
        <v>0</v>
      </c>
      <c r="U12" s="10">
        <f>+Rentabilitätsvorschau!U11*(1+VSt)</f>
        <v>0</v>
      </c>
      <c r="V12" s="10">
        <f>+Rentabilitätsvorschau!V11*(1+VSt)</f>
        <v>0</v>
      </c>
      <c r="W12" s="10">
        <f>+Rentabilitätsvorschau!W11*(1+VSt)</f>
        <v>0</v>
      </c>
      <c r="X12" s="10">
        <f>+Rentabilitätsvorschau!X11*(1+VSt)</f>
        <v>0</v>
      </c>
      <c r="Y12" s="10">
        <f>+Rentabilitätsvorschau!Y11*(1+VSt)</f>
        <v>0</v>
      </c>
      <c r="Z12" s="10">
        <f>+Rentabilitätsvorschau!Z11*(1+VSt)</f>
        <v>0</v>
      </c>
      <c r="AA12" s="10">
        <f>+Rentabilitätsvorschau!AA11*(1+VSt)</f>
        <v>0</v>
      </c>
      <c r="AB12" s="10">
        <f>+Rentabilitätsvorschau!AB11*(1+VSt)</f>
        <v>0</v>
      </c>
      <c r="AC12" s="26">
        <f t="shared" ref="AC12:AC13" si="3">SUM(Q12:AB12)</f>
        <v>0</v>
      </c>
      <c r="AD12" s="10">
        <f>+Rentabilitätsvorschau!AD11*(1+VStWE)</f>
        <v>0</v>
      </c>
      <c r="AE12" s="10">
        <f>+Rentabilitätsvorschau!AE11*(1+VStWE)</f>
        <v>0</v>
      </c>
      <c r="AF12" s="10">
        <f>+Rentabilitätsvorschau!AF11*(1+VStWE)</f>
        <v>0</v>
      </c>
      <c r="AG12" s="10">
        <f>+Rentabilitätsvorschau!AG11*(1+VStWE)</f>
        <v>0</v>
      </c>
      <c r="AH12" s="10">
        <f>+Rentabilitätsvorschau!AH11*(1+VStWE)</f>
        <v>0</v>
      </c>
      <c r="AI12" s="10">
        <f>+Rentabilitätsvorschau!AI11*(1+VStWE)</f>
        <v>0</v>
      </c>
      <c r="AJ12" s="10">
        <f>+Rentabilitätsvorschau!AJ11*(1+VStWE)</f>
        <v>0</v>
      </c>
      <c r="AK12" s="10">
        <f>+Rentabilitätsvorschau!AK11*(1+VStWE)</f>
        <v>0</v>
      </c>
      <c r="AL12" s="10">
        <f>+Rentabilitätsvorschau!AL11*(1+VStWE)</f>
        <v>0</v>
      </c>
      <c r="AM12" s="10">
        <f>+Rentabilitätsvorschau!AM11*(1+VStWE)</f>
        <v>0</v>
      </c>
      <c r="AN12" s="10">
        <f>+Rentabilitätsvorschau!AN11*(1+VStWE)</f>
        <v>0</v>
      </c>
      <c r="AO12" s="10">
        <f>+Rentabilitätsvorschau!AO11*(1+VStWE)</f>
        <v>0</v>
      </c>
      <c r="AP12" s="26">
        <f t="shared" ref="AP12:AP13" si="4">SUM(AD12:AO12)</f>
        <v>0</v>
      </c>
      <c r="AQ12" s="10">
        <f>+Rentabilitätsvorschau!AQ11*(1+VStWE)</f>
        <v>0</v>
      </c>
      <c r="AR12" s="10">
        <f>+Rentabilitätsvorschau!AR11*(1+VStWE)</f>
        <v>0</v>
      </c>
      <c r="AS12" s="10">
        <f>+Rentabilitätsvorschau!AS11*(1+VStWE)</f>
        <v>0</v>
      </c>
      <c r="AT12" s="10">
        <f>+Rentabilitätsvorschau!AT11*(1+VStWE)</f>
        <v>0</v>
      </c>
      <c r="AU12" s="10">
        <f>+Rentabilitätsvorschau!AU11*(1+VStWE)</f>
        <v>0</v>
      </c>
      <c r="AV12" s="10">
        <f>+Rentabilitätsvorschau!AV11*(1+VStWE)</f>
        <v>0</v>
      </c>
      <c r="AW12" s="10">
        <f>+Rentabilitätsvorschau!AW11*(1+VStWE)</f>
        <v>0</v>
      </c>
      <c r="AX12" s="10">
        <f>+Rentabilitätsvorschau!AX11*(1+VStWE)</f>
        <v>0</v>
      </c>
      <c r="AY12" s="10">
        <f>+Rentabilitätsvorschau!AY11*(1+VStWE)</f>
        <v>0</v>
      </c>
      <c r="AZ12" s="10">
        <f>+Rentabilitätsvorschau!AZ11*(1+VStWE)</f>
        <v>0</v>
      </c>
      <c r="BA12" s="10">
        <f>+Rentabilitätsvorschau!BA11*(1+VStWE)</f>
        <v>0</v>
      </c>
      <c r="BB12" s="10">
        <f>+Rentabilitätsvorschau!BB11*(1+VStWE)</f>
        <v>0</v>
      </c>
      <c r="BC12" s="26">
        <f t="shared" ref="BC12:BC13" si="5">SUM(AQ12:BB12)</f>
        <v>0</v>
      </c>
    </row>
    <row r="13" spans="1:55" x14ac:dyDescent="0.35">
      <c r="A13" s="8"/>
      <c r="B13" s="45" t="str">
        <f>+Rentabilitätsvorschau!B12</f>
        <v>Warenlager-Erstausstattung und -aufstockung</v>
      </c>
      <c r="D13" s="10">
        <f>+Rentabilitätsvorschau!D12*(1+VSteins)</f>
        <v>0</v>
      </c>
      <c r="E13" s="10">
        <f>+Rentabilitätsvorschau!E12*(1+VSteins)</f>
        <v>0</v>
      </c>
      <c r="F13" s="10">
        <f>+Rentabilitätsvorschau!F12*(1+VSteins)</f>
        <v>0</v>
      </c>
      <c r="G13" s="10">
        <f>+Rentabilitätsvorschau!G12*(1+VSteins)</f>
        <v>0</v>
      </c>
      <c r="H13" s="10">
        <f>+Rentabilitätsvorschau!H12*(1+VSteins)</f>
        <v>0</v>
      </c>
      <c r="I13" s="10">
        <f>+Rentabilitätsvorschau!I12*(1+VSteins)</f>
        <v>0</v>
      </c>
      <c r="J13" s="10">
        <f>+Rentabilitätsvorschau!J12*(1+VSteins)</f>
        <v>0</v>
      </c>
      <c r="K13" s="10">
        <f>+Rentabilitätsvorschau!K12*(1+VSteins)</f>
        <v>0</v>
      </c>
      <c r="L13" s="10">
        <f>+Rentabilitätsvorschau!L12*(1+VSteins)</f>
        <v>0</v>
      </c>
      <c r="M13" s="10">
        <f>+Rentabilitätsvorschau!M12*(1+VSteins)</f>
        <v>0</v>
      </c>
      <c r="N13" s="10">
        <f>+Rentabilitätsvorschau!N12*(1+VSteins)</f>
        <v>0</v>
      </c>
      <c r="O13" s="10">
        <f>+Rentabilitätsvorschau!O12*(1+VSteins)</f>
        <v>0</v>
      </c>
      <c r="P13" s="26">
        <f t="shared" si="2"/>
        <v>0</v>
      </c>
      <c r="Q13" s="10">
        <f>+Rentabilitätsvorschau!Q12*(1+VSt)</f>
        <v>0</v>
      </c>
      <c r="R13" s="10">
        <f>+Rentabilitätsvorschau!R12*(1+VSt)</f>
        <v>0</v>
      </c>
      <c r="S13" s="10">
        <f>+Rentabilitätsvorschau!S12*(1+VSt)</f>
        <v>0</v>
      </c>
      <c r="T13" s="10">
        <f>+Rentabilitätsvorschau!T12*(1+VSt)</f>
        <v>0</v>
      </c>
      <c r="U13" s="10">
        <f>+Rentabilitätsvorschau!U12*(1+VSt)</f>
        <v>0</v>
      </c>
      <c r="V13" s="10">
        <f>+Rentabilitätsvorschau!V12*(1+VSt)</f>
        <v>0</v>
      </c>
      <c r="W13" s="10">
        <f>+Rentabilitätsvorschau!W12*(1+VSt)</f>
        <v>0</v>
      </c>
      <c r="X13" s="10">
        <f>+Rentabilitätsvorschau!X12*(1+VSt)</f>
        <v>0</v>
      </c>
      <c r="Y13" s="10">
        <f>+Rentabilitätsvorschau!Y12*(1+VSt)</f>
        <v>0</v>
      </c>
      <c r="Z13" s="10">
        <f>+Rentabilitätsvorschau!Z12*(1+VSt)</f>
        <v>0</v>
      </c>
      <c r="AA13" s="10">
        <f>+Rentabilitätsvorschau!AA12*(1+VSt)</f>
        <v>0</v>
      </c>
      <c r="AB13" s="10">
        <f>+Rentabilitätsvorschau!AB12*(1+VSt)</f>
        <v>0</v>
      </c>
      <c r="AC13" s="26">
        <f t="shared" si="3"/>
        <v>0</v>
      </c>
      <c r="AD13" s="10">
        <f>+Rentabilitätsvorschau!AD12*(1+VStWE)</f>
        <v>0</v>
      </c>
      <c r="AE13" s="10">
        <f>+Rentabilitätsvorschau!AE12*(1+VStWE)</f>
        <v>0</v>
      </c>
      <c r="AF13" s="10">
        <f>+Rentabilitätsvorschau!AF12*(1+VStWE)</f>
        <v>0</v>
      </c>
      <c r="AG13" s="10">
        <f>+Rentabilitätsvorschau!AG12*(1+VStWE)</f>
        <v>0</v>
      </c>
      <c r="AH13" s="10">
        <f>+Rentabilitätsvorschau!AH12*(1+VStWE)</f>
        <v>0</v>
      </c>
      <c r="AI13" s="10">
        <f>+Rentabilitätsvorschau!AI12*(1+VStWE)</f>
        <v>0</v>
      </c>
      <c r="AJ13" s="10">
        <f>+Rentabilitätsvorschau!AJ12*(1+VStWE)</f>
        <v>0</v>
      </c>
      <c r="AK13" s="10">
        <f>+Rentabilitätsvorschau!AK12*(1+VStWE)</f>
        <v>0</v>
      </c>
      <c r="AL13" s="10">
        <f>+Rentabilitätsvorschau!AL12*(1+VStWE)</f>
        <v>0</v>
      </c>
      <c r="AM13" s="10">
        <f>+Rentabilitätsvorschau!AM12*(1+VStWE)</f>
        <v>0</v>
      </c>
      <c r="AN13" s="10">
        <f>+Rentabilitätsvorschau!AN12*(1+VStWE)</f>
        <v>0</v>
      </c>
      <c r="AO13" s="10">
        <f>+Rentabilitätsvorschau!AO12*(1+VStWE)</f>
        <v>0</v>
      </c>
      <c r="AP13" s="26">
        <f t="shared" si="4"/>
        <v>0</v>
      </c>
      <c r="AQ13" s="10">
        <f>+Rentabilitätsvorschau!AQ12*(1+VStWE)</f>
        <v>0</v>
      </c>
      <c r="AR13" s="10">
        <f>+Rentabilitätsvorschau!AR12*(1+VStWE)</f>
        <v>0</v>
      </c>
      <c r="AS13" s="10">
        <f>+Rentabilitätsvorschau!AS12*(1+VStWE)</f>
        <v>0</v>
      </c>
      <c r="AT13" s="10">
        <f>+Rentabilitätsvorschau!AT12*(1+VStWE)</f>
        <v>0</v>
      </c>
      <c r="AU13" s="10">
        <f>+Rentabilitätsvorschau!AU12*(1+VStWE)</f>
        <v>0</v>
      </c>
      <c r="AV13" s="10">
        <f>+Rentabilitätsvorschau!AV12*(1+VStWE)</f>
        <v>0</v>
      </c>
      <c r="AW13" s="10">
        <f>+Rentabilitätsvorschau!AW12*(1+VStWE)</f>
        <v>0</v>
      </c>
      <c r="AX13" s="10">
        <f>+Rentabilitätsvorschau!AX12*(1+VStWE)</f>
        <v>0</v>
      </c>
      <c r="AY13" s="10">
        <f>+Rentabilitätsvorschau!AY12*(1+VStWE)</f>
        <v>0</v>
      </c>
      <c r="AZ13" s="10">
        <f>+Rentabilitätsvorschau!AZ12*(1+VStWE)</f>
        <v>0</v>
      </c>
      <c r="BA13" s="10">
        <f>+Rentabilitätsvorschau!BA12*(1+VStWE)</f>
        <v>0</v>
      </c>
      <c r="BB13" s="10">
        <f>+Rentabilitätsvorschau!BB12*(1+VStWE)</f>
        <v>0</v>
      </c>
      <c r="BC13" s="26">
        <f t="shared" si="5"/>
        <v>0</v>
      </c>
    </row>
    <row r="14" spans="1:55" x14ac:dyDescent="0.35">
      <c r="A14" s="9" t="str">
        <f>+Rentabilitätsvorschau!A13</f>
        <v>Rohergebnis</v>
      </c>
      <c r="B14" s="9"/>
      <c r="C14" s="9"/>
      <c r="D14" s="20">
        <f>+D4+D5+D6-D7+D8-D10-D11-D12-D13</f>
        <v>0</v>
      </c>
      <c r="E14" s="20">
        <f t="shared" ref="E14:BC14" si="6">+E4+E5+E6-E7+E8-E10-E11-E12-E13</f>
        <v>0</v>
      </c>
      <c r="F14" s="20">
        <f t="shared" si="6"/>
        <v>0</v>
      </c>
      <c r="G14" s="20">
        <f t="shared" si="6"/>
        <v>0</v>
      </c>
      <c r="H14" s="20">
        <f t="shared" si="6"/>
        <v>0</v>
      </c>
      <c r="I14" s="20">
        <f t="shared" si="6"/>
        <v>0</v>
      </c>
      <c r="J14" s="20">
        <f t="shared" si="6"/>
        <v>0</v>
      </c>
      <c r="K14" s="20">
        <f t="shared" si="6"/>
        <v>0</v>
      </c>
      <c r="L14" s="20">
        <f t="shared" si="6"/>
        <v>0</v>
      </c>
      <c r="M14" s="20">
        <f t="shared" si="6"/>
        <v>0</v>
      </c>
      <c r="N14" s="20">
        <f t="shared" si="6"/>
        <v>16660</v>
      </c>
      <c r="O14" s="20">
        <f t="shared" si="6"/>
        <v>0</v>
      </c>
      <c r="P14" s="20">
        <f t="shared" si="6"/>
        <v>16660</v>
      </c>
      <c r="Q14" s="20">
        <f t="shared" si="6"/>
        <v>21420</v>
      </c>
      <c r="R14" s="20">
        <f t="shared" si="6"/>
        <v>0</v>
      </c>
      <c r="S14" s="20">
        <f t="shared" si="6"/>
        <v>0</v>
      </c>
      <c r="T14" s="20">
        <f t="shared" si="6"/>
        <v>0</v>
      </c>
      <c r="U14" s="20">
        <f t="shared" si="6"/>
        <v>0</v>
      </c>
      <c r="V14" s="20">
        <f t="shared" si="6"/>
        <v>0</v>
      </c>
      <c r="W14" s="20">
        <f t="shared" si="6"/>
        <v>0</v>
      </c>
      <c r="X14" s="20">
        <f t="shared" si="6"/>
        <v>0</v>
      </c>
      <c r="Y14" s="20">
        <f t="shared" si="6"/>
        <v>0</v>
      </c>
      <c r="Z14" s="20">
        <f t="shared" si="6"/>
        <v>0</v>
      </c>
      <c r="AA14" s="20">
        <f t="shared" si="6"/>
        <v>0</v>
      </c>
      <c r="AB14" s="20">
        <f t="shared" si="6"/>
        <v>0</v>
      </c>
      <c r="AC14" s="20">
        <f t="shared" si="6"/>
        <v>21420</v>
      </c>
      <c r="AD14" s="20">
        <f t="shared" si="6"/>
        <v>0</v>
      </c>
      <c r="AE14" s="20">
        <f t="shared" si="6"/>
        <v>0</v>
      </c>
      <c r="AF14" s="20">
        <f t="shared" si="6"/>
        <v>0</v>
      </c>
      <c r="AG14" s="20">
        <f t="shared" si="6"/>
        <v>0</v>
      </c>
      <c r="AH14" s="20">
        <f t="shared" si="6"/>
        <v>0</v>
      </c>
      <c r="AI14" s="20">
        <f t="shared" si="6"/>
        <v>0</v>
      </c>
      <c r="AJ14" s="20">
        <f t="shared" si="6"/>
        <v>0</v>
      </c>
      <c r="AK14" s="20">
        <f t="shared" si="6"/>
        <v>0</v>
      </c>
      <c r="AL14" s="20">
        <f t="shared" si="6"/>
        <v>0</v>
      </c>
      <c r="AM14" s="20">
        <f t="shared" si="6"/>
        <v>0</v>
      </c>
      <c r="AN14" s="20">
        <f t="shared" si="6"/>
        <v>0</v>
      </c>
      <c r="AO14" s="20">
        <f t="shared" si="6"/>
        <v>0</v>
      </c>
      <c r="AP14" s="20">
        <f t="shared" si="6"/>
        <v>0</v>
      </c>
      <c r="AQ14" s="20">
        <f t="shared" si="6"/>
        <v>0</v>
      </c>
      <c r="AR14" s="20">
        <f t="shared" si="6"/>
        <v>0</v>
      </c>
      <c r="AS14" s="20">
        <f t="shared" si="6"/>
        <v>0</v>
      </c>
      <c r="AT14" s="20">
        <f t="shared" si="6"/>
        <v>0</v>
      </c>
      <c r="AU14" s="20">
        <f t="shared" si="6"/>
        <v>0</v>
      </c>
      <c r="AV14" s="20">
        <f t="shared" si="6"/>
        <v>0</v>
      </c>
      <c r="AW14" s="20">
        <f t="shared" si="6"/>
        <v>0</v>
      </c>
      <c r="AX14" s="20">
        <f t="shared" si="6"/>
        <v>0</v>
      </c>
      <c r="AY14" s="20">
        <f t="shared" si="6"/>
        <v>0</v>
      </c>
      <c r="AZ14" s="20">
        <f t="shared" si="6"/>
        <v>0</v>
      </c>
      <c r="BA14" s="20">
        <f t="shared" si="6"/>
        <v>0</v>
      </c>
      <c r="BB14" s="20">
        <f t="shared" si="6"/>
        <v>0</v>
      </c>
      <c r="BC14" s="20">
        <f t="shared" si="6"/>
        <v>0</v>
      </c>
    </row>
    <row r="15" spans="1:55" ht="21" customHeight="1" x14ac:dyDescent="0.35">
      <c r="A15" s="8" t="str">
        <f>+Rentabilitätsvorschau!A14</f>
        <v>Personalaufwand incl. Sozialabgaben (ca. 22%)</v>
      </c>
      <c r="D15" s="10">
        <f>+Rentabilitätsvorschau!D14</f>
        <v>0</v>
      </c>
      <c r="E15" s="10">
        <f>+Rentabilitätsvorschau!E14</f>
        <v>0</v>
      </c>
      <c r="F15" s="10">
        <f>+Rentabilitätsvorschau!F14</f>
        <v>0</v>
      </c>
      <c r="G15" s="10">
        <f>+Rentabilitätsvorschau!G14</f>
        <v>0</v>
      </c>
      <c r="H15" s="10">
        <f>+Rentabilitätsvorschau!H14</f>
        <v>0</v>
      </c>
      <c r="I15" s="10">
        <f>+Rentabilitätsvorschau!I14</f>
        <v>0</v>
      </c>
      <c r="J15" s="10">
        <f>+Rentabilitätsvorschau!J14</f>
        <v>0</v>
      </c>
      <c r="K15" s="10">
        <f>+Rentabilitätsvorschau!K14</f>
        <v>0</v>
      </c>
      <c r="L15" s="10">
        <f>+Rentabilitätsvorschau!L14</f>
        <v>0</v>
      </c>
      <c r="M15" s="10">
        <f>+Rentabilitätsvorschau!M14</f>
        <v>0</v>
      </c>
      <c r="N15" s="10">
        <f>+Rentabilitätsvorschau!N14</f>
        <v>0</v>
      </c>
      <c r="O15" s="10">
        <f>+Rentabilitätsvorschau!O14</f>
        <v>0</v>
      </c>
      <c r="P15" s="26">
        <f>SUM(D15:O15)</f>
        <v>0</v>
      </c>
      <c r="Q15" s="10">
        <f>+Rentabilitätsvorschau!Q14</f>
        <v>720</v>
      </c>
      <c r="R15" s="10">
        <f>+Rentabilitätsvorschau!R14</f>
        <v>720</v>
      </c>
      <c r="S15" s="10">
        <f>+Rentabilitätsvorschau!S14</f>
        <v>720</v>
      </c>
      <c r="T15" s="10">
        <f>+Rentabilitätsvorschau!T14</f>
        <v>720</v>
      </c>
      <c r="U15" s="10">
        <f>+Rentabilitätsvorschau!U14</f>
        <v>720</v>
      </c>
      <c r="V15" s="10">
        <f>+Rentabilitätsvorschau!V14</f>
        <v>720</v>
      </c>
      <c r="W15" s="10">
        <f>+Rentabilitätsvorschau!W14</f>
        <v>720</v>
      </c>
      <c r="X15" s="10">
        <f>+Rentabilitätsvorschau!X14</f>
        <v>720</v>
      </c>
      <c r="Y15" s="10">
        <f>+Rentabilitätsvorschau!Y14</f>
        <v>720</v>
      </c>
      <c r="Z15" s="10">
        <f>+Rentabilitätsvorschau!Z14</f>
        <v>720</v>
      </c>
      <c r="AA15" s="10">
        <f>+Rentabilitätsvorschau!AA14</f>
        <v>720</v>
      </c>
      <c r="AB15" s="10">
        <f>+Rentabilitätsvorschau!AB14</f>
        <v>720</v>
      </c>
      <c r="AC15" s="26">
        <f>SUM(Q15:AB15)</f>
        <v>8640</v>
      </c>
      <c r="AD15" s="10">
        <f>+Rentabilitätsvorschau!AD14</f>
        <v>0</v>
      </c>
      <c r="AE15" s="10">
        <f>+Rentabilitätsvorschau!AE14</f>
        <v>0</v>
      </c>
      <c r="AF15" s="10">
        <f>+Rentabilitätsvorschau!AF14</f>
        <v>0</v>
      </c>
      <c r="AG15" s="10">
        <f>+Rentabilitätsvorschau!AG14</f>
        <v>0</v>
      </c>
      <c r="AH15" s="10">
        <f>+Rentabilitätsvorschau!AH14</f>
        <v>0</v>
      </c>
      <c r="AI15" s="10">
        <f>+Rentabilitätsvorschau!AI14</f>
        <v>0</v>
      </c>
      <c r="AJ15" s="10">
        <f>+Rentabilitätsvorschau!AJ14</f>
        <v>0</v>
      </c>
      <c r="AK15" s="10">
        <f>+Rentabilitätsvorschau!AK14</f>
        <v>0</v>
      </c>
      <c r="AL15" s="10">
        <f>+Rentabilitätsvorschau!AL14</f>
        <v>0</v>
      </c>
      <c r="AM15" s="10">
        <f>+Rentabilitätsvorschau!AM14</f>
        <v>0</v>
      </c>
      <c r="AN15" s="10">
        <f>+Rentabilitätsvorschau!AN14</f>
        <v>0</v>
      </c>
      <c r="AO15" s="10">
        <f>+Rentabilitätsvorschau!AO14</f>
        <v>0</v>
      </c>
      <c r="AP15" s="26">
        <f>SUM(AD15:AO15)</f>
        <v>0</v>
      </c>
      <c r="AQ15" s="10">
        <f>+Rentabilitätsvorschau!AQ14</f>
        <v>0</v>
      </c>
      <c r="AR15" s="10">
        <f>+Rentabilitätsvorschau!AR14</f>
        <v>0</v>
      </c>
      <c r="AS15" s="10">
        <f>+Rentabilitätsvorschau!AS14</f>
        <v>0</v>
      </c>
      <c r="AT15" s="10">
        <f>+Rentabilitätsvorschau!AT14</f>
        <v>0</v>
      </c>
      <c r="AU15" s="10">
        <f>+Rentabilitätsvorschau!AU14</f>
        <v>0</v>
      </c>
      <c r="AV15" s="10">
        <f>+Rentabilitätsvorschau!AV14</f>
        <v>0</v>
      </c>
      <c r="AW15" s="10">
        <f>+Rentabilitätsvorschau!AW14</f>
        <v>0</v>
      </c>
      <c r="AX15" s="10">
        <f>+Rentabilitätsvorschau!AX14</f>
        <v>0</v>
      </c>
      <c r="AY15" s="10">
        <f>+Rentabilitätsvorschau!AY14</f>
        <v>0</v>
      </c>
      <c r="AZ15" s="10">
        <f>+Rentabilitätsvorschau!AZ14</f>
        <v>0</v>
      </c>
      <c r="BA15" s="10">
        <f>+Rentabilitätsvorschau!BA14</f>
        <v>0</v>
      </c>
      <c r="BB15" s="10">
        <f>+Rentabilitätsvorschau!BB14</f>
        <v>0</v>
      </c>
      <c r="BC15" s="26">
        <f>SUM(AQ15:BB15)</f>
        <v>0</v>
      </c>
    </row>
    <row r="16" spans="1:55" x14ac:dyDescent="0.35">
      <c r="A16" s="8" t="str">
        <f>+Rentabilitätsvorschau!A15</f>
        <v>Abschreibungen</v>
      </c>
      <c r="D16" s="68" t="s">
        <v>35</v>
      </c>
      <c r="E16" s="68" t="s">
        <v>35</v>
      </c>
      <c r="F16" s="68" t="s">
        <v>35</v>
      </c>
      <c r="G16" s="68" t="s">
        <v>35</v>
      </c>
      <c r="H16" s="68" t="s">
        <v>35</v>
      </c>
      <c r="I16" s="68" t="s">
        <v>35</v>
      </c>
      <c r="J16" s="68" t="s">
        <v>35</v>
      </c>
      <c r="K16" s="68" t="s">
        <v>35</v>
      </c>
      <c r="L16" s="68" t="s">
        <v>35</v>
      </c>
      <c r="M16" s="68" t="s">
        <v>35</v>
      </c>
      <c r="N16" s="68" t="s">
        <v>35</v>
      </c>
      <c r="O16" s="68" t="s">
        <v>35</v>
      </c>
      <c r="P16" s="69" t="s">
        <v>35</v>
      </c>
      <c r="Q16" s="68" t="s">
        <v>35</v>
      </c>
      <c r="R16" s="68" t="s">
        <v>35</v>
      </c>
      <c r="S16" s="68" t="s">
        <v>35</v>
      </c>
      <c r="T16" s="68" t="s">
        <v>35</v>
      </c>
      <c r="U16" s="68" t="s">
        <v>35</v>
      </c>
      <c r="V16" s="68" t="s">
        <v>35</v>
      </c>
      <c r="W16" s="68" t="s">
        <v>35</v>
      </c>
      <c r="X16" s="68" t="s">
        <v>35</v>
      </c>
      <c r="Y16" s="68" t="s">
        <v>35</v>
      </c>
      <c r="Z16" s="68" t="s">
        <v>35</v>
      </c>
      <c r="AA16" s="68" t="s">
        <v>35</v>
      </c>
      <c r="AB16" s="68" t="s">
        <v>35</v>
      </c>
      <c r="AC16" s="69" t="s">
        <v>35</v>
      </c>
      <c r="AD16" s="68" t="s">
        <v>35</v>
      </c>
      <c r="AE16" s="68" t="s">
        <v>35</v>
      </c>
      <c r="AF16" s="68" t="s">
        <v>35</v>
      </c>
      <c r="AG16" s="68" t="s">
        <v>35</v>
      </c>
      <c r="AH16" s="68" t="s">
        <v>35</v>
      </c>
      <c r="AI16" s="68" t="s">
        <v>35</v>
      </c>
      <c r="AJ16" s="68" t="s">
        <v>35</v>
      </c>
      <c r="AK16" s="68" t="s">
        <v>35</v>
      </c>
      <c r="AL16" s="68" t="s">
        <v>35</v>
      </c>
      <c r="AM16" s="68" t="s">
        <v>35</v>
      </c>
      <c r="AN16" s="68" t="s">
        <v>35</v>
      </c>
      <c r="AO16" s="68" t="s">
        <v>35</v>
      </c>
      <c r="AP16" s="69" t="s">
        <v>35</v>
      </c>
      <c r="AQ16" s="68" t="s">
        <v>35</v>
      </c>
      <c r="AR16" s="68" t="s">
        <v>35</v>
      </c>
      <c r="AS16" s="68" t="s">
        <v>35</v>
      </c>
      <c r="AT16" s="68" t="s">
        <v>35</v>
      </c>
      <c r="AU16" s="68" t="s">
        <v>35</v>
      </c>
      <c r="AV16" s="68" t="s">
        <v>35</v>
      </c>
      <c r="AW16" s="68" t="s">
        <v>35</v>
      </c>
      <c r="AX16" s="68" t="s">
        <v>35</v>
      </c>
      <c r="AY16" s="68" t="s">
        <v>35</v>
      </c>
      <c r="AZ16" s="68" t="s">
        <v>35</v>
      </c>
      <c r="BA16" s="68" t="s">
        <v>35</v>
      </c>
      <c r="BB16" s="68" t="s">
        <v>35</v>
      </c>
      <c r="BC16" s="69" t="s">
        <v>35</v>
      </c>
    </row>
    <row r="17" spans="1:55" x14ac:dyDescent="0.35">
      <c r="A17" s="8" t="str">
        <f>+Rentabilitätsvorschau!A16</f>
        <v>Sonstige betriebliche Aufwendungen</v>
      </c>
      <c r="D17" s="10"/>
      <c r="E17" s="10"/>
      <c r="F17" s="10"/>
      <c r="G17" s="10"/>
      <c r="H17" s="10"/>
      <c r="I17" s="10"/>
      <c r="J17" s="10"/>
      <c r="K17" s="10"/>
      <c r="L17" s="10"/>
      <c r="M17" s="10"/>
      <c r="N17" s="10"/>
      <c r="O17" s="10"/>
      <c r="P17" s="26"/>
      <c r="Q17" s="10"/>
      <c r="R17" s="10"/>
      <c r="S17" s="10"/>
      <c r="T17" s="10"/>
      <c r="U17" s="10"/>
      <c r="V17" s="10"/>
      <c r="W17" s="10"/>
      <c r="X17" s="10"/>
      <c r="Y17" s="10"/>
      <c r="Z17" s="10"/>
      <c r="AA17" s="10"/>
      <c r="AB17" s="10"/>
      <c r="AC17" s="26"/>
      <c r="AD17" s="10"/>
      <c r="AE17" s="10"/>
      <c r="AF17" s="10"/>
      <c r="AG17" s="10"/>
      <c r="AH17" s="10"/>
      <c r="AI17" s="10"/>
      <c r="AJ17" s="10"/>
      <c r="AK17" s="10"/>
      <c r="AL17" s="10"/>
      <c r="AM17" s="10"/>
      <c r="AN17" s="10"/>
      <c r="AO17" s="10"/>
      <c r="AP17" s="26"/>
      <c r="AQ17" s="10"/>
      <c r="AR17" s="10"/>
      <c r="AS17" s="10"/>
      <c r="AT17" s="10"/>
      <c r="AU17" s="10"/>
      <c r="AV17" s="10"/>
      <c r="AW17" s="10"/>
      <c r="AX17" s="10"/>
      <c r="AY17" s="10"/>
      <c r="AZ17" s="10"/>
      <c r="BA17" s="10"/>
      <c r="BB17" s="10"/>
      <c r="BC17" s="26"/>
    </row>
    <row r="18" spans="1:55" x14ac:dyDescent="0.35">
      <c r="A18" s="8"/>
      <c r="B18" s="8" t="str">
        <f>+Rentabilitätsvorschau!B17</f>
        <v>Raumkosten (Miete, Nebenkosten, Reinigung etc.)</v>
      </c>
      <c r="D18" s="10"/>
      <c r="E18" s="10"/>
      <c r="F18" s="10"/>
      <c r="G18" s="10"/>
      <c r="H18" s="10"/>
      <c r="I18" s="10"/>
      <c r="J18" s="10"/>
      <c r="K18" s="10"/>
      <c r="L18" s="10"/>
      <c r="M18" s="10"/>
      <c r="N18" s="10"/>
      <c r="O18" s="10"/>
      <c r="P18" s="26"/>
      <c r="Q18" s="10"/>
      <c r="R18" s="10"/>
      <c r="S18" s="10"/>
      <c r="T18" s="10"/>
      <c r="U18" s="10"/>
      <c r="V18" s="10"/>
      <c r="W18" s="10"/>
      <c r="X18" s="10"/>
      <c r="Y18" s="10"/>
      <c r="Z18" s="10"/>
      <c r="AA18" s="10"/>
      <c r="AB18" s="10"/>
      <c r="AC18" s="26"/>
      <c r="AD18" s="10"/>
      <c r="AE18" s="10"/>
      <c r="AF18" s="10"/>
      <c r="AG18" s="10"/>
      <c r="AH18" s="10"/>
      <c r="AI18" s="10"/>
      <c r="AJ18" s="10"/>
      <c r="AK18" s="10"/>
      <c r="AL18" s="10"/>
      <c r="AM18" s="10"/>
      <c r="AN18" s="10"/>
      <c r="AO18" s="10"/>
      <c r="AP18" s="26"/>
      <c r="AQ18" s="10"/>
      <c r="AR18" s="10"/>
      <c r="AS18" s="10"/>
      <c r="AT18" s="10"/>
      <c r="AU18" s="10"/>
      <c r="AV18" s="10"/>
      <c r="AW18" s="10"/>
      <c r="AX18" s="10"/>
      <c r="AY18" s="10"/>
      <c r="AZ18" s="10"/>
      <c r="BA18" s="10"/>
      <c r="BB18" s="10"/>
      <c r="BC18" s="26"/>
    </row>
    <row r="19" spans="1:55" x14ac:dyDescent="0.35">
      <c r="A19" s="8"/>
      <c r="C19" s="8" t="str">
        <f>+Rentabilitätsvorschau!C18</f>
        <v>Miete und Nebenkosten</v>
      </c>
      <c r="D19" s="10">
        <f>+Rentabilitätsvorschau!D18*(1+VSteins)</f>
        <v>0</v>
      </c>
      <c r="E19" s="10">
        <f>+Rentabilitätsvorschau!E18*(1+VSteins)</f>
        <v>0</v>
      </c>
      <c r="F19" s="10">
        <f>+Rentabilitätsvorschau!F18*(1+VSteins)</f>
        <v>0</v>
      </c>
      <c r="G19" s="10">
        <f>+Rentabilitätsvorschau!G18*(1+VSteins)</f>
        <v>0</v>
      </c>
      <c r="H19" s="10">
        <f>+Rentabilitätsvorschau!H18*(1+VSteins)</f>
        <v>0</v>
      </c>
      <c r="I19" s="10">
        <f>+Rentabilitätsvorschau!I18*(1+VSteins)</f>
        <v>0</v>
      </c>
      <c r="J19" s="10">
        <f>+Rentabilitätsvorschau!J18*(1+VSteins)</f>
        <v>0</v>
      </c>
      <c r="K19" s="10">
        <f>+Rentabilitätsvorschau!K18*(1+VSteins)</f>
        <v>0</v>
      </c>
      <c r="L19" s="10">
        <f>+Rentabilitätsvorschau!L18*(1+VSteins)</f>
        <v>0</v>
      </c>
      <c r="M19" s="10">
        <f>+Rentabilitätsvorschau!M18*(1+VSteins)</f>
        <v>714</v>
      </c>
      <c r="N19" s="10">
        <f>+Rentabilitätsvorschau!N18*(1+VSteins)</f>
        <v>714</v>
      </c>
      <c r="O19" s="10">
        <f>+Rentabilitätsvorschau!O18*(1+VSteins)</f>
        <v>714</v>
      </c>
      <c r="P19" s="26">
        <f>SUM(D19:O19)</f>
        <v>2142</v>
      </c>
      <c r="Q19" s="10">
        <f>+Rentabilitätsvorschau!Q18*(1+VSt)</f>
        <v>714</v>
      </c>
      <c r="R19" s="10">
        <f>+Rentabilitätsvorschau!R18*(1+VSt)</f>
        <v>714</v>
      </c>
      <c r="S19" s="10">
        <f>+Rentabilitätsvorschau!S18*(1+VSt)</f>
        <v>714</v>
      </c>
      <c r="T19" s="10">
        <f>+Rentabilitätsvorschau!T18*(1+VSt)</f>
        <v>714</v>
      </c>
      <c r="U19" s="10">
        <f>+Rentabilitätsvorschau!U18*(1+VSt)</f>
        <v>714</v>
      </c>
      <c r="V19" s="10">
        <f>+Rentabilitätsvorschau!V18*(1+VSt)</f>
        <v>714</v>
      </c>
      <c r="W19" s="10">
        <f>+Rentabilitätsvorschau!W18*(1+VSt)</f>
        <v>714</v>
      </c>
      <c r="X19" s="10">
        <f>+Rentabilitätsvorschau!X18*(1+VSt)</f>
        <v>714</v>
      </c>
      <c r="Y19" s="10">
        <f>+Rentabilitätsvorschau!Y18*(1+VSt)</f>
        <v>714</v>
      </c>
      <c r="Z19" s="10">
        <f>+Rentabilitätsvorschau!Z18*(1+VSt)</f>
        <v>714</v>
      </c>
      <c r="AA19" s="10">
        <f>+Rentabilitätsvorschau!AA18*(1+VSt)</f>
        <v>714</v>
      </c>
      <c r="AB19" s="10">
        <f>+Rentabilitätsvorschau!AB18*(1+VSt)</f>
        <v>714</v>
      </c>
      <c r="AC19" s="26">
        <f>SUM(Q19:AB19)</f>
        <v>8568</v>
      </c>
      <c r="AD19" s="10">
        <f>+Rentabilitätsvorschau!AD18*(1+VSt)</f>
        <v>0</v>
      </c>
      <c r="AE19" s="10">
        <f>+Rentabilitätsvorschau!AE18*(1+VSt)</f>
        <v>0</v>
      </c>
      <c r="AF19" s="10">
        <f>+Rentabilitätsvorschau!AF18*(1+VSt)</f>
        <v>0</v>
      </c>
      <c r="AG19" s="10">
        <f>+Rentabilitätsvorschau!AG18*(1+VSt)</f>
        <v>0</v>
      </c>
      <c r="AH19" s="10">
        <f>+Rentabilitätsvorschau!AH18*(1+VSt)</f>
        <v>0</v>
      </c>
      <c r="AI19" s="10">
        <f>+Rentabilitätsvorschau!AI18*(1+VSt)</f>
        <v>0</v>
      </c>
      <c r="AJ19" s="10">
        <f>+Rentabilitätsvorschau!AJ18*(1+VSt)</f>
        <v>0</v>
      </c>
      <c r="AK19" s="10">
        <f>+Rentabilitätsvorschau!AK18*(1+VSt)</f>
        <v>0</v>
      </c>
      <c r="AL19" s="10">
        <f>+Rentabilitätsvorschau!AL18*(1+VSt)</f>
        <v>0</v>
      </c>
      <c r="AM19" s="10">
        <f>+Rentabilitätsvorschau!AM18*(1+VSt)</f>
        <v>0</v>
      </c>
      <c r="AN19" s="10">
        <f>+Rentabilitätsvorschau!AN18*(1+VSt)</f>
        <v>0</v>
      </c>
      <c r="AO19" s="10">
        <f>+Rentabilitätsvorschau!AO18*(1+VSt)</f>
        <v>0</v>
      </c>
      <c r="AP19" s="26">
        <f>SUM(AD19:AO19)</f>
        <v>0</v>
      </c>
      <c r="AQ19" s="10">
        <f>+Rentabilitätsvorschau!AQ18*(1+VSt)</f>
        <v>0</v>
      </c>
      <c r="AR19" s="10">
        <f>+Rentabilitätsvorschau!AR18*(1+VSt)</f>
        <v>0</v>
      </c>
      <c r="AS19" s="10">
        <f>+Rentabilitätsvorschau!AS18*(1+VSt)</f>
        <v>0</v>
      </c>
      <c r="AT19" s="10">
        <f>+Rentabilitätsvorschau!AT18*(1+VSt)</f>
        <v>0</v>
      </c>
      <c r="AU19" s="10">
        <f>+Rentabilitätsvorschau!AU18*(1+VSt)</f>
        <v>0</v>
      </c>
      <c r="AV19" s="10">
        <f>+Rentabilitätsvorschau!AV18*(1+VSt)</f>
        <v>0</v>
      </c>
      <c r="AW19" s="10">
        <f>+Rentabilitätsvorschau!AW18*(1+VSt)</f>
        <v>0</v>
      </c>
      <c r="AX19" s="10">
        <f>+Rentabilitätsvorschau!AX18*(1+VSt)</f>
        <v>0</v>
      </c>
      <c r="AY19" s="10">
        <f>+Rentabilitätsvorschau!AY18*(1+VSt)</f>
        <v>0</v>
      </c>
      <c r="AZ19" s="10">
        <f>+Rentabilitätsvorschau!AZ18*(1+VSt)</f>
        <v>0</v>
      </c>
      <c r="BA19" s="10">
        <f>+Rentabilitätsvorschau!BA18*(1+VSt)</f>
        <v>0</v>
      </c>
      <c r="BB19" s="10">
        <f>+Rentabilitätsvorschau!BB18*(1+VSt)</f>
        <v>0</v>
      </c>
      <c r="BC19" s="26">
        <f>SUM(AQ19:BB19)</f>
        <v>0</v>
      </c>
    </row>
    <row r="20" spans="1:55" x14ac:dyDescent="0.35">
      <c r="A20" s="8"/>
      <c r="C20" s="8" t="str">
        <f>+Rentabilitätsvorschau!C19</f>
        <v>Instandhaltung</v>
      </c>
      <c r="D20" s="10">
        <f>+Rentabilitätsvorschau!D19*(1+VSteins)</f>
        <v>0</v>
      </c>
      <c r="E20" s="10">
        <f>+Rentabilitätsvorschau!E19*(1+VSteins)</f>
        <v>0</v>
      </c>
      <c r="F20" s="10">
        <f>+Rentabilitätsvorschau!F19*(1+VSteins)</f>
        <v>0</v>
      </c>
      <c r="G20" s="10">
        <f>+Rentabilitätsvorschau!G19*(1+VSteins)</f>
        <v>0</v>
      </c>
      <c r="H20" s="10">
        <f>+Rentabilitätsvorschau!H19*(1+VSteins)</f>
        <v>0</v>
      </c>
      <c r="I20" s="10">
        <f>+Rentabilitätsvorschau!I19*(1+VSteins)</f>
        <v>0</v>
      </c>
      <c r="J20" s="10">
        <f>+Rentabilitätsvorschau!J19*(1+VSteins)</f>
        <v>0</v>
      </c>
      <c r="K20" s="10">
        <f>+Rentabilitätsvorschau!K19*(1+VSteins)</f>
        <v>0</v>
      </c>
      <c r="L20" s="10">
        <f>+Rentabilitätsvorschau!L19*(1+VSteins)</f>
        <v>0</v>
      </c>
      <c r="M20" s="10">
        <f>+Rentabilitätsvorschau!M19*(1+VSteins)</f>
        <v>59.5</v>
      </c>
      <c r="N20" s="10">
        <f>+Rentabilitätsvorschau!N19*(1+VSteins)</f>
        <v>59.5</v>
      </c>
      <c r="O20" s="10">
        <f>+Rentabilitätsvorschau!O19*(1+VSteins)</f>
        <v>59.5</v>
      </c>
      <c r="P20" s="26">
        <f>SUM(D20:O20)</f>
        <v>178.5</v>
      </c>
      <c r="Q20" s="10">
        <f>+Rentabilitätsvorschau!Q19*(1+VSt)</f>
        <v>59.5</v>
      </c>
      <c r="R20" s="10">
        <f>+Rentabilitätsvorschau!R19*(1+VSt)</f>
        <v>59.5</v>
      </c>
      <c r="S20" s="10">
        <f>+Rentabilitätsvorschau!S19*(1+VSt)</f>
        <v>59.5</v>
      </c>
      <c r="T20" s="10">
        <f>+Rentabilitätsvorschau!T19*(1+VSt)</f>
        <v>59.5</v>
      </c>
      <c r="U20" s="10">
        <f>+Rentabilitätsvorschau!U19*(1+VSt)</f>
        <v>59.5</v>
      </c>
      <c r="V20" s="10">
        <f>+Rentabilitätsvorschau!V19*(1+VSt)</f>
        <v>59.5</v>
      </c>
      <c r="W20" s="10">
        <f>+Rentabilitätsvorschau!W19*(1+VSt)</f>
        <v>59.5</v>
      </c>
      <c r="X20" s="10">
        <f>+Rentabilitätsvorschau!X19*(1+VSt)</f>
        <v>59.5</v>
      </c>
      <c r="Y20" s="10">
        <f>+Rentabilitätsvorschau!Y19*(1+VSt)</f>
        <v>59.5</v>
      </c>
      <c r="Z20" s="10">
        <f>+Rentabilitätsvorschau!Z19*(1+VSt)</f>
        <v>59.5</v>
      </c>
      <c r="AA20" s="10">
        <f>+Rentabilitätsvorschau!AA19*(1+VSt)</f>
        <v>59.5</v>
      </c>
      <c r="AB20" s="10">
        <f>+Rentabilitätsvorschau!AB19*(1+VSt)</f>
        <v>59.5</v>
      </c>
      <c r="AC20" s="26">
        <f>SUM(Q20:AB20)</f>
        <v>714</v>
      </c>
      <c r="AD20" s="10">
        <f>+Rentabilitätsvorschau!AD19*(1+VSt)</f>
        <v>0</v>
      </c>
      <c r="AE20" s="10">
        <f>+Rentabilitätsvorschau!AE19*(1+VSt)</f>
        <v>0</v>
      </c>
      <c r="AF20" s="10">
        <f>+Rentabilitätsvorschau!AF19*(1+VSt)</f>
        <v>0</v>
      </c>
      <c r="AG20" s="10">
        <f>+Rentabilitätsvorschau!AG19*(1+VSt)</f>
        <v>0</v>
      </c>
      <c r="AH20" s="10">
        <f>+Rentabilitätsvorschau!AH19*(1+VSt)</f>
        <v>0</v>
      </c>
      <c r="AI20" s="10">
        <f>+Rentabilitätsvorschau!AI19*(1+VSt)</f>
        <v>0</v>
      </c>
      <c r="AJ20" s="10">
        <f>+Rentabilitätsvorschau!AJ19*(1+VSt)</f>
        <v>0</v>
      </c>
      <c r="AK20" s="10">
        <f>+Rentabilitätsvorschau!AK19*(1+VSt)</f>
        <v>0</v>
      </c>
      <c r="AL20" s="10">
        <f>+Rentabilitätsvorschau!AL19*(1+VSt)</f>
        <v>0</v>
      </c>
      <c r="AM20" s="10">
        <f>+Rentabilitätsvorschau!AM19*(1+VSt)</f>
        <v>0</v>
      </c>
      <c r="AN20" s="10">
        <f>+Rentabilitätsvorschau!AN19*(1+VSt)</f>
        <v>0</v>
      </c>
      <c r="AO20" s="10">
        <f>+Rentabilitätsvorschau!AO19*(1+VSt)</f>
        <v>0</v>
      </c>
      <c r="AP20" s="26">
        <f>SUM(AD20:AO20)</f>
        <v>0</v>
      </c>
      <c r="AQ20" s="10">
        <f>+Rentabilitätsvorschau!AQ19*(1+VSt)</f>
        <v>0</v>
      </c>
      <c r="AR20" s="10">
        <f>+Rentabilitätsvorschau!AR19*(1+VSt)</f>
        <v>0</v>
      </c>
      <c r="AS20" s="10">
        <f>+Rentabilitätsvorschau!AS19*(1+VSt)</f>
        <v>0</v>
      </c>
      <c r="AT20" s="10">
        <f>+Rentabilitätsvorschau!AT19*(1+VSt)</f>
        <v>0</v>
      </c>
      <c r="AU20" s="10">
        <f>+Rentabilitätsvorschau!AU19*(1+VSt)</f>
        <v>0</v>
      </c>
      <c r="AV20" s="10">
        <f>+Rentabilitätsvorschau!AV19*(1+VSt)</f>
        <v>0</v>
      </c>
      <c r="AW20" s="10">
        <f>+Rentabilitätsvorschau!AW19*(1+VSt)</f>
        <v>0</v>
      </c>
      <c r="AX20" s="10">
        <f>+Rentabilitätsvorschau!AX19*(1+VSt)</f>
        <v>0</v>
      </c>
      <c r="AY20" s="10">
        <f>+Rentabilitätsvorschau!AY19*(1+VSt)</f>
        <v>0</v>
      </c>
      <c r="AZ20" s="10">
        <f>+Rentabilitätsvorschau!AZ19*(1+VSt)</f>
        <v>0</v>
      </c>
      <c r="BA20" s="10">
        <f>+Rentabilitätsvorschau!BA19*(1+VSt)</f>
        <v>0</v>
      </c>
      <c r="BB20" s="10">
        <f>+Rentabilitätsvorschau!BB19*(1+VSt)</f>
        <v>0</v>
      </c>
      <c r="BC20" s="26">
        <f>SUM(AQ20:BB20)</f>
        <v>0</v>
      </c>
    </row>
    <row r="21" spans="1:55" x14ac:dyDescent="0.35">
      <c r="A21" s="8"/>
      <c r="B21" s="8" t="str">
        <f>+Rentabilitätsvorschau!B20</f>
        <v>Telefon, Fax</v>
      </c>
      <c r="D21" s="10">
        <f>+Rentabilitätsvorschau!D20*(1+VSteins)</f>
        <v>0</v>
      </c>
      <c r="E21" s="10">
        <f>+Rentabilitätsvorschau!E20*(1+VSteins)</f>
        <v>0</v>
      </c>
      <c r="F21" s="10">
        <f>+Rentabilitätsvorschau!F20*(1+VSteins)</f>
        <v>0</v>
      </c>
      <c r="G21" s="10">
        <f>+Rentabilitätsvorschau!G20*(1+VSteins)</f>
        <v>0</v>
      </c>
      <c r="H21" s="10">
        <f>+Rentabilitätsvorschau!H20*(1+VSteins)</f>
        <v>0</v>
      </c>
      <c r="I21" s="10">
        <f>+Rentabilitätsvorschau!I20*(1+VSteins)</f>
        <v>0</v>
      </c>
      <c r="J21" s="10">
        <f>+Rentabilitätsvorschau!J20*(1+VSteins)</f>
        <v>0</v>
      </c>
      <c r="K21" s="10">
        <f>+Rentabilitätsvorschau!K20*(1+VSteins)</f>
        <v>0</v>
      </c>
      <c r="L21" s="10">
        <f>+Rentabilitätsvorschau!L20*(1+VSteins)</f>
        <v>0</v>
      </c>
      <c r="M21" s="10">
        <f>+Rentabilitätsvorschau!M20*(1+VSteins)</f>
        <v>119</v>
      </c>
      <c r="N21" s="10">
        <f>+Rentabilitätsvorschau!N20*(1+VSteins)</f>
        <v>119</v>
      </c>
      <c r="O21" s="10">
        <f>+Rentabilitätsvorschau!O20*(1+VSteins)</f>
        <v>119</v>
      </c>
      <c r="P21" s="26">
        <f>SUM(D21:O21)</f>
        <v>357</v>
      </c>
      <c r="Q21" s="10">
        <f>+Rentabilitätsvorschau!Q20*(1+VSt)</f>
        <v>119</v>
      </c>
      <c r="R21" s="10">
        <f>+Rentabilitätsvorschau!R20*(1+VSt)</f>
        <v>119</v>
      </c>
      <c r="S21" s="10">
        <f>+Rentabilitätsvorschau!S20*(1+VSt)</f>
        <v>119</v>
      </c>
      <c r="T21" s="10">
        <f>+Rentabilitätsvorschau!T20*(1+VSt)</f>
        <v>119</v>
      </c>
      <c r="U21" s="10">
        <f>+Rentabilitätsvorschau!U20*(1+VSt)</f>
        <v>119</v>
      </c>
      <c r="V21" s="10">
        <f>+Rentabilitätsvorschau!V20*(1+VSt)</f>
        <v>119</v>
      </c>
      <c r="W21" s="10">
        <f>+Rentabilitätsvorschau!W20*(1+VSt)</f>
        <v>119</v>
      </c>
      <c r="X21" s="10">
        <f>+Rentabilitätsvorschau!X20*(1+VSt)</f>
        <v>119</v>
      </c>
      <c r="Y21" s="10">
        <f>+Rentabilitätsvorschau!Y20*(1+VSt)</f>
        <v>119</v>
      </c>
      <c r="Z21" s="10">
        <f>+Rentabilitätsvorschau!Z20*(1+VSt)</f>
        <v>119</v>
      </c>
      <c r="AA21" s="10">
        <f>+Rentabilitätsvorschau!AA20*(1+VSt)</f>
        <v>119</v>
      </c>
      <c r="AB21" s="10">
        <f>+Rentabilitätsvorschau!AB20*(1+VSt)</f>
        <v>119</v>
      </c>
      <c r="AC21" s="26">
        <f>SUM(Q21:AB21)</f>
        <v>1428</v>
      </c>
      <c r="AD21" s="10">
        <f>+Rentabilitätsvorschau!AD20*(1+VSt)</f>
        <v>0</v>
      </c>
      <c r="AE21" s="10">
        <f>+Rentabilitätsvorschau!AE20*(1+VSt)</f>
        <v>0</v>
      </c>
      <c r="AF21" s="10">
        <f>+Rentabilitätsvorschau!AF20*(1+VSt)</f>
        <v>0</v>
      </c>
      <c r="AG21" s="10">
        <f>+Rentabilitätsvorschau!AG20*(1+VSt)</f>
        <v>0</v>
      </c>
      <c r="AH21" s="10">
        <f>+Rentabilitätsvorschau!AH20*(1+VSt)</f>
        <v>0</v>
      </c>
      <c r="AI21" s="10">
        <f>+Rentabilitätsvorschau!AI20*(1+VSt)</f>
        <v>0</v>
      </c>
      <c r="AJ21" s="10">
        <f>+Rentabilitätsvorschau!AJ20*(1+VSt)</f>
        <v>0</v>
      </c>
      <c r="AK21" s="10">
        <f>+Rentabilitätsvorschau!AK20*(1+VSt)</f>
        <v>0</v>
      </c>
      <c r="AL21" s="10">
        <f>+Rentabilitätsvorschau!AL20*(1+VSt)</f>
        <v>0</v>
      </c>
      <c r="AM21" s="10">
        <f>+Rentabilitätsvorschau!AM20*(1+VSt)</f>
        <v>0</v>
      </c>
      <c r="AN21" s="10">
        <f>+Rentabilitätsvorschau!AN20*(1+VSt)</f>
        <v>0</v>
      </c>
      <c r="AO21" s="10">
        <f>+Rentabilitätsvorschau!AO20*(1+VSt)</f>
        <v>0</v>
      </c>
      <c r="AP21" s="26">
        <f>SUM(AD21:AO21)</f>
        <v>0</v>
      </c>
      <c r="AQ21" s="10">
        <f>+Rentabilitätsvorschau!AQ20*(1+VSt)</f>
        <v>0</v>
      </c>
      <c r="AR21" s="10">
        <f>+Rentabilitätsvorschau!AR20*(1+VSt)</f>
        <v>0</v>
      </c>
      <c r="AS21" s="10">
        <f>+Rentabilitätsvorschau!AS20*(1+VSt)</f>
        <v>0</v>
      </c>
      <c r="AT21" s="10">
        <f>+Rentabilitätsvorschau!AT20*(1+VSt)</f>
        <v>0</v>
      </c>
      <c r="AU21" s="10">
        <f>+Rentabilitätsvorschau!AU20*(1+VSt)</f>
        <v>0</v>
      </c>
      <c r="AV21" s="10">
        <f>+Rentabilitätsvorschau!AV20*(1+VSt)</f>
        <v>0</v>
      </c>
      <c r="AW21" s="10">
        <f>+Rentabilitätsvorschau!AW20*(1+VSt)</f>
        <v>0</v>
      </c>
      <c r="AX21" s="10">
        <f>+Rentabilitätsvorschau!AX20*(1+VSt)</f>
        <v>0</v>
      </c>
      <c r="AY21" s="10">
        <f>+Rentabilitätsvorschau!AY20*(1+VSt)</f>
        <v>0</v>
      </c>
      <c r="AZ21" s="10">
        <f>+Rentabilitätsvorschau!AZ20*(1+VSt)</f>
        <v>0</v>
      </c>
      <c r="BA21" s="10">
        <f>+Rentabilitätsvorschau!BA20*(1+VSt)</f>
        <v>0</v>
      </c>
      <c r="BB21" s="10">
        <f>+Rentabilitätsvorschau!BB20*(1+VSt)</f>
        <v>0</v>
      </c>
      <c r="BC21" s="26">
        <f>SUM(AQ21:BB21)</f>
        <v>0</v>
      </c>
    </row>
    <row r="22" spans="1:55" x14ac:dyDescent="0.35">
      <c r="A22" s="8"/>
      <c r="B22" s="8" t="str">
        <f>+Rentabilitätsvorschau!B21</f>
        <v>Kfz-Kosten</v>
      </c>
      <c r="D22" s="10"/>
      <c r="E22" s="10"/>
      <c r="F22" s="10"/>
      <c r="G22" s="10"/>
      <c r="H22" s="10"/>
      <c r="I22" s="10"/>
      <c r="J22" s="10"/>
      <c r="K22" s="10"/>
      <c r="L22" s="10"/>
      <c r="M22" s="10"/>
      <c r="N22" s="10"/>
      <c r="O22" s="10"/>
      <c r="P22" s="26"/>
      <c r="Q22" s="10"/>
      <c r="R22" s="10"/>
      <c r="S22" s="10"/>
      <c r="T22" s="10"/>
      <c r="U22" s="10"/>
      <c r="V22" s="10"/>
      <c r="W22" s="10"/>
      <c r="X22" s="10"/>
      <c r="Y22" s="10"/>
      <c r="Z22" s="10"/>
      <c r="AA22" s="10"/>
      <c r="AB22" s="10"/>
      <c r="AC22" s="26"/>
      <c r="AD22" s="10"/>
      <c r="AE22" s="10"/>
      <c r="AF22" s="10"/>
      <c r="AG22" s="10"/>
      <c r="AH22" s="10"/>
      <c r="AI22" s="10"/>
      <c r="AJ22" s="10"/>
      <c r="AK22" s="10"/>
      <c r="AL22" s="10"/>
      <c r="AM22" s="10"/>
      <c r="AN22" s="10"/>
      <c r="AO22" s="10"/>
      <c r="AP22" s="26"/>
      <c r="AQ22" s="10"/>
      <c r="AR22" s="10"/>
      <c r="AS22" s="10"/>
      <c r="AT22" s="10"/>
      <c r="AU22" s="10"/>
      <c r="AV22" s="10"/>
      <c r="AW22" s="10"/>
      <c r="AX22" s="10"/>
      <c r="AY22" s="10"/>
      <c r="AZ22" s="10"/>
      <c r="BA22" s="10"/>
      <c r="BB22" s="10"/>
      <c r="BC22" s="26"/>
    </row>
    <row r="23" spans="1:55" x14ac:dyDescent="0.35">
      <c r="A23" s="8"/>
      <c r="C23" s="8" t="str">
        <f>+Rentabilitätsvorschau!C22</f>
        <v>Kfz-Versicherungen</v>
      </c>
      <c r="D23" s="10">
        <f>+Rentabilitätsvorschau!D22</f>
        <v>0</v>
      </c>
      <c r="E23" s="10">
        <f>+Rentabilitätsvorschau!E22</f>
        <v>0</v>
      </c>
      <c r="F23" s="10">
        <f>+Rentabilitätsvorschau!F22</f>
        <v>0</v>
      </c>
      <c r="G23" s="10">
        <f>+Rentabilitätsvorschau!G22</f>
        <v>0</v>
      </c>
      <c r="H23" s="10">
        <f>+Rentabilitätsvorschau!H22</f>
        <v>0</v>
      </c>
      <c r="I23" s="10">
        <f>+Rentabilitätsvorschau!I22</f>
        <v>0</v>
      </c>
      <c r="J23" s="10">
        <f>+Rentabilitätsvorschau!J22</f>
        <v>0</v>
      </c>
      <c r="K23" s="10">
        <f>+Rentabilitätsvorschau!K22</f>
        <v>0</v>
      </c>
      <c r="L23" s="10">
        <f>+Rentabilitätsvorschau!L22</f>
        <v>0</v>
      </c>
      <c r="M23" s="10">
        <f>+Rentabilitätsvorschau!M22</f>
        <v>0</v>
      </c>
      <c r="N23" s="10">
        <f>+Rentabilitätsvorschau!N22</f>
        <v>0</v>
      </c>
      <c r="O23" s="10">
        <f>+Rentabilitätsvorschau!O22</f>
        <v>0</v>
      </c>
      <c r="P23" s="26">
        <f t="shared" ref="P23:P28" si="7">SUM(D23:O23)</f>
        <v>0</v>
      </c>
      <c r="Q23" s="10">
        <f>+Rentabilitätsvorschau!Q22</f>
        <v>0</v>
      </c>
      <c r="R23" s="10">
        <f>+Rentabilitätsvorschau!R22</f>
        <v>0</v>
      </c>
      <c r="S23" s="10">
        <f>+Rentabilitätsvorschau!S22</f>
        <v>0</v>
      </c>
      <c r="T23" s="10">
        <f>+Rentabilitätsvorschau!T22</f>
        <v>0</v>
      </c>
      <c r="U23" s="10">
        <f>+Rentabilitätsvorschau!U22</f>
        <v>0</v>
      </c>
      <c r="V23" s="10">
        <f>+Rentabilitätsvorschau!V22</f>
        <v>0</v>
      </c>
      <c r="W23" s="10">
        <f>+Rentabilitätsvorschau!W22</f>
        <v>0</v>
      </c>
      <c r="X23" s="10">
        <f>+Rentabilitätsvorschau!X22</f>
        <v>0</v>
      </c>
      <c r="Y23" s="10">
        <f>+Rentabilitätsvorschau!Y22</f>
        <v>0</v>
      </c>
      <c r="Z23" s="10">
        <f>+Rentabilitätsvorschau!Z22</f>
        <v>0</v>
      </c>
      <c r="AA23" s="10">
        <f>+Rentabilitätsvorschau!AA22</f>
        <v>0</v>
      </c>
      <c r="AB23" s="10">
        <f>+Rentabilitätsvorschau!AB22</f>
        <v>0</v>
      </c>
      <c r="AC23" s="26">
        <f t="shared" ref="AC23:AC46" si="8">SUM(Q23:AB23)</f>
        <v>0</v>
      </c>
      <c r="AD23" s="10">
        <f>+Rentabilitätsvorschau!AD22</f>
        <v>0</v>
      </c>
      <c r="AE23" s="10">
        <f>+Rentabilitätsvorschau!AE22</f>
        <v>0</v>
      </c>
      <c r="AF23" s="10">
        <f>+Rentabilitätsvorschau!AF22</f>
        <v>0</v>
      </c>
      <c r="AG23" s="10">
        <f>+Rentabilitätsvorschau!AG22</f>
        <v>0</v>
      </c>
      <c r="AH23" s="10">
        <f>+Rentabilitätsvorschau!AH22</f>
        <v>0</v>
      </c>
      <c r="AI23" s="10">
        <f>+Rentabilitätsvorschau!AI22</f>
        <v>0</v>
      </c>
      <c r="AJ23" s="10">
        <f>+Rentabilitätsvorschau!AJ22</f>
        <v>0</v>
      </c>
      <c r="AK23" s="10">
        <f>+Rentabilitätsvorschau!AK22</f>
        <v>0</v>
      </c>
      <c r="AL23" s="10">
        <f>+Rentabilitätsvorschau!AL22</f>
        <v>0</v>
      </c>
      <c r="AM23" s="10">
        <f>+Rentabilitätsvorschau!AM22</f>
        <v>0</v>
      </c>
      <c r="AN23" s="10">
        <f>+Rentabilitätsvorschau!AN22</f>
        <v>0</v>
      </c>
      <c r="AO23" s="10">
        <f>+Rentabilitätsvorschau!AO22</f>
        <v>0</v>
      </c>
      <c r="AP23" s="26">
        <f t="shared" ref="AP23:AP46" si="9">SUM(AD23:AO23)</f>
        <v>0</v>
      </c>
      <c r="AQ23" s="10">
        <f>+Rentabilitätsvorschau!AQ22</f>
        <v>0</v>
      </c>
      <c r="AR23" s="10">
        <f>+Rentabilitätsvorschau!AR22</f>
        <v>0</v>
      </c>
      <c r="AS23" s="10">
        <f>+Rentabilitätsvorschau!AS22</f>
        <v>0</v>
      </c>
      <c r="AT23" s="10">
        <f>+Rentabilitätsvorschau!AT22</f>
        <v>0</v>
      </c>
      <c r="AU23" s="10">
        <f>+Rentabilitätsvorschau!AU22</f>
        <v>0</v>
      </c>
      <c r="AV23" s="10">
        <f>+Rentabilitätsvorschau!AV22</f>
        <v>0</v>
      </c>
      <c r="AW23" s="10">
        <f>+Rentabilitätsvorschau!AW22</f>
        <v>0</v>
      </c>
      <c r="AX23" s="10">
        <f>+Rentabilitätsvorschau!AX22</f>
        <v>0</v>
      </c>
      <c r="AY23" s="10">
        <f>+Rentabilitätsvorschau!AY22</f>
        <v>0</v>
      </c>
      <c r="AZ23" s="10">
        <f>+Rentabilitätsvorschau!AZ22</f>
        <v>0</v>
      </c>
      <c r="BA23" s="10">
        <f>+Rentabilitätsvorschau!BA22</f>
        <v>0</v>
      </c>
      <c r="BB23" s="10">
        <f>+Rentabilitätsvorschau!BB22</f>
        <v>0</v>
      </c>
      <c r="BC23" s="26">
        <f t="shared" ref="BC23:BC46" si="10">SUM(AQ23:BB23)</f>
        <v>0</v>
      </c>
    </row>
    <row r="24" spans="1:55" x14ac:dyDescent="0.35">
      <c r="A24" s="8"/>
      <c r="C24" s="8" t="str">
        <f>+Rentabilitätsvorschau!C23</f>
        <v>Wartung und Reparatur</v>
      </c>
      <c r="D24" s="10">
        <f>+Rentabilitätsvorschau!D23*(1+VSteins)</f>
        <v>0</v>
      </c>
      <c r="E24" s="10">
        <f>+Rentabilitätsvorschau!E23*(1+VSteins)</f>
        <v>0</v>
      </c>
      <c r="F24" s="10">
        <f>+Rentabilitätsvorschau!F23*(1+VSteins)</f>
        <v>0</v>
      </c>
      <c r="G24" s="10">
        <f>+Rentabilitätsvorschau!G23*(1+VSteins)</f>
        <v>0</v>
      </c>
      <c r="H24" s="10">
        <f>+Rentabilitätsvorschau!H23*(1+VSteins)</f>
        <v>0</v>
      </c>
      <c r="I24" s="10">
        <f>+Rentabilitätsvorschau!I23*(1+VSteins)</f>
        <v>0</v>
      </c>
      <c r="J24" s="10">
        <f>+Rentabilitätsvorschau!J23*(1+VSteins)</f>
        <v>0</v>
      </c>
      <c r="K24" s="10">
        <f>+Rentabilitätsvorschau!K23*(1+VSteins)</f>
        <v>0</v>
      </c>
      <c r="L24" s="10">
        <f>+Rentabilitätsvorschau!L23*(1+VSteins)</f>
        <v>0</v>
      </c>
      <c r="M24" s="10">
        <f>+Rentabilitätsvorschau!M23*(1+VSteins)</f>
        <v>0</v>
      </c>
      <c r="N24" s="10">
        <f>+Rentabilitätsvorschau!N23*(1+VSteins)</f>
        <v>0</v>
      </c>
      <c r="O24" s="10">
        <f>+Rentabilitätsvorschau!O23*(1+VSteins)</f>
        <v>0</v>
      </c>
      <c r="P24" s="26">
        <f t="shared" si="7"/>
        <v>0</v>
      </c>
      <c r="Q24" s="10">
        <f>+Rentabilitätsvorschau!Q23*(1+VSt)</f>
        <v>0</v>
      </c>
      <c r="R24" s="10">
        <f>+Rentabilitätsvorschau!R23*(1+VSt)</f>
        <v>0</v>
      </c>
      <c r="S24" s="10">
        <f>+Rentabilitätsvorschau!S23*(1+VSt)</f>
        <v>0</v>
      </c>
      <c r="T24" s="10">
        <f>+Rentabilitätsvorschau!T23*(1+VSt)</f>
        <v>0</v>
      </c>
      <c r="U24" s="10">
        <f>+Rentabilitätsvorschau!U23*(1+VSt)</f>
        <v>0</v>
      </c>
      <c r="V24" s="10">
        <f>+Rentabilitätsvorschau!V23*(1+VSt)</f>
        <v>0</v>
      </c>
      <c r="W24" s="10">
        <f>+Rentabilitätsvorschau!W23*(1+VSt)</f>
        <v>0</v>
      </c>
      <c r="X24" s="10">
        <f>+Rentabilitätsvorschau!X23*(1+VSt)</f>
        <v>0</v>
      </c>
      <c r="Y24" s="10">
        <f>+Rentabilitätsvorschau!Y23*(1+VSt)</f>
        <v>0</v>
      </c>
      <c r="Z24" s="10">
        <f>+Rentabilitätsvorschau!Z23*(1+VSt)</f>
        <v>0</v>
      </c>
      <c r="AA24" s="10">
        <f>+Rentabilitätsvorschau!AA23*(1+VSt)</f>
        <v>0</v>
      </c>
      <c r="AB24" s="10">
        <f>+Rentabilitätsvorschau!AB23*(1+VSt)</f>
        <v>0</v>
      </c>
      <c r="AC24" s="26">
        <f t="shared" si="8"/>
        <v>0</v>
      </c>
      <c r="AD24" s="10">
        <f>+Rentabilitätsvorschau!AD23*(1+VSt)</f>
        <v>0</v>
      </c>
      <c r="AE24" s="10">
        <f>+Rentabilitätsvorschau!AE23*(1+VSt)</f>
        <v>0</v>
      </c>
      <c r="AF24" s="10">
        <f>+Rentabilitätsvorschau!AF23*(1+VSt)</f>
        <v>0</v>
      </c>
      <c r="AG24" s="10">
        <f>+Rentabilitätsvorschau!AG23*(1+VSt)</f>
        <v>0</v>
      </c>
      <c r="AH24" s="10">
        <f>+Rentabilitätsvorschau!AH23*(1+VSt)</f>
        <v>0</v>
      </c>
      <c r="AI24" s="10">
        <f>+Rentabilitätsvorschau!AI23*(1+VSt)</f>
        <v>0</v>
      </c>
      <c r="AJ24" s="10">
        <f>+Rentabilitätsvorschau!AJ23*(1+VSt)</f>
        <v>0</v>
      </c>
      <c r="AK24" s="10">
        <f>+Rentabilitätsvorschau!AK23*(1+VSt)</f>
        <v>0</v>
      </c>
      <c r="AL24" s="10">
        <f>+Rentabilitätsvorschau!AL23*(1+VSt)</f>
        <v>0</v>
      </c>
      <c r="AM24" s="10">
        <f>+Rentabilitätsvorschau!AM23*(1+VSt)</f>
        <v>0</v>
      </c>
      <c r="AN24" s="10">
        <f>+Rentabilitätsvorschau!AN23*(1+VSt)</f>
        <v>0</v>
      </c>
      <c r="AO24" s="10">
        <f>+Rentabilitätsvorschau!AO23*(1+VSt)</f>
        <v>0</v>
      </c>
      <c r="AP24" s="26">
        <f t="shared" si="9"/>
        <v>0</v>
      </c>
      <c r="AQ24" s="10">
        <f>+Rentabilitätsvorschau!AQ23*(1+VSt)</f>
        <v>0</v>
      </c>
      <c r="AR24" s="10">
        <f>+Rentabilitätsvorschau!AR23*(1+VSt)</f>
        <v>0</v>
      </c>
      <c r="AS24" s="10">
        <f>+Rentabilitätsvorschau!AS23*(1+VSt)</f>
        <v>0</v>
      </c>
      <c r="AT24" s="10">
        <f>+Rentabilitätsvorschau!AT23*(1+VSt)</f>
        <v>0</v>
      </c>
      <c r="AU24" s="10">
        <f>+Rentabilitätsvorschau!AU23*(1+VSt)</f>
        <v>0</v>
      </c>
      <c r="AV24" s="10">
        <f>+Rentabilitätsvorschau!AV23*(1+VSt)</f>
        <v>0</v>
      </c>
      <c r="AW24" s="10">
        <f>+Rentabilitätsvorschau!AW23*(1+VSt)</f>
        <v>0</v>
      </c>
      <c r="AX24" s="10">
        <f>+Rentabilitätsvorschau!AX23*(1+VSt)</f>
        <v>0</v>
      </c>
      <c r="AY24" s="10">
        <f>+Rentabilitätsvorschau!AY23*(1+VSt)</f>
        <v>0</v>
      </c>
      <c r="AZ24" s="10">
        <f>+Rentabilitätsvorschau!AZ23*(1+VSt)</f>
        <v>0</v>
      </c>
      <c r="BA24" s="10">
        <f>+Rentabilitätsvorschau!BA23*(1+VSt)</f>
        <v>0</v>
      </c>
      <c r="BB24" s="10">
        <f>+Rentabilitätsvorschau!BB23*(1+VSt)</f>
        <v>0</v>
      </c>
      <c r="BC24" s="26">
        <f t="shared" si="10"/>
        <v>0</v>
      </c>
    </row>
    <row r="25" spans="1:55" x14ac:dyDescent="0.35">
      <c r="A25" s="8"/>
      <c r="C25" s="8" t="str">
        <f>+Rentabilitätsvorschau!C24</f>
        <v>Leasing (nur Kfz)</v>
      </c>
      <c r="D25" s="10">
        <f>+Rentabilitätsvorschau!D24*(1+VSteins)</f>
        <v>0</v>
      </c>
      <c r="E25" s="10">
        <f>+Rentabilitätsvorschau!E24*(1+VSteins)</f>
        <v>0</v>
      </c>
      <c r="F25" s="10">
        <f>+Rentabilitätsvorschau!F24*(1+VSteins)</f>
        <v>0</v>
      </c>
      <c r="G25" s="10">
        <f>+Rentabilitätsvorschau!G24*(1+VSteins)</f>
        <v>0</v>
      </c>
      <c r="H25" s="10">
        <f>+Rentabilitätsvorschau!H24*(1+VSteins)</f>
        <v>0</v>
      </c>
      <c r="I25" s="10">
        <f>+Rentabilitätsvorschau!I24*(1+VSteins)</f>
        <v>0</v>
      </c>
      <c r="J25" s="10">
        <f>+Rentabilitätsvorschau!J24*(1+VSteins)</f>
        <v>0</v>
      </c>
      <c r="K25" s="10">
        <f>+Rentabilitätsvorschau!K24*(1+VSteins)</f>
        <v>0</v>
      </c>
      <c r="L25" s="10">
        <f>+Rentabilitätsvorschau!L24*(1+VSteins)</f>
        <v>0</v>
      </c>
      <c r="M25" s="10">
        <f>+Rentabilitätsvorschau!M24*(1+VSteins)</f>
        <v>0</v>
      </c>
      <c r="N25" s="10">
        <f>+Rentabilitätsvorschau!N24*(1+VSteins)</f>
        <v>0</v>
      </c>
      <c r="O25" s="10">
        <f>+Rentabilitätsvorschau!O24*(1+VSteins)</f>
        <v>0</v>
      </c>
      <c r="P25" s="26">
        <f t="shared" si="7"/>
        <v>0</v>
      </c>
      <c r="Q25" s="10">
        <f>+Rentabilitätsvorschau!Q24*(1+VSt)</f>
        <v>0</v>
      </c>
      <c r="R25" s="10">
        <f>+Rentabilitätsvorschau!R24*(1+VSt)</f>
        <v>0</v>
      </c>
      <c r="S25" s="10">
        <f>+Rentabilitätsvorschau!S24*(1+VSt)</f>
        <v>0</v>
      </c>
      <c r="T25" s="10">
        <f>+Rentabilitätsvorschau!T24*(1+VSt)</f>
        <v>0</v>
      </c>
      <c r="U25" s="10">
        <f>+Rentabilitätsvorschau!U24*(1+VSt)</f>
        <v>0</v>
      </c>
      <c r="V25" s="10">
        <f>+Rentabilitätsvorschau!V24*(1+VSt)</f>
        <v>0</v>
      </c>
      <c r="W25" s="10">
        <f>+Rentabilitätsvorschau!W24*(1+VSt)</f>
        <v>0</v>
      </c>
      <c r="X25" s="10">
        <f>+Rentabilitätsvorschau!X24*(1+VSt)</f>
        <v>0</v>
      </c>
      <c r="Y25" s="10">
        <f>+Rentabilitätsvorschau!Y24*(1+VSt)</f>
        <v>0</v>
      </c>
      <c r="Z25" s="10">
        <f>+Rentabilitätsvorschau!Z24*(1+VSt)</f>
        <v>0</v>
      </c>
      <c r="AA25" s="10">
        <f>+Rentabilitätsvorschau!AA24*(1+VSt)</f>
        <v>0</v>
      </c>
      <c r="AB25" s="10">
        <f>+Rentabilitätsvorschau!AB24*(1+VSt)</f>
        <v>0</v>
      </c>
      <c r="AC25" s="26">
        <f>SUM(Q25:AB25)</f>
        <v>0</v>
      </c>
      <c r="AD25" s="10">
        <f>+Rentabilitätsvorschau!AD24*(1+VSt)</f>
        <v>0</v>
      </c>
      <c r="AE25" s="10">
        <f>+Rentabilitätsvorschau!AE24*(1+VSt)</f>
        <v>0</v>
      </c>
      <c r="AF25" s="10">
        <f>+Rentabilitätsvorschau!AF24*(1+VSt)</f>
        <v>0</v>
      </c>
      <c r="AG25" s="10">
        <f>+Rentabilitätsvorschau!AG24*(1+VSt)</f>
        <v>0</v>
      </c>
      <c r="AH25" s="10">
        <f>+Rentabilitätsvorschau!AH24*(1+VSt)</f>
        <v>0</v>
      </c>
      <c r="AI25" s="10">
        <f>+Rentabilitätsvorschau!AI24*(1+VSt)</f>
        <v>0</v>
      </c>
      <c r="AJ25" s="10">
        <f>+Rentabilitätsvorschau!AJ24*(1+VSt)</f>
        <v>0</v>
      </c>
      <c r="AK25" s="10">
        <f>+Rentabilitätsvorschau!AK24*(1+VSt)</f>
        <v>0</v>
      </c>
      <c r="AL25" s="10">
        <f>+Rentabilitätsvorschau!AL24*(1+VSt)</f>
        <v>0</v>
      </c>
      <c r="AM25" s="10">
        <f>+Rentabilitätsvorschau!AM24*(1+VSt)</f>
        <v>0</v>
      </c>
      <c r="AN25" s="10">
        <f>+Rentabilitätsvorschau!AN24*(1+VSt)</f>
        <v>0</v>
      </c>
      <c r="AO25" s="10">
        <f>+Rentabilitätsvorschau!AO24*(1+VSt)</f>
        <v>0</v>
      </c>
      <c r="AP25" s="26">
        <f>SUM(AD25:AO25)</f>
        <v>0</v>
      </c>
      <c r="AQ25" s="10">
        <f>+Rentabilitätsvorschau!AQ24*(1+VSt)</f>
        <v>0</v>
      </c>
      <c r="AR25" s="10">
        <f>+Rentabilitätsvorschau!AR24*(1+VSt)</f>
        <v>0</v>
      </c>
      <c r="AS25" s="10">
        <f>+Rentabilitätsvorschau!AS24*(1+VSt)</f>
        <v>0</v>
      </c>
      <c r="AT25" s="10">
        <f>+Rentabilitätsvorschau!AT24*(1+VSt)</f>
        <v>0</v>
      </c>
      <c r="AU25" s="10">
        <f>+Rentabilitätsvorschau!AU24*(1+VSt)</f>
        <v>0</v>
      </c>
      <c r="AV25" s="10">
        <f>+Rentabilitätsvorschau!AV24*(1+VSt)</f>
        <v>0</v>
      </c>
      <c r="AW25" s="10">
        <f>+Rentabilitätsvorschau!AW24*(1+VSt)</f>
        <v>0</v>
      </c>
      <c r="AX25" s="10">
        <f>+Rentabilitätsvorschau!AX24*(1+VSt)</f>
        <v>0</v>
      </c>
      <c r="AY25" s="10">
        <f>+Rentabilitätsvorschau!AY24*(1+VSt)</f>
        <v>0</v>
      </c>
      <c r="AZ25" s="10">
        <f>+Rentabilitätsvorschau!AZ24*(1+VSt)</f>
        <v>0</v>
      </c>
      <c r="BA25" s="10">
        <f>+Rentabilitätsvorschau!BA24*(1+VSt)</f>
        <v>0</v>
      </c>
      <c r="BB25" s="10">
        <f>+Rentabilitätsvorschau!BB24*(1+VSt)</f>
        <v>0</v>
      </c>
      <c r="BC25" s="26">
        <f>SUM(AQ25:BB25)</f>
        <v>0</v>
      </c>
    </row>
    <row r="26" spans="1:55" x14ac:dyDescent="0.35">
      <c r="A26" s="8"/>
      <c r="C26" s="8" t="str">
        <f>+Rentabilitätsvorschau!C25</f>
        <v>Betriebskosten</v>
      </c>
      <c r="D26" s="10">
        <f>+Rentabilitätsvorschau!D25*(1+VSteins)</f>
        <v>0</v>
      </c>
      <c r="E26" s="10">
        <f>+Rentabilitätsvorschau!E25*(1+VSteins)</f>
        <v>0</v>
      </c>
      <c r="F26" s="10">
        <f>+Rentabilitätsvorschau!F25*(1+VSteins)</f>
        <v>0</v>
      </c>
      <c r="G26" s="10">
        <f>+Rentabilitätsvorschau!G25*(1+VSteins)</f>
        <v>0</v>
      </c>
      <c r="H26" s="10">
        <f>+Rentabilitätsvorschau!H25*(1+VSteins)</f>
        <v>0</v>
      </c>
      <c r="I26" s="10">
        <f>+Rentabilitätsvorschau!I25*(1+VSteins)</f>
        <v>0</v>
      </c>
      <c r="J26" s="10">
        <f>+Rentabilitätsvorschau!J25*(1+VSteins)</f>
        <v>0</v>
      </c>
      <c r="K26" s="10">
        <f>+Rentabilitätsvorschau!K25*(1+VSteins)</f>
        <v>0</v>
      </c>
      <c r="L26" s="10">
        <f>+Rentabilitätsvorschau!L25*(1+VSteins)</f>
        <v>0</v>
      </c>
      <c r="M26" s="10">
        <f>+Rentabilitätsvorschau!M25*(1+VSteins)</f>
        <v>0</v>
      </c>
      <c r="N26" s="10">
        <f>+Rentabilitätsvorschau!N25*(1+VSteins)</f>
        <v>0</v>
      </c>
      <c r="O26" s="10">
        <f>+Rentabilitätsvorschau!O25*(1+VSteins)</f>
        <v>0</v>
      </c>
      <c r="P26" s="26">
        <f t="shared" si="7"/>
        <v>0</v>
      </c>
      <c r="Q26" s="10">
        <f>+Rentabilitätsvorschau!Q25*(1+VSt)</f>
        <v>0</v>
      </c>
      <c r="R26" s="10">
        <f>+Rentabilitätsvorschau!R25*(1+VSt)</f>
        <v>0</v>
      </c>
      <c r="S26" s="10">
        <f>+Rentabilitätsvorschau!S25*(1+VSt)</f>
        <v>0</v>
      </c>
      <c r="T26" s="10">
        <f>+Rentabilitätsvorschau!T25*(1+VSt)</f>
        <v>0</v>
      </c>
      <c r="U26" s="10">
        <f>+Rentabilitätsvorschau!U25*(1+VSt)</f>
        <v>0</v>
      </c>
      <c r="V26" s="10">
        <f>+Rentabilitätsvorschau!V25*(1+VSt)</f>
        <v>0</v>
      </c>
      <c r="W26" s="10">
        <f>+Rentabilitätsvorschau!W25*(1+VSt)</f>
        <v>0</v>
      </c>
      <c r="X26" s="10">
        <f>+Rentabilitätsvorschau!X25*(1+VSt)</f>
        <v>0</v>
      </c>
      <c r="Y26" s="10">
        <f>+Rentabilitätsvorschau!Y25*(1+VSt)</f>
        <v>0</v>
      </c>
      <c r="Z26" s="10">
        <f>+Rentabilitätsvorschau!Z25*(1+VSt)</f>
        <v>0</v>
      </c>
      <c r="AA26" s="10">
        <f>+Rentabilitätsvorschau!AA25*(1+VSt)</f>
        <v>0</v>
      </c>
      <c r="AB26" s="10">
        <f>+Rentabilitätsvorschau!AB25*(1+VSt)</f>
        <v>0</v>
      </c>
      <c r="AC26" s="26">
        <f t="shared" si="8"/>
        <v>0</v>
      </c>
      <c r="AD26" s="10">
        <f>+Rentabilitätsvorschau!AD25*(1+VSt)</f>
        <v>0</v>
      </c>
      <c r="AE26" s="10">
        <f>+Rentabilitätsvorschau!AE25*(1+VSt)</f>
        <v>0</v>
      </c>
      <c r="AF26" s="10">
        <f>+Rentabilitätsvorschau!AF25*(1+VSt)</f>
        <v>0</v>
      </c>
      <c r="AG26" s="10">
        <f>+Rentabilitätsvorschau!AG25*(1+VSt)</f>
        <v>0</v>
      </c>
      <c r="AH26" s="10">
        <f>+Rentabilitätsvorschau!AH25*(1+VSt)</f>
        <v>0</v>
      </c>
      <c r="AI26" s="10">
        <f>+Rentabilitätsvorschau!AI25*(1+VSt)</f>
        <v>0</v>
      </c>
      <c r="AJ26" s="10">
        <f>+Rentabilitätsvorschau!AJ25*(1+VSt)</f>
        <v>0</v>
      </c>
      <c r="AK26" s="10">
        <f>+Rentabilitätsvorschau!AK25*(1+VSt)</f>
        <v>0</v>
      </c>
      <c r="AL26" s="10">
        <f>+Rentabilitätsvorschau!AL25*(1+VSt)</f>
        <v>0</v>
      </c>
      <c r="AM26" s="10">
        <f>+Rentabilitätsvorschau!AM25*(1+VSt)</f>
        <v>0</v>
      </c>
      <c r="AN26" s="10">
        <f>+Rentabilitätsvorschau!AN25*(1+VSt)</f>
        <v>0</v>
      </c>
      <c r="AO26" s="10">
        <f>+Rentabilitätsvorschau!AO25*(1+VSt)</f>
        <v>0</v>
      </c>
      <c r="AP26" s="26">
        <f t="shared" si="9"/>
        <v>0</v>
      </c>
      <c r="AQ26" s="10">
        <f>+Rentabilitätsvorschau!AQ25*(1+VSt)</f>
        <v>0</v>
      </c>
      <c r="AR26" s="10">
        <f>+Rentabilitätsvorschau!AR25*(1+VSt)</f>
        <v>0</v>
      </c>
      <c r="AS26" s="10">
        <f>+Rentabilitätsvorschau!AS25*(1+VSt)</f>
        <v>0</v>
      </c>
      <c r="AT26" s="10">
        <f>+Rentabilitätsvorschau!AT25*(1+VSt)</f>
        <v>0</v>
      </c>
      <c r="AU26" s="10">
        <f>+Rentabilitätsvorschau!AU25*(1+VSt)</f>
        <v>0</v>
      </c>
      <c r="AV26" s="10">
        <f>+Rentabilitätsvorschau!AV25*(1+VSt)</f>
        <v>0</v>
      </c>
      <c r="AW26" s="10">
        <f>+Rentabilitätsvorschau!AW25*(1+VSt)</f>
        <v>0</v>
      </c>
      <c r="AX26" s="10">
        <f>+Rentabilitätsvorschau!AX25*(1+VSt)</f>
        <v>0</v>
      </c>
      <c r="AY26" s="10">
        <f>+Rentabilitätsvorschau!AY25*(1+VSt)</f>
        <v>0</v>
      </c>
      <c r="AZ26" s="10">
        <f>+Rentabilitätsvorschau!AZ25*(1+VSt)</f>
        <v>0</v>
      </c>
      <c r="BA26" s="10">
        <f>+Rentabilitätsvorschau!BA25*(1+VSt)</f>
        <v>0</v>
      </c>
      <c r="BB26" s="10">
        <f>+Rentabilitätsvorschau!BB25*(1+VSt)</f>
        <v>0</v>
      </c>
      <c r="BC26" s="26">
        <f t="shared" si="10"/>
        <v>0</v>
      </c>
    </row>
    <row r="27" spans="1:55" x14ac:dyDescent="0.35">
      <c r="A27" s="8"/>
      <c r="B27" s="8" t="str">
        <f>+Rentabilitätsvorschau!B26</f>
        <v>Reise- und Bewirtungskosten</v>
      </c>
      <c r="C27" s="8"/>
      <c r="D27" s="10">
        <f>+Rentabilitätsvorschau!D26*(1+VSteins)</f>
        <v>0</v>
      </c>
      <c r="E27" s="10">
        <f>+Rentabilitätsvorschau!E26*(1+VSteins)</f>
        <v>0</v>
      </c>
      <c r="F27" s="10">
        <f>+Rentabilitätsvorschau!F26*(1+VSteins)</f>
        <v>0</v>
      </c>
      <c r="G27" s="10">
        <f>+Rentabilitätsvorschau!G26*(1+VSteins)</f>
        <v>0</v>
      </c>
      <c r="H27" s="10">
        <f>+Rentabilitätsvorschau!H26*(1+VSteins)</f>
        <v>0</v>
      </c>
      <c r="I27" s="10">
        <f>+Rentabilitätsvorschau!I26*(1+VSteins)</f>
        <v>0</v>
      </c>
      <c r="J27" s="10">
        <f>+Rentabilitätsvorschau!J26*(1+VSteins)</f>
        <v>0</v>
      </c>
      <c r="K27" s="10">
        <f>+Rentabilitätsvorschau!K26*(1+VSteins)</f>
        <v>0</v>
      </c>
      <c r="L27" s="10">
        <f>+Rentabilitätsvorschau!L26*(1+VSteins)</f>
        <v>0</v>
      </c>
      <c r="M27" s="10">
        <f>+Rentabilitätsvorschau!M26*(1+VSteins)</f>
        <v>357</v>
      </c>
      <c r="N27" s="10">
        <f>+Rentabilitätsvorschau!N26*(1+VSteins)</f>
        <v>357</v>
      </c>
      <c r="O27" s="10">
        <f>+Rentabilitätsvorschau!O26*(1+VSteins)</f>
        <v>357</v>
      </c>
      <c r="P27" s="26">
        <f t="shared" si="7"/>
        <v>1071</v>
      </c>
      <c r="Q27" s="10">
        <f>+Rentabilitätsvorschau!Q26*(1+VSt)</f>
        <v>357</v>
      </c>
      <c r="R27" s="10">
        <f>+Rentabilitätsvorschau!R26*(1+VSt)</f>
        <v>357</v>
      </c>
      <c r="S27" s="10">
        <f>+Rentabilitätsvorschau!S26*(1+VSt)</f>
        <v>357</v>
      </c>
      <c r="T27" s="10">
        <f>+Rentabilitätsvorschau!T26*(1+VSt)</f>
        <v>357</v>
      </c>
      <c r="U27" s="10">
        <f>+Rentabilitätsvorschau!U26*(1+VSt)</f>
        <v>357</v>
      </c>
      <c r="V27" s="10">
        <f>+Rentabilitätsvorschau!V26*(1+VSt)</f>
        <v>357</v>
      </c>
      <c r="W27" s="10">
        <f>+Rentabilitätsvorschau!W26*(1+VSt)</f>
        <v>357</v>
      </c>
      <c r="X27" s="10">
        <f>+Rentabilitätsvorschau!X26*(1+VSt)</f>
        <v>357</v>
      </c>
      <c r="Y27" s="10">
        <f>+Rentabilitätsvorschau!Y26*(1+VSt)</f>
        <v>357</v>
      </c>
      <c r="Z27" s="10">
        <f>+Rentabilitätsvorschau!Z26*(1+VSt)</f>
        <v>357</v>
      </c>
      <c r="AA27" s="10">
        <f>+Rentabilitätsvorschau!AA26*(1+VSt)</f>
        <v>357</v>
      </c>
      <c r="AB27" s="10">
        <f>+Rentabilitätsvorschau!AB26*(1+VSt)</f>
        <v>357</v>
      </c>
      <c r="AC27" s="26">
        <f t="shared" si="8"/>
        <v>4284</v>
      </c>
      <c r="AD27" s="10">
        <f>+Rentabilitätsvorschau!AD26*(1+VSt)</f>
        <v>0</v>
      </c>
      <c r="AE27" s="10">
        <f>+Rentabilitätsvorschau!AE26*(1+VSt)</f>
        <v>0</v>
      </c>
      <c r="AF27" s="10">
        <f>+Rentabilitätsvorschau!AF26*(1+VSt)</f>
        <v>0</v>
      </c>
      <c r="AG27" s="10">
        <f>+Rentabilitätsvorschau!AG26*(1+VSt)</f>
        <v>0</v>
      </c>
      <c r="AH27" s="10">
        <f>+Rentabilitätsvorschau!AH26*(1+VSt)</f>
        <v>0</v>
      </c>
      <c r="AI27" s="10">
        <f>+Rentabilitätsvorschau!AI26*(1+VSt)</f>
        <v>0</v>
      </c>
      <c r="AJ27" s="10">
        <f>+Rentabilitätsvorschau!AJ26*(1+VSt)</f>
        <v>0</v>
      </c>
      <c r="AK27" s="10">
        <f>+Rentabilitätsvorschau!AK26*(1+VSt)</f>
        <v>0</v>
      </c>
      <c r="AL27" s="10">
        <f>+Rentabilitätsvorschau!AL26*(1+VSt)</f>
        <v>0</v>
      </c>
      <c r="AM27" s="10">
        <f>+Rentabilitätsvorschau!AM26*(1+VSt)</f>
        <v>0</v>
      </c>
      <c r="AN27" s="10">
        <f>+Rentabilitätsvorschau!AN26*(1+VSt)</f>
        <v>0</v>
      </c>
      <c r="AO27" s="10">
        <f>+Rentabilitätsvorschau!AO26*(1+VSt)</f>
        <v>0</v>
      </c>
      <c r="AP27" s="26">
        <f t="shared" si="9"/>
        <v>0</v>
      </c>
      <c r="AQ27" s="10">
        <f>+Rentabilitätsvorschau!AQ26*(1+VSt)</f>
        <v>0</v>
      </c>
      <c r="AR27" s="10">
        <f>+Rentabilitätsvorschau!AR26*(1+VSt)</f>
        <v>0</v>
      </c>
      <c r="AS27" s="10">
        <f>+Rentabilitätsvorschau!AS26*(1+VSt)</f>
        <v>0</v>
      </c>
      <c r="AT27" s="10">
        <f>+Rentabilitätsvorschau!AT26*(1+VSt)</f>
        <v>0</v>
      </c>
      <c r="AU27" s="10">
        <f>+Rentabilitätsvorschau!AU26*(1+VSt)</f>
        <v>0</v>
      </c>
      <c r="AV27" s="10">
        <f>+Rentabilitätsvorschau!AV26*(1+VSt)</f>
        <v>0</v>
      </c>
      <c r="AW27" s="10">
        <f>+Rentabilitätsvorschau!AW26*(1+VSt)</f>
        <v>0</v>
      </c>
      <c r="AX27" s="10">
        <f>+Rentabilitätsvorschau!AX26*(1+VSt)</f>
        <v>0</v>
      </c>
      <c r="AY27" s="10">
        <f>+Rentabilitätsvorschau!AY26*(1+VSt)</f>
        <v>0</v>
      </c>
      <c r="AZ27" s="10">
        <f>+Rentabilitätsvorschau!AZ26*(1+VSt)</f>
        <v>0</v>
      </c>
      <c r="BA27" s="10">
        <f>+Rentabilitätsvorschau!BA26*(1+VSt)</f>
        <v>0</v>
      </c>
      <c r="BB27" s="10">
        <f>+Rentabilitätsvorschau!BB26*(1+VSt)</f>
        <v>0</v>
      </c>
      <c r="BC27" s="26">
        <f t="shared" si="10"/>
        <v>0</v>
      </c>
    </row>
    <row r="28" spans="1:55" x14ac:dyDescent="0.35">
      <c r="A28" s="8"/>
      <c r="B28" s="8" t="str">
        <f>+Rentabilitätsvorschau!B27</f>
        <v>Anzeigen- und sonst. Werbung</v>
      </c>
      <c r="C28" s="8"/>
      <c r="D28" s="10">
        <f>+Rentabilitätsvorschau!D27*(1+VSteins)</f>
        <v>0</v>
      </c>
      <c r="E28" s="10">
        <f>+Rentabilitätsvorschau!E27*(1+VSteins)</f>
        <v>0</v>
      </c>
      <c r="F28" s="10">
        <f>+Rentabilitätsvorschau!F27*(1+VSteins)</f>
        <v>0</v>
      </c>
      <c r="G28" s="10">
        <f>+Rentabilitätsvorschau!G27*(1+VSteins)</f>
        <v>0</v>
      </c>
      <c r="H28" s="10">
        <f>+Rentabilitätsvorschau!H27*(1+VSteins)</f>
        <v>0</v>
      </c>
      <c r="I28" s="10">
        <f>+Rentabilitätsvorschau!I27*(1+VSteins)</f>
        <v>0</v>
      </c>
      <c r="J28" s="10">
        <f>+Rentabilitätsvorschau!J27*(1+VSteins)</f>
        <v>0</v>
      </c>
      <c r="K28" s="10">
        <f>+Rentabilitätsvorschau!K27*(1+VSteins)</f>
        <v>0</v>
      </c>
      <c r="L28" s="10">
        <f>+Rentabilitätsvorschau!L27*(1+VSteins)</f>
        <v>0</v>
      </c>
      <c r="M28" s="10">
        <f>+Rentabilitätsvorschau!M27*(1+VSteins)</f>
        <v>119</v>
      </c>
      <c r="N28" s="10">
        <f>+Rentabilitätsvorschau!N27*(1+VSteins)</f>
        <v>119</v>
      </c>
      <c r="O28" s="10">
        <f>+Rentabilitätsvorschau!O27*(1+VSteins)</f>
        <v>119</v>
      </c>
      <c r="P28" s="26">
        <f t="shared" si="7"/>
        <v>357</v>
      </c>
      <c r="Q28" s="10">
        <f>+Rentabilitätsvorschau!Q27*(1+VSt)</f>
        <v>119</v>
      </c>
      <c r="R28" s="10">
        <f>+Rentabilitätsvorschau!R27*(1+VSt)</f>
        <v>119</v>
      </c>
      <c r="S28" s="10">
        <f>+Rentabilitätsvorschau!S27*(1+VSt)</f>
        <v>119</v>
      </c>
      <c r="T28" s="10">
        <f>+Rentabilitätsvorschau!T27*(1+VSt)</f>
        <v>119</v>
      </c>
      <c r="U28" s="10">
        <f>+Rentabilitätsvorschau!U27*(1+VSt)</f>
        <v>119</v>
      </c>
      <c r="V28" s="10">
        <f>+Rentabilitätsvorschau!V27*(1+VSt)</f>
        <v>119</v>
      </c>
      <c r="W28" s="10">
        <f>+Rentabilitätsvorschau!W27*(1+VSt)</f>
        <v>119</v>
      </c>
      <c r="X28" s="10">
        <f>+Rentabilitätsvorschau!X27*(1+VSt)</f>
        <v>119</v>
      </c>
      <c r="Y28" s="10">
        <f>+Rentabilitätsvorschau!Y27*(1+VSt)</f>
        <v>119</v>
      </c>
      <c r="Z28" s="10">
        <f>+Rentabilitätsvorschau!Z27*(1+VSt)</f>
        <v>119</v>
      </c>
      <c r="AA28" s="10">
        <f>+Rentabilitätsvorschau!AA27*(1+VSt)</f>
        <v>119</v>
      </c>
      <c r="AB28" s="10">
        <f>+Rentabilitätsvorschau!AB27*(1+VSt)</f>
        <v>119</v>
      </c>
      <c r="AC28" s="26">
        <f t="shared" si="8"/>
        <v>1428</v>
      </c>
      <c r="AD28" s="10">
        <f>+Rentabilitätsvorschau!AD27*(1+VSt)</f>
        <v>0</v>
      </c>
      <c r="AE28" s="10">
        <f>+Rentabilitätsvorschau!AE27*(1+VSt)</f>
        <v>0</v>
      </c>
      <c r="AF28" s="10">
        <f>+Rentabilitätsvorschau!AF27*(1+VSt)</f>
        <v>0</v>
      </c>
      <c r="AG28" s="10">
        <f>+Rentabilitätsvorschau!AG27*(1+VSt)</f>
        <v>0</v>
      </c>
      <c r="AH28" s="10">
        <f>+Rentabilitätsvorschau!AH27*(1+VSt)</f>
        <v>0</v>
      </c>
      <c r="AI28" s="10">
        <f>+Rentabilitätsvorschau!AI27*(1+VSt)</f>
        <v>0</v>
      </c>
      <c r="AJ28" s="10">
        <f>+Rentabilitätsvorschau!AJ27*(1+VSt)</f>
        <v>0</v>
      </c>
      <c r="AK28" s="10">
        <f>+Rentabilitätsvorschau!AK27*(1+VSt)</f>
        <v>0</v>
      </c>
      <c r="AL28" s="10">
        <f>+Rentabilitätsvorschau!AL27*(1+VSt)</f>
        <v>0</v>
      </c>
      <c r="AM28" s="10">
        <f>+Rentabilitätsvorschau!AM27*(1+VSt)</f>
        <v>0</v>
      </c>
      <c r="AN28" s="10">
        <f>+Rentabilitätsvorschau!AN27*(1+VSt)</f>
        <v>0</v>
      </c>
      <c r="AO28" s="10">
        <f>+Rentabilitätsvorschau!AO27*(1+VSt)</f>
        <v>0</v>
      </c>
      <c r="AP28" s="26">
        <f t="shared" si="9"/>
        <v>0</v>
      </c>
      <c r="AQ28" s="10">
        <f>+Rentabilitätsvorschau!AQ27*(1+VSt)</f>
        <v>0</v>
      </c>
      <c r="AR28" s="10">
        <f>+Rentabilitätsvorschau!AR27*(1+VSt)</f>
        <v>0</v>
      </c>
      <c r="AS28" s="10">
        <f>+Rentabilitätsvorschau!AS27*(1+VSt)</f>
        <v>0</v>
      </c>
      <c r="AT28" s="10">
        <f>+Rentabilitätsvorschau!AT27*(1+VSt)</f>
        <v>0</v>
      </c>
      <c r="AU28" s="10">
        <f>+Rentabilitätsvorschau!AU27*(1+VSt)</f>
        <v>0</v>
      </c>
      <c r="AV28" s="10">
        <f>+Rentabilitätsvorschau!AV27*(1+VSt)</f>
        <v>0</v>
      </c>
      <c r="AW28" s="10">
        <f>+Rentabilitätsvorschau!AW27*(1+VSt)</f>
        <v>0</v>
      </c>
      <c r="AX28" s="10">
        <f>+Rentabilitätsvorschau!AX27*(1+VSt)</f>
        <v>0</v>
      </c>
      <c r="AY28" s="10">
        <f>+Rentabilitätsvorschau!AY27*(1+VSt)</f>
        <v>0</v>
      </c>
      <c r="AZ28" s="10">
        <f>+Rentabilitätsvorschau!AZ27*(1+VSt)</f>
        <v>0</v>
      </c>
      <c r="BA28" s="10">
        <f>+Rentabilitätsvorschau!BA27*(1+VSt)</f>
        <v>0</v>
      </c>
      <c r="BB28" s="10">
        <f>+Rentabilitätsvorschau!BB27*(1+VSt)</f>
        <v>0</v>
      </c>
      <c r="BC28" s="26">
        <f t="shared" si="10"/>
        <v>0</v>
      </c>
    </row>
    <row r="29" spans="1:55" x14ac:dyDescent="0.35">
      <c r="A29" s="8"/>
      <c r="B29" s="8" t="str">
        <f>+Rentabilitätsvorschau!B28</f>
        <v>Kosten der Warenabgabe</v>
      </c>
      <c r="C29" s="8"/>
      <c r="D29" s="10"/>
      <c r="E29" s="10"/>
      <c r="F29" s="10"/>
      <c r="G29" s="10"/>
      <c r="H29" s="10"/>
      <c r="I29" s="10"/>
      <c r="J29" s="10"/>
      <c r="K29" s="10"/>
      <c r="L29" s="10"/>
      <c r="M29" s="10"/>
      <c r="N29" s="10"/>
      <c r="O29" s="10"/>
      <c r="P29" s="26"/>
      <c r="Q29" s="10"/>
      <c r="R29" s="10"/>
      <c r="S29" s="10"/>
      <c r="T29" s="10"/>
      <c r="U29" s="10"/>
      <c r="V29" s="10"/>
      <c r="W29" s="10"/>
      <c r="X29" s="10"/>
      <c r="Y29" s="10"/>
      <c r="Z29" s="10"/>
      <c r="AA29" s="10"/>
      <c r="AB29" s="10"/>
      <c r="AC29" s="26"/>
      <c r="AD29" s="10"/>
      <c r="AE29" s="10"/>
      <c r="AF29" s="10"/>
      <c r="AG29" s="10"/>
      <c r="AH29" s="10"/>
      <c r="AI29" s="10"/>
      <c r="AJ29" s="10"/>
      <c r="AK29" s="10"/>
      <c r="AL29" s="10"/>
      <c r="AM29" s="10"/>
      <c r="AN29" s="10"/>
      <c r="AO29" s="10"/>
      <c r="AP29" s="26"/>
      <c r="AQ29" s="10"/>
      <c r="AR29" s="10"/>
      <c r="AS29" s="10"/>
      <c r="AT29" s="10"/>
      <c r="AU29" s="10"/>
      <c r="AV29" s="10"/>
      <c r="AW29" s="10"/>
      <c r="AX29" s="10"/>
      <c r="AY29" s="10"/>
      <c r="AZ29" s="10"/>
      <c r="BA29" s="10"/>
      <c r="BB29" s="10"/>
      <c r="BC29" s="26"/>
    </row>
    <row r="30" spans="1:55" x14ac:dyDescent="0.35">
      <c r="A30" s="8"/>
      <c r="B30" s="8"/>
      <c r="C30" s="8" t="str">
        <f>+Rentabilitätsvorschau!C29</f>
        <v>Verpackung/Ausgangsfrachten</v>
      </c>
      <c r="D30" s="10">
        <f>+Rentabilitätsvorschau!D29*(1+VSteins)</f>
        <v>0</v>
      </c>
      <c r="E30" s="10">
        <f>+Rentabilitätsvorschau!E29*(1+VSteins)</f>
        <v>0</v>
      </c>
      <c r="F30" s="10">
        <f>+Rentabilitätsvorschau!F29*(1+VSteins)</f>
        <v>0</v>
      </c>
      <c r="G30" s="10">
        <f>+Rentabilitätsvorschau!G29*(1+VSteins)</f>
        <v>0</v>
      </c>
      <c r="H30" s="10">
        <f>+Rentabilitätsvorschau!H29*(1+VSteins)</f>
        <v>0</v>
      </c>
      <c r="I30" s="10">
        <f>+Rentabilitätsvorschau!I29*(1+VSteins)</f>
        <v>0</v>
      </c>
      <c r="J30" s="10">
        <f>+Rentabilitätsvorschau!J29*(1+VSteins)</f>
        <v>0</v>
      </c>
      <c r="K30" s="10">
        <f>+Rentabilitätsvorschau!K29*(1+VSteins)</f>
        <v>0</v>
      </c>
      <c r="L30" s="10">
        <f>+Rentabilitätsvorschau!L29*(1+VSteins)</f>
        <v>0</v>
      </c>
      <c r="M30" s="10">
        <f>+Rentabilitätsvorschau!M29*(1+VSteins)</f>
        <v>0</v>
      </c>
      <c r="N30" s="10">
        <f>+Rentabilitätsvorschau!N29*(1+VSteins)</f>
        <v>0</v>
      </c>
      <c r="O30" s="10">
        <f>+Rentabilitätsvorschau!O29*(1+VSteins)</f>
        <v>0</v>
      </c>
      <c r="P30" s="26">
        <f t="shared" ref="P30:P38" si="11">SUM(D30:O30)</f>
        <v>0</v>
      </c>
      <c r="Q30" s="10">
        <f>+Rentabilitätsvorschau!Q29*(1+VSt)</f>
        <v>0</v>
      </c>
      <c r="R30" s="10">
        <f>+Rentabilitätsvorschau!R29*(1+VSt)</f>
        <v>0</v>
      </c>
      <c r="S30" s="10">
        <f>+Rentabilitätsvorschau!S29*(1+VSt)</f>
        <v>0</v>
      </c>
      <c r="T30" s="10">
        <f>+Rentabilitätsvorschau!T29*(1+VSt)</f>
        <v>0</v>
      </c>
      <c r="U30" s="10">
        <f>+Rentabilitätsvorschau!U29*(1+VSt)</f>
        <v>0</v>
      </c>
      <c r="V30" s="10">
        <f>+Rentabilitätsvorschau!V29*(1+VSt)</f>
        <v>0</v>
      </c>
      <c r="W30" s="10">
        <f>+Rentabilitätsvorschau!W29*(1+VSt)</f>
        <v>0</v>
      </c>
      <c r="X30" s="10">
        <f>+Rentabilitätsvorschau!X29*(1+VSt)</f>
        <v>0</v>
      </c>
      <c r="Y30" s="10">
        <f>+Rentabilitätsvorschau!Y29*(1+VSt)</f>
        <v>0</v>
      </c>
      <c r="Z30" s="10">
        <f>+Rentabilitätsvorschau!Z29*(1+VSt)</f>
        <v>0</v>
      </c>
      <c r="AA30" s="10">
        <f>+Rentabilitätsvorschau!AA29*(1+VSt)</f>
        <v>0</v>
      </c>
      <c r="AB30" s="10">
        <f>+Rentabilitätsvorschau!AB29*(1+VSt)</f>
        <v>0</v>
      </c>
      <c r="AC30" s="26">
        <f>SUM(Q30:AB30)</f>
        <v>0</v>
      </c>
      <c r="AD30" s="10">
        <f>+Rentabilitätsvorschau!AD29*(1+VSt)</f>
        <v>0</v>
      </c>
      <c r="AE30" s="10">
        <f>+Rentabilitätsvorschau!AE29*(1+VSt)</f>
        <v>0</v>
      </c>
      <c r="AF30" s="10">
        <f>+Rentabilitätsvorschau!AF29*(1+VSt)</f>
        <v>0</v>
      </c>
      <c r="AG30" s="10">
        <f>+Rentabilitätsvorschau!AG29*(1+VSt)</f>
        <v>0</v>
      </c>
      <c r="AH30" s="10">
        <f>+Rentabilitätsvorschau!AH29*(1+VSt)</f>
        <v>0</v>
      </c>
      <c r="AI30" s="10">
        <f>+Rentabilitätsvorschau!AI29*(1+VSt)</f>
        <v>0</v>
      </c>
      <c r="AJ30" s="10">
        <f>+Rentabilitätsvorschau!AJ29*(1+VSt)</f>
        <v>0</v>
      </c>
      <c r="AK30" s="10">
        <f>+Rentabilitätsvorschau!AK29*(1+VSt)</f>
        <v>0</v>
      </c>
      <c r="AL30" s="10">
        <f>+Rentabilitätsvorschau!AL29*(1+VSt)</f>
        <v>0</v>
      </c>
      <c r="AM30" s="10">
        <f>+Rentabilitätsvorschau!AM29*(1+VSt)</f>
        <v>0</v>
      </c>
      <c r="AN30" s="10">
        <f>+Rentabilitätsvorschau!AN29*(1+VSt)</f>
        <v>0</v>
      </c>
      <c r="AO30" s="10">
        <f>+Rentabilitätsvorschau!AO29*(1+VSt)</f>
        <v>0</v>
      </c>
      <c r="AP30" s="26">
        <f>SUM(AD30:AO30)</f>
        <v>0</v>
      </c>
      <c r="AQ30" s="10">
        <f>+Rentabilitätsvorschau!AQ29*(1+VSt)</f>
        <v>0</v>
      </c>
      <c r="AR30" s="10">
        <f>+Rentabilitätsvorschau!AR29*(1+VSt)</f>
        <v>0</v>
      </c>
      <c r="AS30" s="10">
        <f>+Rentabilitätsvorschau!AS29*(1+VSt)</f>
        <v>0</v>
      </c>
      <c r="AT30" s="10">
        <f>+Rentabilitätsvorschau!AT29*(1+VSt)</f>
        <v>0</v>
      </c>
      <c r="AU30" s="10">
        <f>+Rentabilitätsvorschau!AU29*(1+VSt)</f>
        <v>0</v>
      </c>
      <c r="AV30" s="10">
        <f>+Rentabilitätsvorschau!AV29*(1+VSt)</f>
        <v>0</v>
      </c>
      <c r="AW30" s="10">
        <f>+Rentabilitätsvorschau!AW29*(1+VSt)</f>
        <v>0</v>
      </c>
      <c r="AX30" s="10">
        <f>+Rentabilitätsvorschau!AX29*(1+VSt)</f>
        <v>0</v>
      </c>
      <c r="AY30" s="10">
        <f>+Rentabilitätsvorschau!AY29*(1+VSt)</f>
        <v>0</v>
      </c>
      <c r="AZ30" s="10">
        <f>+Rentabilitätsvorschau!AZ29*(1+VSt)</f>
        <v>0</v>
      </c>
      <c r="BA30" s="10">
        <f>+Rentabilitätsvorschau!BA29*(1+VSt)</f>
        <v>0</v>
      </c>
      <c r="BB30" s="10">
        <f>+Rentabilitätsvorschau!BB29*(1+VSt)</f>
        <v>0</v>
      </c>
      <c r="BC30" s="26">
        <f>SUM(AQ30:BB30)</f>
        <v>0</v>
      </c>
    </row>
    <row r="31" spans="1:55" x14ac:dyDescent="0.35">
      <c r="A31" s="8"/>
      <c r="B31" s="8"/>
      <c r="C31" s="8" t="str">
        <f>+Rentabilitätsvorschau!C30</f>
        <v>Provisionen</v>
      </c>
      <c r="D31" s="10">
        <f>+Rentabilitätsvorschau!D30*(1+VSteins)</f>
        <v>0</v>
      </c>
      <c r="E31" s="10">
        <f>+Rentabilitätsvorschau!E30*(1+VSteins)</f>
        <v>0</v>
      </c>
      <c r="F31" s="10">
        <f>+Rentabilitätsvorschau!F30*(1+VSteins)</f>
        <v>0</v>
      </c>
      <c r="G31" s="10">
        <f>+Rentabilitätsvorschau!G30*(1+VSteins)</f>
        <v>0</v>
      </c>
      <c r="H31" s="10">
        <f>+Rentabilitätsvorschau!H30*(1+VSteins)</f>
        <v>0</v>
      </c>
      <c r="I31" s="10">
        <f>+Rentabilitätsvorschau!I30*(1+VSteins)</f>
        <v>0</v>
      </c>
      <c r="J31" s="10">
        <f>+Rentabilitätsvorschau!J30*(1+VSteins)</f>
        <v>0</v>
      </c>
      <c r="K31" s="10">
        <f>+Rentabilitätsvorschau!K30*(1+VSteins)</f>
        <v>0</v>
      </c>
      <c r="L31" s="10">
        <f>+Rentabilitätsvorschau!L30*(1+VSteins)</f>
        <v>0</v>
      </c>
      <c r="M31" s="10">
        <f>+Rentabilitätsvorschau!M30*(1+VSteins)</f>
        <v>0</v>
      </c>
      <c r="N31" s="10">
        <f>+Rentabilitätsvorschau!N30*(1+VSteins)</f>
        <v>0</v>
      </c>
      <c r="O31" s="10">
        <f>+Rentabilitätsvorschau!O30*(1+VSteins)</f>
        <v>0</v>
      </c>
      <c r="P31" s="26">
        <f t="shared" si="11"/>
        <v>0</v>
      </c>
      <c r="Q31" s="10">
        <f>+Rentabilitätsvorschau!Q30*(1+VSt)</f>
        <v>0</v>
      </c>
      <c r="R31" s="10">
        <f>+Rentabilitätsvorschau!R30*(1+VSt)</f>
        <v>0</v>
      </c>
      <c r="S31" s="10">
        <f>+Rentabilitätsvorschau!S30*(1+VSt)</f>
        <v>0</v>
      </c>
      <c r="T31" s="10">
        <f>+Rentabilitätsvorschau!T30*(1+VSt)</f>
        <v>0</v>
      </c>
      <c r="U31" s="10">
        <f>+Rentabilitätsvorschau!U30*(1+VSt)</f>
        <v>0</v>
      </c>
      <c r="V31" s="10">
        <f>+Rentabilitätsvorschau!V30*(1+VSt)</f>
        <v>0</v>
      </c>
      <c r="W31" s="10">
        <f>+Rentabilitätsvorschau!W30*(1+VSt)</f>
        <v>0</v>
      </c>
      <c r="X31" s="10">
        <f>+Rentabilitätsvorschau!X30*(1+VSt)</f>
        <v>0</v>
      </c>
      <c r="Y31" s="10">
        <f>+Rentabilitätsvorschau!Y30*(1+VSt)</f>
        <v>0</v>
      </c>
      <c r="Z31" s="10">
        <f>+Rentabilitätsvorschau!Z30*(1+VSt)</f>
        <v>0</v>
      </c>
      <c r="AA31" s="10">
        <f>+Rentabilitätsvorschau!AA30*(1+VSt)</f>
        <v>0</v>
      </c>
      <c r="AB31" s="10">
        <f>+Rentabilitätsvorschau!AB30*(1+VSt)</f>
        <v>0</v>
      </c>
      <c r="AC31" s="26">
        <f>SUM(Q31:AB31)</f>
        <v>0</v>
      </c>
      <c r="AD31" s="10">
        <f>+Rentabilitätsvorschau!AD30*(1+VSt)</f>
        <v>0</v>
      </c>
      <c r="AE31" s="10">
        <f>+Rentabilitätsvorschau!AE30*(1+VSt)</f>
        <v>0</v>
      </c>
      <c r="AF31" s="10">
        <f>+Rentabilitätsvorschau!AF30*(1+VSt)</f>
        <v>0</v>
      </c>
      <c r="AG31" s="10">
        <f>+Rentabilitätsvorschau!AG30*(1+VSt)</f>
        <v>0</v>
      </c>
      <c r="AH31" s="10">
        <f>+Rentabilitätsvorschau!AH30*(1+VSt)</f>
        <v>0</v>
      </c>
      <c r="AI31" s="10">
        <f>+Rentabilitätsvorschau!AI30*(1+VSt)</f>
        <v>0</v>
      </c>
      <c r="AJ31" s="10">
        <f>+Rentabilitätsvorschau!AJ30*(1+VSt)</f>
        <v>0</v>
      </c>
      <c r="AK31" s="10">
        <f>+Rentabilitätsvorschau!AK30*(1+VSt)</f>
        <v>0</v>
      </c>
      <c r="AL31" s="10">
        <f>+Rentabilitätsvorschau!AL30*(1+VSt)</f>
        <v>0</v>
      </c>
      <c r="AM31" s="10">
        <f>+Rentabilitätsvorschau!AM30*(1+VSt)</f>
        <v>0</v>
      </c>
      <c r="AN31" s="10">
        <f>+Rentabilitätsvorschau!AN30*(1+VSt)</f>
        <v>0</v>
      </c>
      <c r="AO31" s="10">
        <f>+Rentabilitätsvorschau!AO30*(1+VSt)</f>
        <v>0</v>
      </c>
      <c r="AP31" s="26">
        <f>SUM(AD31:AO31)</f>
        <v>0</v>
      </c>
      <c r="AQ31" s="10">
        <f>+Rentabilitätsvorschau!AQ30*(1+VSt)</f>
        <v>0</v>
      </c>
      <c r="AR31" s="10">
        <f>+Rentabilitätsvorschau!AR30*(1+VSt)</f>
        <v>0</v>
      </c>
      <c r="AS31" s="10">
        <f>+Rentabilitätsvorschau!AS30*(1+VSt)</f>
        <v>0</v>
      </c>
      <c r="AT31" s="10">
        <f>+Rentabilitätsvorschau!AT30*(1+VSt)</f>
        <v>0</v>
      </c>
      <c r="AU31" s="10">
        <f>+Rentabilitätsvorschau!AU30*(1+VSt)</f>
        <v>0</v>
      </c>
      <c r="AV31" s="10">
        <f>+Rentabilitätsvorschau!AV30*(1+VSt)</f>
        <v>0</v>
      </c>
      <c r="AW31" s="10">
        <f>+Rentabilitätsvorschau!AW30*(1+VSt)</f>
        <v>0</v>
      </c>
      <c r="AX31" s="10">
        <f>+Rentabilitätsvorschau!AX30*(1+VSt)</f>
        <v>0</v>
      </c>
      <c r="AY31" s="10">
        <f>+Rentabilitätsvorschau!AY30*(1+VSt)</f>
        <v>0</v>
      </c>
      <c r="AZ31" s="10">
        <f>+Rentabilitätsvorschau!AZ30*(1+VSt)</f>
        <v>0</v>
      </c>
      <c r="BA31" s="10">
        <f>+Rentabilitätsvorschau!BA30*(1+VSt)</f>
        <v>0</v>
      </c>
      <c r="BB31" s="10">
        <f>+Rentabilitätsvorschau!BB30*(1+VSt)</f>
        <v>0</v>
      </c>
      <c r="BC31" s="26">
        <f>SUM(AQ31:BB31)</f>
        <v>0</v>
      </c>
    </row>
    <row r="32" spans="1:55" x14ac:dyDescent="0.35">
      <c r="A32" s="8"/>
      <c r="B32" s="8" t="str">
        <f>+Rentabilitätsvorschau!B31</f>
        <v>Instandhaltung Betriebs- und Geschäftsausstattung</v>
      </c>
      <c r="C32" s="8"/>
      <c r="D32" s="10">
        <f>+Rentabilitätsvorschau!D31*(1+VSteins)</f>
        <v>0</v>
      </c>
      <c r="E32" s="10">
        <f>+Rentabilitätsvorschau!E31*(1+VSteins)</f>
        <v>0</v>
      </c>
      <c r="F32" s="10">
        <f>+Rentabilitätsvorschau!F31*(1+VSteins)</f>
        <v>0</v>
      </c>
      <c r="G32" s="10">
        <f>+Rentabilitätsvorschau!G31*(1+VSteins)</f>
        <v>0</v>
      </c>
      <c r="H32" s="10">
        <f>+Rentabilitätsvorschau!H31*(1+VSteins)</f>
        <v>0</v>
      </c>
      <c r="I32" s="10">
        <f>+Rentabilitätsvorschau!I31*(1+VSteins)</f>
        <v>0</v>
      </c>
      <c r="J32" s="10">
        <f>+Rentabilitätsvorschau!J31*(1+VSteins)</f>
        <v>0</v>
      </c>
      <c r="K32" s="10">
        <f>+Rentabilitätsvorschau!K31*(1+VSteins)</f>
        <v>0</v>
      </c>
      <c r="L32" s="10">
        <f>+Rentabilitätsvorschau!L31*(1+VSteins)</f>
        <v>0</v>
      </c>
      <c r="M32" s="10">
        <f>+Rentabilitätsvorschau!M31*(1+VSteins)</f>
        <v>0</v>
      </c>
      <c r="N32" s="10">
        <f>+Rentabilitätsvorschau!N31*(1+VSteins)</f>
        <v>0</v>
      </c>
      <c r="O32" s="10">
        <f>+Rentabilitätsvorschau!O31*(1+VSteins)</f>
        <v>0</v>
      </c>
      <c r="P32" s="26">
        <f t="shared" si="11"/>
        <v>0</v>
      </c>
      <c r="Q32" s="10">
        <f>+Rentabilitätsvorschau!Q31*(1+VSt)</f>
        <v>0</v>
      </c>
      <c r="R32" s="10">
        <f>+Rentabilitätsvorschau!R31*(1+VSt)</f>
        <v>0</v>
      </c>
      <c r="S32" s="10">
        <f>+Rentabilitätsvorschau!S31*(1+VSt)</f>
        <v>0</v>
      </c>
      <c r="T32" s="10">
        <f>+Rentabilitätsvorschau!T31*(1+VSt)</f>
        <v>0</v>
      </c>
      <c r="U32" s="10">
        <f>+Rentabilitätsvorschau!U31*(1+VSt)</f>
        <v>0</v>
      </c>
      <c r="V32" s="10">
        <f>+Rentabilitätsvorschau!V31*(1+VSt)</f>
        <v>0</v>
      </c>
      <c r="W32" s="10">
        <f>+Rentabilitätsvorschau!W31*(1+VSt)</f>
        <v>0</v>
      </c>
      <c r="X32" s="10">
        <f>+Rentabilitätsvorschau!X31*(1+VSt)</f>
        <v>0</v>
      </c>
      <c r="Y32" s="10">
        <f>+Rentabilitätsvorschau!Y31*(1+VSt)</f>
        <v>0</v>
      </c>
      <c r="Z32" s="10">
        <f>+Rentabilitätsvorschau!Z31*(1+VSt)</f>
        <v>0</v>
      </c>
      <c r="AA32" s="10">
        <f>+Rentabilitätsvorschau!AA31*(1+VSt)</f>
        <v>0</v>
      </c>
      <c r="AB32" s="10">
        <f>+Rentabilitätsvorschau!AB31*(1+VSt)</f>
        <v>0</v>
      </c>
      <c r="AC32" s="26">
        <f t="shared" si="8"/>
        <v>0</v>
      </c>
      <c r="AD32" s="10">
        <f>+Rentabilitätsvorschau!AD31*(1+VSt)</f>
        <v>0</v>
      </c>
      <c r="AE32" s="10">
        <f>+Rentabilitätsvorschau!AE31*(1+VSt)</f>
        <v>0</v>
      </c>
      <c r="AF32" s="10">
        <f>+Rentabilitätsvorschau!AF31*(1+VSt)</f>
        <v>0</v>
      </c>
      <c r="AG32" s="10">
        <f>+Rentabilitätsvorschau!AG31*(1+VSt)</f>
        <v>0</v>
      </c>
      <c r="AH32" s="10">
        <f>+Rentabilitätsvorschau!AH31*(1+VSt)</f>
        <v>0</v>
      </c>
      <c r="AI32" s="10">
        <f>+Rentabilitätsvorschau!AI31*(1+VSt)</f>
        <v>0</v>
      </c>
      <c r="AJ32" s="10">
        <f>+Rentabilitätsvorschau!AJ31*(1+VSt)</f>
        <v>0</v>
      </c>
      <c r="AK32" s="10">
        <f>+Rentabilitätsvorschau!AK31*(1+VSt)</f>
        <v>0</v>
      </c>
      <c r="AL32" s="10">
        <f>+Rentabilitätsvorschau!AL31*(1+VSt)</f>
        <v>0</v>
      </c>
      <c r="AM32" s="10">
        <f>+Rentabilitätsvorschau!AM31*(1+VSt)</f>
        <v>0</v>
      </c>
      <c r="AN32" s="10">
        <f>+Rentabilitätsvorschau!AN31*(1+VSt)</f>
        <v>0</v>
      </c>
      <c r="AO32" s="10">
        <f>+Rentabilitätsvorschau!AO31*(1+VSt)</f>
        <v>0</v>
      </c>
      <c r="AP32" s="26">
        <f t="shared" si="9"/>
        <v>0</v>
      </c>
      <c r="AQ32" s="10">
        <f>+Rentabilitätsvorschau!AQ31*(1+VSt)</f>
        <v>0</v>
      </c>
      <c r="AR32" s="10">
        <f>+Rentabilitätsvorschau!AR31*(1+VSt)</f>
        <v>0</v>
      </c>
      <c r="AS32" s="10">
        <f>+Rentabilitätsvorschau!AS31*(1+VSt)</f>
        <v>0</v>
      </c>
      <c r="AT32" s="10">
        <f>+Rentabilitätsvorschau!AT31*(1+VSt)</f>
        <v>0</v>
      </c>
      <c r="AU32" s="10">
        <f>+Rentabilitätsvorschau!AU31*(1+VSt)</f>
        <v>0</v>
      </c>
      <c r="AV32" s="10">
        <f>+Rentabilitätsvorschau!AV31*(1+VSt)</f>
        <v>0</v>
      </c>
      <c r="AW32" s="10">
        <f>+Rentabilitätsvorschau!AW31*(1+VSt)</f>
        <v>0</v>
      </c>
      <c r="AX32" s="10">
        <f>+Rentabilitätsvorschau!AX31*(1+VSt)</f>
        <v>0</v>
      </c>
      <c r="AY32" s="10">
        <f>+Rentabilitätsvorschau!AY31*(1+VSt)</f>
        <v>0</v>
      </c>
      <c r="AZ32" s="10">
        <f>+Rentabilitätsvorschau!AZ31*(1+VSt)</f>
        <v>0</v>
      </c>
      <c r="BA32" s="10">
        <f>+Rentabilitätsvorschau!BA31*(1+VSt)</f>
        <v>0</v>
      </c>
      <c r="BB32" s="10">
        <f>+Rentabilitätsvorschau!BB31*(1+VSt)</f>
        <v>0</v>
      </c>
      <c r="BC32" s="26">
        <f t="shared" si="10"/>
        <v>0</v>
      </c>
    </row>
    <row r="33" spans="1:55" x14ac:dyDescent="0.35">
      <c r="A33" s="8"/>
      <c r="B33" s="8" t="str">
        <f>+Rentabilitätsvorschau!B32</f>
        <v>Leasing (außer Kfz)</v>
      </c>
      <c r="C33" s="8"/>
      <c r="D33" s="10">
        <f>+Rentabilitätsvorschau!D32*(1+VSteins)</f>
        <v>0</v>
      </c>
      <c r="E33" s="10">
        <f>+Rentabilitätsvorschau!E32*(1+VSteins)</f>
        <v>0</v>
      </c>
      <c r="F33" s="10">
        <f>+Rentabilitätsvorschau!F32*(1+VSteins)</f>
        <v>0</v>
      </c>
      <c r="G33" s="10">
        <f>+Rentabilitätsvorschau!G32*(1+VSteins)</f>
        <v>0</v>
      </c>
      <c r="H33" s="10">
        <f>+Rentabilitätsvorschau!H32*(1+VSteins)</f>
        <v>0</v>
      </c>
      <c r="I33" s="10">
        <f>+Rentabilitätsvorschau!I32*(1+VSteins)</f>
        <v>0</v>
      </c>
      <c r="J33" s="10">
        <f>+Rentabilitätsvorschau!J32*(1+VSteins)</f>
        <v>0</v>
      </c>
      <c r="K33" s="10">
        <f>+Rentabilitätsvorschau!K32*(1+VSteins)</f>
        <v>0</v>
      </c>
      <c r="L33" s="10">
        <f>+Rentabilitätsvorschau!L32*(1+VSteins)</f>
        <v>0</v>
      </c>
      <c r="M33" s="10">
        <f>+Rentabilitätsvorschau!M32*(1+VSteins)</f>
        <v>0</v>
      </c>
      <c r="N33" s="10">
        <f>+Rentabilitätsvorschau!N32*(1+VSteins)</f>
        <v>0</v>
      </c>
      <c r="O33" s="10">
        <f>+Rentabilitätsvorschau!O32*(1+VSteins)</f>
        <v>0</v>
      </c>
      <c r="P33" s="26">
        <f t="shared" si="11"/>
        <v>0</v>
      </c>
      <c r="Q33" s="10">
        <f>+Rentabilitätsvorschau!Q32*(1+VSt)</f>
        <v>0</v>
      </c>
      <c r="R33" s="10">
        <f>+Rentabilitätsvorschau!R32*(1+VSt)</f>
        <v>0</v>
      </c>
      <c r="S33" s="10">
        <f>+Rentabilitätsvorschau!S32*(1+VSt)</f>
        <v>0</v>
      </c>
      <c r="T33" s="10">
        <f>+Rentabilitätsvorschau!T32*(1+VSt)</f>
        <v>0</v>
      </c>
      <c r="U33" s="10">
        <f>+Rentabilitätsvorschau!U32*(1+VSt)</f>
        <v>0</v>
      </c>
      <c r="V33" s="10">
        <f>+Rentabilitätsvorschau!V32*(1+VSt)</f>
        <v>0</v>
      </c>
      <c r="W33" s="10">
        <f>+Rentabilitätsvorschau!W32*(1+VSt)</f>
        <v>0</v>
      </c>
      <c r="X33" s="10">
        <f>+Rentabilitätsvorschau!X32*(1+VSt)</f>
        <v>0</v>
      </c>
      <c r="Y33" s="10">
        <f>+Rentabilitätsvorschau!Y32*(1+VSt)</f>
        <v>0</v>
      </c>
      <c r="Z33" s="10">
        <f>+Rentabilitätsvorschau!Z32*(1+VSt)</f>
        <v>0</v>
      </c>
      <c r="AA33" s="10">
        <f>+Rentabilitätsvorschau!AA32*(1+VSt)</f>
        <v>0</v>
      </c>
      <c r="AB33" s="10">
        <f>+Rentabilitätsvorschau!AB32*(1+VSt)</f>
        <v>0</v>
      </c>
      <c r="AC33" s="26">
        <f>SUM(Q33:AB33)</f>
        <v>0</v>
      </c>
      <c r="AD33" s="10">
        <f>+Rentabilitätsvorschau!AD32*(1+VSt)</f>
        <v>0</v>
      </c>
      <c r="AE33" s="10">
        <f>+Rentabilitätsvorschau!AE32*(1+VSt)</f>
        <v>0</v>
      </c>
      <c r="AF33" s="10">
        <f>+Rentabilitätsvorschau!AF32*(1+VSt)</f>
        <v>0</v>
      </c>
      <c r="AG33" s="10">
        <f>+Rentabilitätsvorschau!AG32*(1+VSt)</f>
        <v>0</v>
      </c>
      <c r="AH33" s="10">
        <f>+Rentabilitätsvorschau!AH32*(1+VSt)</f>
        <v>0</v>
      </c>
      <c r="AI33" s="10">
        <f>+Rentabilitätsvorschau!AI32*(1+VSt)</f>
        <v>0</v>
      </c>
      <c r="AJ33" s="10">
        <f>+Rentabilitätsvorschau!AJ32*(1+VSt)</f>
        <v>0</v>
      </c>
      <c r="AK33" s="10">
        <f>+Rentabilitätsvorschau!AK32*(1+VSt)</f>
        <v>0</v>
      </c>
      <c r="AL33" s="10">
        <f>+Rentabilitätsvorschau!AL32*(1+VSt)</f>
        <v>0</v>
      </c>
      <c r="AM33" s="10">
        <f>+Rentabilitätsvorschau!AM32*(1+VSt)</f>
        <v>0</v>
      </c>
      <c r="AN33" s="10">
        <f>+Rentabilitätsvorschau!AN32*(1+VSt)</f>
        <v>0</v>
      </c>
      <c r="AO33" s="10">
        <f>+Rentabilitätsvorschau!AO32*(1+VSt)</f>
        <v>0</v>
      </c>
      <c r="AP33" s="26">
        <f>SUM(AD33:AO33)</f>
        <v>0</v>
      </c>
      <c r="AQ33" s="10">
        <f>+Rentabilitätsvorschau!AQ32*(1+VSt)</f>
        <v>0</v>
      </c>
      <c r="AR33" s="10">
        <f>+Rentabilitätsvorschau!AR32*(1+VSt)</f>
        <v>0</v>
      </c>
      <c r="AS33" s="10">
        <f>+Rentabilitätsvorschau!AS32*(1+VSt)</f>
        <v>0</v>
      </c>
      <c r="AT33" s="10">
        <f>+Rentabilitätsvorschau!AT32*(1+VSt)</f>
        <v>0</v>
      </c>
      <c r="AU33" s="10">
        <f>+Rentabilitätsvorschau!AU32*(1+VSt)</f>
        <v>0</v>
      </c>
      <c r="AV33" s="10">
        <f>+Rentabilitätsvorschau!AV32*(1+VSt)</f>
        <v>0</v>
      </c>
      <c r="AW33" s="10">
        <f>+Rentabilitätsvorschau!AW32*(1+VSt)</f>
        <v>0</v>
      </c>
      <c r="AX33" s="10">
        <f>+Rentabilitätsvorschau!AX32*(1+VSt)</f>
        <v>0</v>
      </c>
      <c r="AY33" s="10">
        <f>+Rentabilitätsvorschau!AY32*(1+VSt)</f>
        <v>0</v>
      </c>
      <c r="AZ33" s="10">
        <f>+Rentabilitätsvorschau!AZ32*(1+VSt)</f>
        <v>0</v>
      </c>
      <c r="BA33" s="10">
        <f>+Rentabilitätsvorschau!BA32*(1+VSt)</f>
        <v>0</v>
      </c>
      <c r="BB33" s="10">
        <f>+Rentabilitätsvorschau!BB32*(1+VSt)</f>
        <v>0</v>
      </c>
      <c r="BC33" s="26">
        <f>SUM(AQ33:BB33)</f>
        <v>0</v>
      </c>
    </row>
    <row r="34" spans="1:55" x14ac:dyDescent="0.35">
      <c r="A34" s="8"/>
      <c r="B34" s="8" t="str">
        <f>+Rentabilitätsvorschau!B33</f>
        <v>Software-Updates</v>
      </c>
      <c r="C34" s="8"/>
      <c r="D34" s="10">
        <f>+Rentabilitätsvorschau!D33*(1+VSteins)</f>
        <v>0</v>
      </c>
      <c r="E34" s="10">
        <f>+Rentabilitätsvorschau!E33*(1+VSteins)</f>
        <v>0</v>
      </c>
      <c r="F34" s="10">
        <f>+Rentabilitätsvorschau!F33*(1+VSteins)</f>
        <v>0</v>
      </c>
      <c r="G34" s="10">
        <f>+Rentabilitätsvorschau!G33*(1+VSteins)</f>
        <v>0</v>
      </c>
      <c r="H34" s="10">
        <f>+Rentabilitätsvorschau!H33*(1+VSteins)</f>
        <v>0</v>
      </c>
      <c r="I34" s="10">
        <f>+Rentabilitätsvorschau!I33*(1+VSteins)</f>
        <v>0</v>
      </c>
      <c r="J34" s="10">
        <f>+Rentabilitätsvorschau!J33*(1+VSteins)</f>
        <v>0</v>
      </c>
      <c r="K34" s="10">
        <f>+Rentabilitätsvorschau!K33*(1+VSteins)</f>
        <v>0</v>
      </c>
      <c r="L34" s="10">
        <f>+Rentabilitätsvorschau!L33*(1+VSteins)</f>
        <v>0</v>
      </c>
      <c r="M34" s="10">
        <f>+Rentabilitätsvorschau!M33*(1+VSteins)</f>
        <v>47.599999999999994</v>
      </c>
      <c r="N34" s="10">
        <f>+Rentabilitätsvorschau!N33*(1+VSteins)</f>
        <v>47.599999999999994</v>
      </c>
      <c r="O34" s="10">
        <f>+Rentabilitätsvorschau!O33*(1+VSteins)</f>
        <v>47.599999999999994</v>
      </c>
      <c r="P34" s="26">
        <f t="shared" si="11"/>
        <v>142.79999999999998</v>
      </c>
      <c r="Q34" s="10">
        <f>+Rentabilitätsvorschau!Q33*(1+VSt)</f>
        <v>47.599999999999994</v>
      </c>
      <c r="R34" s="10">
        <f>+Rentabilitätsvorschau!R33*(1+VSt)</f>
        <v>47.599999999999994</v>
      </c>
      <c r="S34" s="10">
        <f>+Rentabilitätsvorschau!S33*(1+VSt)</f>
        <v>47.599999999999994</v>
      </c>
      <c r="T34" s="10">
        <f>+Rentabilitätsvorschau!T33*(1+VSt)</f>
        <v>47.599999999999994</v>
      </c>
      <c r="U34" s="10">
        <f>+Rentabilitätsvorschau!U33*(1+VSt)</f>
        <v>47.599999999999994</v>
      </c>
      <c r="V34" s="10">
        <f>+Rentabilitätsvorschau!V33*(1+VSt)</f>
        <v>47.599999999999994</v>
      </c>
      <c r="W34" s="10">
        <f>+Rentabilitätsvorschau!W33*(1+VSt)</f>
        <v>47.599999999999994</v>
      </c>
      <c r="X34" s="10">
        <f>+Rentabilitätsvorschau!X33*(1+VSt)</f>
        <v>47.599999999999994</v>
      </c>
      <c r="Y34" s="10">
        <f>+Rentabilitätsvorschau!Y33*(1+VSt)</f>
        <v>47.599999999999994</v>
      </c>
      <c r="Z34" s="10">
        <f>+Rentabilitätsvorschau!Z33*(1+VSt)</f>
        <v>47.599999999999994</v>
      </c>
      <c r="AA34" s="10">
        <f>+Rentabilitätsvorschau!AA33*(1+VSt)</f>
        <v>47.599999999999994</v>
      </c>
      <c r="AB34" s="10">
        <f>+Rentabilitätsvorschau!AB33*(1+VSt)</f>
        <v>47.599999999999994</v>
      </c>
      <c r="AC34" s="26">
        <f>SUM(Q34:AB34)</f>
        <v>571.20000000000005</v>
      </c>
      <c r="AD34" s="10">
        <f>+Rentabilitätsvorschau!AD33*(1+VSt)</f>
        <v>0</v>
      </c>
      <c r="AE34" s="10">
        <f>+Rentabilitätsvorschau!AE33*(1+VSt)</f>
        <v>0</v>
      </c>
      <c r="AF34" s="10">
        <f>+Rentabilitätsvorschau!AF33*(1+VSt)</f>
        <v>0</v>
      </c>
      <c r="AG34" s="10">
        <f>+Rentabilitätsvorschau!AG33*(1+VSt)</f>
        <v>0</v>
      </c>
      <c r="AH34" s="10">
        <f>+Rentabilitätsvorschau!AH33*(1+VSt)</f>
        <v>0</v>
      </c>
      <c r="AI34" s="10">
        <f>+Rentabilitätsvorschau!AI33*(1+VSt)</f>
        <v>0</v>
      </c>
      <c r="AJ34" s="10">
        <f>+Rentabilitätsvorschau!AJ33*(1+VSt)</f>
        <v>0</v>
      </c>
      <c r="AK34" s="10">
        <f>+Rentabilitätsvorschau!AK33*(1+VSt)</f>
        <v>0</v>
      </c>
      <c r="AL34" s="10">
        <f>+Rentabilitätsvorschau!AL33*(1+VSt)</f>
        <v>0</v>
      </c>
      <c r="AM34" s="10">
        <f>+Rentabilitätsvorschau!AM33*(1+VSt)</f>
        <v>0</v>
      </c>
      <c r="AN34" s="10">
        <f>+Rentabilitätsvorschau!AN33*(1+VSt)</f>
        <v>0</v>
      </c>
      <c r="AO34" s="10">
        <f>+Rentabilitätsvorschau!AO33*(1+VSt)</f>
        <v>0</v>
      </c>
      <c r="AP34" s="26">
        <f>SUM(AD34:AO34)</f>
        <v>0</v>
      </c>
      <c r="AQ34" s="10">
        <f>+Rentabilitätsvorschau!AQ33*(1+VSt)</f>
        <v>0</v>
      </c>
      <c r="AR34" s="10">
        <f>+Rentabilitätsvorschau!AR33*(1+VSt)</f>
        <v>0</v>
      </c>
      <c r="AS34" s="10">
        <f>+Rentabilitätsvorschau!AS33*(1+VSt)</f>
        <v>0</v>
      </c>
      <c r="AT34" s="10">
        <f>+Rentabilitätsvorschau!AT33*(1+VSt)</f>
        <v>0</v>
      </c>
      <c r="AU34" s="10">
        <f>+Rentabilitätsvorschau!AU33*(1+VSt)</f>
        <v>0</v>
      </c>
      <c r="AV34" s="10">
        <f>+Rentabilitätsvorschau!AV33*(1+VSt)</f>
        <v>0</v>
      </c>
      <c r="AW34" s="10">
        <f>+Rentabilitätsvorschau!AW33*(1+VSt)</f>
        <v>0</v>
      </c>
      <c r="AX34" s="10">
        <f>+Rentabilitätsvorschau!AX33*(1+VSt)</f>
        <v>0</v>
      </c>
      <c r="AY34" s="10">
        <f>+Rentabilitätsvorschau!AY33*(1+VSt)</f>
        <v>0</v>
      </c>
      <c r="AZ34" s="10">
        <f>+Rentabilitätsvorschau!AZ33*(1+VSt)</f>
        <v>0</v>
      </c>
      <c r="BA34" s="10">
        <f>+Rentabilitätsvorschau!BA33*(1+VSt)</f>
        <v>0</v>
      </c>
      <c r="BB34" s="10">
        <f>+Rentabilitätsvorschau!BB33*(1+VSt)</f>
        <v>0</v>
      </c>
      <c r="BC34" s="26">
        <f>SUM(AQ34:BB34)</f>
        <v>0</v>
      </c>
    </row>
    <row r="35" spans="1:55" x14ac:dyDescent="0.35">
      <c r="A35" s="8"/>
      <c r="B35" s="8" t="str">
        <f>+Rentabilitätsvorschau!B34</f>
        <v>Versicherungen (ohne Kfz)</v>
      </c>
      <c r="C35" s="8"/>
      <c r="D35" s="10">
        <f>+Rentabilitätsvorschau!D34</f>
        <v>0</v>
      </c>
      <c r="E35" s="10">
        <f>+Rentabilitätsvorschau!E34</f>
        <v>0</v>
      </c>
      <c r="F35" s="10">
        <f>+Rentabilitätsvorschau!F34</f>
        <v>0</v>
      </c>
      <c r="G35" s="10">
        <f>+Rentabilitätsvorschau!G34</f>
        <v>0</v>
      </c>
      <c r="H35" s="10">
        <f>+Rentabilitätsvorschau!H34</f>
        <v>0</v>
      </c>
      <c r="I35" s="10">
        <f>+Rentabilitätsvorschau!I34</f>
        <v>0</v>
      </c>
      <c r="J35" s="10">
        <f>+Rentabilitätsvorschau!J34</f>
        <v>0</v>
      </c>
      <c r="K35" s="10">
        <f>+Rentabilitätsvorschau!K34</f>
        <v>0</v>
      </c>
      <c r="L35" s="10">
        <f>+Rentabilitätsvorschau!L34</f>
        <v>0</v>
      </c>
      <c r="M35" s="10">
        <f>+Rentabilitätsvorschau!M34</f>
        <v>40</v>
      </c>
      <c r="N35" s="10">
        <f>+Rentabilitätsvorschau!N34</f>
        <v>40</v>
      </c>
      <c r="O35" s="10">
        <f>+Rentabilitätsvorschau!O34</f>
        <v>40</v>
      </c>
      <c r="P35" s="26">
        <f t="shared" si="11"/>
        <v>120</v>
      </c>
      <c r="Q35" s="10">
        <f>+Rentabilitätsvorschau!Q34</f>
        <v>40</v>
      </c>
      <c r="R35" s="10">
        <f>+Rentabilitätsvorschau!R34</f>
        <v>40</v>
      </c>
      <c r="S35" s="10">
        <f>+Rentabilitätsvorschau!S34</f>
        <v>40</v>
      </c>
      <c r="T35" s="10">
        <f>+Rentabilitätsvorschau!T34</f>
        <v>40</v>
      </c>
      <c r="U35" s="10">
        <f>+Rentabilitätsvorschau!U34</f>
        <v>40</v>
      </c>
      <c r="V35" s="10">
        <f>+Rentabilitätsvorschau!V34</f>
        <v>40</v>
      </c>
      <c r="W35" s="10">
        <f>+Rentabilitätsvorschau!W34</f>
        <v>40</v>
      </c>
      <c r="X35" s="10">
        <f>+Rentabilitätsvorschau!X34</f>
        <v>40</v>
      </c>
      <c r="Y35" s="10">
        <f>+Rentabilitätsvorschau!Y34</f>
        <v>40</v>
      </c>
      <c r="Z35" s="10">
        <f>+Rentabilitätsvorschau!Z34</f>
        <v>40</v>
      </c>
      <c r="AA35" s="10">
        <f>+Rentabilitätsvorschau!AA34</f>
        <v>40</v>
      </c>
      <c r="AB35" s="10">
        <f>+Rentabilitätsvorschau!AB34</f>
        <v>40</v>
      </c>
      <c r="AC35" s="26">
        <f t="shared" si="8"/>
        <v>480</v>
      </c>
      <c r="AD35" s="10">
        <f>+Rentabilitätsvorschau!AD34</f>
        <v>0</v>
      </c>
      <c r="AE35" s="10">
        <f>+Rentabilitätsvorschau!AE34</f>
        <v>0</v>
      </c>
      <c r="AF35" s="10">
        <f>+Rentabilitätsvorschau!AF34</f>
        <v>0</v>
      </c>
      <c r="AG35" s="10">
        <f>+Rentabilitätsvorschau!AG34</f>
        <v>0</v>
      </c>
      <c r="AH35" s="10">
        <f>+Rentabilitätsvorschau!AH34</f>
        <v>0</v>
      </c>
      <c r="AI35" s="10">
        <f>+Rentabilitätsvorschau!AI34</f>
        <v>0</v>
      </c>
      <c r="AJ35" s="10">
        <f>+Rentabilitätsvorschau!AJ34</f>
        <v>0</v>
      </c>
      <c r="AK35" s="10">
        <f>+Rentabilitätsvorschau!AK34</f>
        <v>0</v>
      </c>
      <c r="AL35" s="10">
        <f>+Rentabilitätsvorschau!AL34</f>
        <v>0</v>
      </c>
      <c r="AM35" s="10">
        <f>+Rentabilitätsvorschau!AM34</f>
        <v>0</v>
      </c>
      <c r="AN35" s="10">
        <f>+Rentabilitätsvorschau!AN34</f>
        <v>0</v>
      </c>
      <c r="AO35" s="10">
        <f>+Rentabilitätsvorschau!AO34</f>
        <v>0</v>
      </c>
      <c r="AP35" s="26">
        <f t="shared" si="9"/>
        <v>0</v>
      </c>
      <c r="AQ35" s="10">
        <f>+Rentabilitätsvorschau!AQ34</f>
        <v>0</v>
      </c>
      <c r="AR35" s="10">
        <f>+Rentabilitätsvorschau!AR34</f>
        <v>0</v>
      </c>
      <c r="AS35" s="10">
        <f>+Rentabilitätsvorschau!AS34</f>
        <v>0</v>
      </c>
      <c r="AT35" s="10">
        <f>+Rentabilitätsvorschau!AT34</f>
        <v>0</v>
      </c>
      <c r="AU35" s="10">
        <f>+Rentabilitätsvorschau!AU34</f>
        <v>0</v>
      </c>
      <c r="AV35" s="10">
        <f>+Rentabilitätsvorschau!AV34</f>
        <v>0</v>
      </c>
      <c r="AW35" s="10">
        <f>+Rentabilitätsvorschau!AW34</f>
        <v>0</v>
      </c>
      <c r="AX35" s="10">
        <f>+Rentabilitätsvorschau!AX34</f>
        <v>0</v>
      </c>
      <c r="AY35" s="10">
        <f>+Rentabilitätsvorschau!AY34</f>
        <v>0</v>
      </c>
      <c r="AZ35" s="10">
        <f>+Rentabilitätsvorschau!AZ34</f>
        <v>0</v>
      </c>
      <c r="BA35" s="10">
        <f>+Rentabilitätsvorschau!BA34</f>
        <v>0</v>
      </c>
      <c r="BB35" s="10">
        <f>+Rentabilitätsvorschau!BB34</f>
        <v>0</v>
      </c>
      <c r="BC35" s="26">
        <f t="shared" si="10"/>
        <v>0</v>
      </c>
    </row>
    <row r="36" spans="1:55" x14ac:dyDescent="0.35">
      <c r="A36" s="8"/>
      <c r="B36" s="8" t="str">
        <f>+Rentabilitätsvorschau!B35</f>
        <v>Beiträge, Gebühren</v>
      </c>
      <c r="C36" s="8"/>
      <c r="D36" s="10">
        <f>+Rentabilitätsvorschau!D35</f>
        <v>0</v>
      </c>
      <c r="E36" s="10">
        <f>+Rentabilitätsvorschau!E35</f>
        <v>0</v>
      </c>
      <c r="F36" s="10">
        <f>+Rentabilitätsvorschau!F35</f>
        <v>0</v>
      </c>
      <c r="G36" s="10">
        <f>+Rentabilitätsvorschau!G35</f>
        <v>0</v>
      </c>
      <c r="H36" s="10">
        <f>+Rentabilitätsvorschau!H35</f>
        <v>0</v>
      </c>
      <c r="I36" s="10">
        <f>+Rentabilitätsvorschau!I35</f>
        <v>0</v>
      </c>
      <c r="J36" s="10">
        <f>+Rentabilitätsvorschau!J35</f>
        <v>0</v>
      </c>
      <c r="K36" s="10">
        <f>+Rentabilitätsvorschau!K35</f>
        <v>0</v>
      </c>
      <c r="L36" s="10">
        <f>+Rentabilitätsvorschau!L35</f>
        <v>0</v>
      </c>
      <c r="M36" s="10">
        <f>+Rentabilitätsvorschau!M35</f>
        <v>15</v>
      </c>
      <c r="N36" s="10">
        <f>+Rentabilitätsvorschau!N35</f>
        <v>15</v>
      </c>
      <c r="O36" s="10">
        <f>+Rentabilitätsvorschau!O35</f>
        <v>15</v>
      </c>
      <c r="P36" s="26">
        <f t="shared" si="11"/>
        <v>45</v>
      </c>
      <c r="Q36" s="10">
        <f>+Rentabilitätsvorschau!Q35</f>
        <v>15</v>
      </c>
      <c r="R36" s="10">
        <f>+Rentabilitätsvorschau!R35</f>
        <v>15</v>
      </c>
      <c r="S36" s="10">
        <f>+Rentabilitätsvorschau!S35</f>
        <v>15</v>
      </c>
      <c r="T36" s="10">
        <f>+Rentabilitätsvorschau!T35</f>
        <v>15</v>
      </c>
      <c r="U36" s="10">
        <f>+Rentabilitätsvorschau!U35</f>
        <v>15</v>
      </c>
      <c r="V36" s="10">
        <f>+Rentabilitätsvorschau!V35</f>
        <v>15</v>
      </c>
      <c r="W36" s="10">
        <f>+Rentabilitätsvorschau!W35</f>
        <v>15</v>
      </c>
      <c r="X36" s="10">
        <f>+Rentabilitätsvorschau!X35</f>
        <v>15</v>
      </c>
      <c r="Y36" s="10">
        <f>+Rentabilitätsvorschau!Y35</f>
        <v>15</v>
      </c>
      <c r="Z36" s="10">
        <f>+Rentabilitätsvorschau!Z35</f>
        <v>15</v>
      </c>
      <c r="AA36" s="10">
        <f>+Rentabilitätsvorschau!AA35</f>
        <v>15</v>
      </c>
      <c r="AB36" s="10">
        <f>+Rentabilitätsvorschau!AB35</f>
        <v>15</v>
      </c>
      <c r="AC36" s="26">
        <f t="shared" si="8"/>
        <v>180</v>
      </c>
      <c r="AD36" s="10">
        <f>+Rentabilitätsvorschau!AD35</f>
        <v>0</v>
      </c>
      <c r="AE36" s="10">
        <f>+Rentabilitätsvorschau!AE35</f>
        <v>0</v>
      </c>
      <c r="AF36" s="10">
        <f>+Rentabilitätsvorschau!AF35</f>
        <v>0</v>
      </c>
      <c r="AG36" s="10">
        <f>+Rentabilitätsvorschau!AG35</f>
        <v>0</v>
      </c>
      <c r="AH36" s="10">
        <f>+Rentabilitätsvorschau!AH35</f>
        <v>0</v>
      </c>
      <c r="AI36" s="10">
        <f>+Rentabilitätsvorschau!AI35</f>
        <v>0</v>
      </c>
      <c r="AJ36" s="10">
        <f>+Rentabilitätsvorschau!AJ35</f>
        <v>0</v>
      </c>
      <c r="AK36" s="10">
        <f>+Rentabilitätsvorschau!AK35</f>
        <v>0</v>
      </c>
      <c r="AL36" s="10">
        <f>+Rentabilitätsvorschau!AL35</f>
        <v>0</v>
      </c>
      <c r="AM36" s="10">
        <f>+Rentabilitätsvorschau!AM35</f>
        <v>0</v>
      </c>
      <c r="AN36" s="10">
        <f>+Rentabilitätsvorschau!AN35</f>
        <v>0</v>
      </c>
      <c r="AO36" s="10">
        <f>+Rentabilitätsvorschau!AO35</f>
        <v>0</v>
      </c>
      <c r="AP36" s="26">
        <f t="shared" si="9"/>
        <v>0</v>
      </c>
      <c r="AQ36" s="10">
        <f>+Rentabilitätsvorschau!AQ35</f>
        <v>0</v>
      </c>
      <c r="AR36" s="10">
        <f>+Rentabilitätsvorschau!AR35</f>
        <v>0</v>
      </c>
      <c r="AS36" s="10">
        <f>+Rentabilitätsvorschau!AS35</f>
        <v>0</v>
      </c>
      <c r="AT36" s="10">
        <f>+Rentabilitätsvorschau!AT35</f>
        <v>0</v>
      </c>
      <c r="AU36" s="10">
        <f>+Rentabilitätsvorschau!AU35</f>
        <v>0</v>
      </c>
      <c r="AV36" s="10">
        <f>+Rentabilitätsvorschau!AV35</f>
        <v>0</v>
      </c>
      <c r="AW36" s="10">
        <f>+Rentabilitätsvorschau!AW35</f>
        <v>0</v>
      </c>
      <c r="AX36" s="10">
        <f>+Rentabilitätsvorschau!AX35</f>
        <v>0</v>
      </c>
      <c r="AY36" s="10">
        <f>+Rentabilitätsvorschau!AY35</f>
        <v>0</v>
      </c>
      <c r="AZ36" s="10">
        <f>+Rentabilitätsvorschau!AZ35</f>
        <v>0</v>
      </c>
      <c r="BA36" s="10">
        <f>+Rentabilitätsvorschau!BA35</f>
        <v>0</v>
      </c>
      <c r="BB36" s="10">
        <f>+Rentabilitätsvorschau!BB35</f>
        <v>0</v>
      </c>
      <c r="BC36" s="26">
        <f t="shared" si="10"/>
        <v>0</v>
      </c>
    </row>
    <row r="37" spans="1:55" x14ac:dyDescent="0.35">
      <c r="A37" s="8"/>
      <c r="B37" s="8" t="str">
        <f>+Rentabilitätsvorschau!B36</f>
        <v>Bürobedarf</v>
      </c>
      <c r="C37" s="8"/>
      <c r="D37" s="10">
        <f>+Rentabilitätsvorschau!D36*(1+VSteins)</f>
        <v>0</v>
      </c>
      <c r="E37" s="10">
        <f>+Rentabilitätsvorschau!E36*(1+VSteins)</f>
        <v>0</v>
      </c>
      <c r="F37" s="10">
        <f>+Rentabilitätsvorschau!F36*(1+VSteins)</f>
        <v>0</v>
      </c>
      <c r="G37" s="10">
        <f>+Rentabilitätsvorschau!G36*(1+VSteins)</f>
        <v>0</v>
      </c>
      <c r="H37" s="10">
        <f>+Rentabilitätsvorschau!H36*(1+VSteins)</f>
        <v>0</v>
      </c>
      <c r="I37" s="10">
        <f>+Rentabilitätsvorschau!I36*(1+VSteins)</f>
        <v>0</v>
      </c>
      <c r="J37" s="10">
        <f>+Rentabilitätsvorschau!J36*(1+VSteins)</f>
        <v>0</v>
      </c>
      <c r="K37" s="10">
        <f>+Rentabilitätsvorschau!K36*(1+VSteins)</f>
        <v>0</v>
      </c>
      <c r="L37" s="10">
        <f>+Rentabilitätsvorschau!L36*(1+VSteins)</f>
        <v>0</v>
      </c>
      <c r="M37" s="10">
        <f>+Rentabilitätsvorschau!M36*(1+VSteins)</f>
        <v>35.699999999999996</v>
      </c>
      <c r="N37" s="10">
        <f>+Rentabilitätsvorschau!N36*(1+VSteins)</f>
        <v>35.699999999999996</v>
      </c>
      <c r="O37" s="10">
        <f>+Rentabilitätsvorschau!O36*(1+VSteins)</f>
        <v>35.699999999999996</v>
      </c>
      <c r="P37" s="26">
        <f t="shared" si="11"/>
        <v>107.1</v>
      </c>
      <c r="Q37" s="10">
        <f>+Rentabilitätsvorschau!Q36*(1+VSt)</f>
        <v>35.699999999999996</v>
      </c>
      <c r="R37" s="10">
        <f>+Rentabilitätsvorschau!R36*(1+VSt)</f>
        <v>35.699999999999996</v>
      </c>
      <c r="S37" s="10">
        <f>+Rentabilitätsvorschau!S36*(1+VSt)</f>
        <v>35.699999999999996</v>
      </c>
      <c r="T37" s="10">
        <f>+Rentabilitätsvorschau!T36*(1+VSt)</f>
        <v>35.699999999999996</v>
      </c>
      <c r="U37" s="10">
        <f>+Rentabilitätsvorschau!U36*(1+VSt)</f>
        <v>35.699999999999996</v>
      </c>
      <c r="V37" s="10">
        <f>+Rentabilitätsvorschau!V36*(1+VSt)</f>
        <v>35.699999999999996</v>
      </c>
      <c r="W37" s="10">
        <f>+Rentabilitätsvorschau!W36*(1+VSt)</f>
        <v>35.699999999999996</v>
      </c>
      <c r="X37" s="10">
        <f>+Rentabilitätsvorschau!X36*(1+VSt)</f>
        <v>35.699999999999996</v>
      </c>
      <c r="Y37" s="10">
        <f>+Rentabilitätsvorschau!Y36*(1+VSt)</f>
        <v>35.699999999999996</v>
      </c>
      <c r="Z37" s="10">
        <f>+Rentabilitätsvorschau!Z36*(1+VSt)</f>
        <v>35.699999999999996</v>
      </c>
      <c r="AA37" s="10">
        <f>+Rentabilitätsvorschau!AA36*(1+VSt)</f>
        <v>35.699999999999996</v>
      </c>
      <c r="AB37" s="10">
        <f>+Rentabilitätsvorschau!AB36*(1+VSt)</f>
        <v>35.699999999999996</v>
      </c>
      <c r="AC37" s="26">
        <f t="shared" si="8"/>
        <v>428.39999999999992</v>
      </c>
      <c r="AD37" s="10">
        <f>+Rentabilitätsvorschau!AD36*(1+VSt)</f>
        <v>0</v>
      </c>
      <c r="AE37" s="10">
        <f>+Rentabilitätsvorschau!AE36*(1+VSt)</f>
        <v>0</v>
      </c>
      <c r="AF37" s="10">
        <f>+Rentabilitätsvorschau!AF36*(1+VSt)</f>
        <v>0</v>
      </c>
      <c r="AG37" s="10">
        <f>+Rentabilitätsvorschau!AG36*(1+VSt)</f>
        <v>0</v>
      </c>
      <c r="AH37" s="10">
        <f>+Rentabilitätsvorschau!AH36*(1+VSt)</f>
        <v>0</v>
      </c>
      <c r="AI37" s="10">
        <f>+Rentabilitätsvorschau!AI36*(1+VSt)</f>
        <v>0</v>
      </c>
      <c r="AJ37" s="10">
        <f>+Rentabilitätsvorschau!AJ36*(1+VSt)</f>
        <v>0</v>
      </c>
      <c r="AK37" s="10">
        <f>+Rentabilitätsvorschau!AK36*(1+VSt)</f>
        <v>0</v>
      </c>
      <c r="AL37" s="10">
        <f>+Rentabilitätsvorschau!AL36*(1+VSt)</f>
        <v>0</v>
      </c>
      <c r="AM37" s="10">
        <f>+Rentabilitätsvorschau!AM36*(1+VSt)</f>
        <v>0</v>
      </c>
      <c r="AN37" s="10">
        <f>+Rentabilitätsvorschau!AN36*(1+VSt)</f>
        <v>0</v>
      </c>
      <c r="AO37" s="10">
        <f>+Rentabilitätsvorschau!AO36*(1+VSt)</f>
        <v>0</v>
      </c>
      <c r="AP37" s="26">
        <f t="shared" si="9"/>
        <v>0</v>
      </c>
      <c r="AQ37" s="10">
        <f>+Rentabilitätsvorschau!AQ36*(1+VSt)</f>
        <v>0</v>
      </c>
      <c r="AR37" s="10">
        <f>+Rentabilitätsvorschau!AR36*(1+VSt)</f>
        <v>0</v>
      </c>
      <c r="AS37" s="10">
        <f>+Rentabilitätsvorschau!AS36*(1+VSt)</f>
        <v>0</v>
      </c>
      <c r="AT37" s="10">
        <f>+Rentabilitätsvorschau!AT36*(1+VSt)</f>
        <v>0</v>
      </c>
      <c r="AU37" s="10">
        <f>+Rentabilitätsvorschau!AU36*(1+VSt)</f>
        <v>0</v>
      </c>
      <c r="AV37" s="10">
        <f>+Rentabilitätsvorschau!AV36*(1+VSt)</f>
        <v>0</v>
      </c>
      <c r="AW37" s="10">
        <f>+Rentabilitätsvorschau!AW36*(1+VSt)</f>
        <v>0</v>
      </c>
      <c r="AX37" s="10">
        <f>+Rentabilitätsvorschau!AX36*(1+VSt)</f>
        <v>0</v>
      </c>
      <c r="AY37" s="10">
        <f>+Rentabilitätsvorschau!AY36*(1+VSt)</f>
        <v>0</v>
      </c>
      <c r="AZ37" s="10">
        <f>+Rentabilitätsvorschau!AZ36*(1+VSt)</f>
        <v>0</v>
      </c>
      <c r="BA37" s="10">
        <f>+Rentabilitätsvorschau!BA36*(1+VSt)</f>
        <v>0</v>
      </c>
      <c r="BB37" s="10">
        <f>+Rentabilitätsvorschau!BB36*(1+VSt)</f>
        <v>0</v>
      </c>
      <c r="BC37" s="26">
        <f t="shared" si="10"/>
        <v>0</v>
      </c>
    </row>
    <row r="38" spans="1:55" x14ac:dyDescent="0.35">
      <c r="A38" s="8"/>
      <c r="B38" s="8" t="str">
        <f>+Rentabilitätsvorschau!B37</f>
        <v>Postwertzeichen</v>
      </c>
      <c r="C38" s="8"/>
      <c r="D38" s="10">
        <f>+Rentabilitätsvorschau!D37</f>
        <v>0</v>
      </c>
      <c r="E38" s="10">
        <f>+Rentabilitätsvorschau!E37</f>
        <v>0</v>
      </c>
      <c r="F38" s="10">
        <f>+Rentabilitätsvorschau!F37</f>
        <v>0</v>
      </c>
      <c r="G38" s="10">
        <f>+Rentabilitätsvorschau!G37</f>
        <v>0</v>
      </c>
      <c r="H38" s="10">
        <f>+Rentabilitätsvorschau!H37</f>
        <v>0</v>
      </c>
      <c r="I38" s="10">
        <f>+Rentabilitätsvorschau!I37</f>
        <v>0</v>
      </c>
      <c r="J38" s="10">
        <f>+Rentabilitätsvorschau!J37</f>
        <v>0</v>
      </c>
      <c r="K38" s="10">
        <f>+Rentabilitätsvorschau!K37</f>
        <v>0</v>
      </c>
      <c r="L38" s="10">
        <f>+Rentabilitätsvorschau!L37</f>
        <v>0</v>
      </c>
      <c r="M38" s="10">
        <f>+Rentabilitätsvorschau!M37</f>
        <v>10</v>
      </c>
      <c r="N38" s="10">
        <f>+Rentabilitätsvorschau!N37</f>
        <v>10</v>
      </c>
      <c r="O38" s="10">
        <f>+Rentabilitätsvorschau!O37</f>
        <v>10</v>
      </c>
      <c r="P38" s="26">
        <f t="shared" si="11"/>
        <v>30</v>
      </c>
      <c r="Q38" s="10">
        <f>+Rentabilitätsvorschau!Q37</f>
        <v>10</v>
      </c>
      <c r="R38" s="10">
        <f>+Rentabilitätsvorschau!R37</f>
        <v>10</v>
      </c>
      <c r="S38" s="10">
        <f>+Rentabilitätsvorschau!S37</f>
        <v>10</v>
      </c>
      <c r="T38" s="10">
        <f>+Rentabilitätsvorschau!T37</f>
        <v>10</v>
      </c>
      <c r="U38" s="10">
        <f>+Rentabilitätsvorschau!U37</f>
        <v>10</v>
      </c>
      <c r="V38" s="10">
        <f>+Rentabilitätsvorschau!V37</f>
        <v>10</v>
      </c>
      <c r="W38" s="10">
        <f>+Rentabilitätsvorschau!W37</f>
        <v>10</v>
      </c>
      <c r="X38" s="10">
        <f>+Rentabilitätsvorschau!X37</f>
        <v>10</v>
      </c>
      <c r="Y38" s="10">
        <f>+Rentabilitätsvorschau!Y37</f>
        <v>10</v>
      </c>
      <c r="Z38" s="10">
        <f>+Rentabilitätsvorschau!Z37</f>
        <v>10</v>
      </c>
      <c r="AA38" s="10">
        <f>+Rentabilitätsvorschau!AA37</f>
        <v>10</v>
      </c>
      <c r="AB38" s="10">
        <f>+Rentabilitätsvorschau!AB37</f>
        <v>10</v>
      </c>
      <c r="AC38" s="26">
        <f t="shared" si="8"/>
        <v>120</v>
      </c>
      <c r="AD38" s="10">
        <f>+Rentabilitätsvorschau!AD37</f>
        <v>0</v>
      </c>
      <c r="AE38" s="10">
        <f>+Rentabilitätsvorschau!AE37</f>
        <v>0</v>
      </c>
      <c r="AF38" s="10">
        <f>+Rentabilitätsvorschau!AF37</f>
        <v>0</v>
      </c>
      <c r="AG38" s="10">
        <f>+Rentabilitätsvorschau!AG37</f>
        <v>0</v>
      </c>
      <c r="AH38" s="10">
        <f>+Rentabilitätsvorschau!AH37</f>
        <v>0</v>
      </c>
      <c r="AI38" s="10">
        <f>+Rentabilitätsvorschau!AI37</f>
        <v>0</v>
      </c>
      <c r="AJ38" s="10">
        <f>+Rentabilitätsvorschau!AJ37</f>
        <v>0</v>
      </c>
      <c r="AK38" s="10">
        <f>+Rentabilitätsvorschau!AK37</f>
        <v>0</v>
      </c>
      <c r="AL38" s="10">
        <f>+Rentabilitätsvorschau!AL37</f>
        <v>0</v>
      </c>
      <c r="AM38" s="10">
        <f>+Rentabilitätsvorschau!AM37</f>
        <v>0</v>
      </c>
      <c r="AN38" s="10">
        <f>+Rentabilitätsvorschau!AN37</f>
        <v>0</v>
      </c>
      <c r="AO38" s="10">
        <f>+Rentabilitätsvorschau!AO37</f>
        <v>0</v>
      </c>
      <c r="AP38" s="26">
        <f t="shared" si="9"/>
        <v>0</v>
      </c>
      <c r="AQ38" s="10">
        <f>+Rentabilitätsvorschau!AQ37</f>
        <v>0</v>
      </c>
      <c r="AR38" s="10">
        <f>+Rentabilitätsvorschau!AR37</f>
        <v>0</v>
      </c>
      <c r="AS38" s="10">
        <f>+Rentabilitätsvorschau!AS37</f>
        <v>0</v>
      </c>
      <c r="AT38" s="10">
        <f>+Rentabilitätsvorschau!AT37</f>
        <v>0</v>
      </c>
      <c r="AU38" s="10">
        <f>+Rentabilitätsvorschau!AU37</f>
        <v>0</v>
      </c>
      <c r="AV38" s="10">
        <f>+Rentabilitätsvorschau!AV37</f>
        <v>0</v>
      </c>
      <c r="AW38" s="10">
        <f>+Rentabilitätsvorschau!AW37</f>
        <v>0</v>
      </c>
      <c r="AX38" s="10">
        <f>+Rentabilitätsvorschau!AX37</f>
        <v>0</v>
      </c>
      <c r="AY38" s="10">
        <f>+Rentabilitätsvorschau!AY37</f>
        <v>0</v>
      </c>
      <c r="AZ38" s="10">
        <f>+Rentabilitätsvorschau!AZ37</f>
        <v>0</v>
      </c>
      <c r="BA38" s="10">
        <f>+Rentabilitätsvorschau!BA37</f>
        <v>0</v>
      </c>
      <c r="BB38" s="10">
        <f>+Rentabilitätsvorschau!BB37</f>
        <v>0</v>
      </c>
      <c r="BC38" s="26">
        <f t="shared" si="10"/>
        <v>0</v>
      </c>
    </row>
    <row r="39" spans="1:55" x14ac:dyDescent="0.35">
      <c r="A39" s="8"/>
      <c r="B39" s="8" t="str">
        <f>+Rentabilitätsvorschau!B38</f>
        <v>Fachliteratur</v>
      </c>
      <c r="C39" s="8"/>
      <c r="D39" s="10">
        <f>+Rentabilitätsvorschau!D38*(1+VStermeins)</f>
        <v>0</v>
      </c>
      <c r="E39" s="10">
        <f>+Rentabilitätsvorschau!E38*(1+VStermeins)</f>
        <v>0</v>
      </c>
      <c r="F39" s="10">
        <f>+Rentabilitätsvorschau!F38*(1+VStermeins)</f>
        <v>0</v>
      </c>
      <c r="G39" s="10">
        <f>+Rentabilitätsvorschau!G38*(1+VStermeins)</f>
        <v>0</v>
      </c>
      <c r="H39" s="10">
        <f>+Rentabilitätsvorschau!H38*(1+VStermeins)</f>
        <v>0</v>
      </c>
      <c r="I39" s="10">
        <f>+Rentabilitätsvorschau!I38*(1+VStermeins)</f>
        <v>0</v>
      </c>
      <c r="J39" s="10">
        <f>+Rentabilitätsvorschau!J38*(1+VStermeins)</f>
        <v>0</v>
      </c>
      <c r="K39" s="10">
        <f>+Rentabilitätsvorschau!K38*(1+VStermeins)</f>
        <v>0</v>
      </c>
      <c r="L39" s="10">
        <f>+Rentabilitätsvorschau!L38*(1+VStermeins)</f>
        <v>0</v>
      </c>
      <c r="M39" s="10">
        <f>+Rentabilitätsvorschau!M38*(1+VStermeins)</f>
        <v>21.400000000000002</v>
      </c>
      <c r="N39" s="10">
        <f>+Rentabilitätsvorschau!N38*(1+VStermeins)</f>
        <v>21.400000000000002</v>
      </c>
      <c r="O39" s="10">
        <f>+Rentabilitätsvorschau!O38*(1+VStermeins)</f>
        <v>21.400000000000002</v>
      </c>
      <c r="P39" s="26">
        <f t="shared" ref="P39:P45" si="12">SUM(D39:O39)</f>
        <v>64.2</v>
      </c>
      <c r="Q39" s="10">
        <f>+Rentabilitätsvorschau!Q38*(1+VSterm)</f>
        <v>21.400000000000002</v>
      </c>
      <c r="R39" s="10">
        <f>+Rentabilitätsvorschau!R38*(1+VSterm)</f>
        <v>21.400000000000002</v>
      </c>
      <c r="S39" s="10">
        <f>+Rentabilitätsvorschau!S38*(1+VSterm)</f>
        <v>21.400000000000002</v>
      </c>
      <c r="T39" s="10">
        <f>+Rentabilitätsvorschau!T38*(1+VSterm)</f>
        <v>21.400000000000002</v>
      </c>
      <c r="U39" s="10">
        <f>+Rentabilitätsvorschau!U38*(1+VSterm)</f>
        <v>21.400000000000002</v>
      </c>
      <c r="V39" s="10">
        <f>+Rentabilitätsvorschau!V38*(1+VSterm)</f>
        <v>21.400000000000002</v>
      </c>
      <c r="W39" s="10">
        <f>+Rentabilitätsvorschau!W38*(1+VSterm)</f>
        <v>21.400000000000002</v>
      </c>
      <c r="X39" s="10">
        <f>+Rentabilitätsvorschau!X38*(1+VSterm)</f>
        <v>21.400000000000002</v>
      </c>
      <c r="Y39" s="10">
        <f>+Rentabilitätsvorschau!Y38*(1+VSterm)</f>
        <v>21.400000000000002</v>
      </c>
      <c r="Z39" s="10">
        <f>+Rentabilitätsvorschau!Z38*(1+VSterm)</f>
        <v>21.400000000000002</v>
      </c>
      <c r="AA39" s="10">
        <f>+Rentabilitätsvorschau!AA38*(1+VSterm)</f>
        <v>21.400000000000002</v>
      </c>
      <c r="AB39" s="10">
        <f>+Rentabilitätsvorschau!AB38*(1+VSterm)</f>
        <v>21.400000000000002</v>
      </c>
      <c r="AC39" s="26">
        <f t="shared" si="8"/>
        <v>256.8</v>
      </c>
      <c r="AD39" s="10">
        <f>+Rentabilitätsvorschau!AD38*(1+VSterm)</f>
        <v>0</v>
      </c>
      <c r="AE39" s="10">
        <f>+Rentabilitätsvorschau!AE38*(1+VSterm)</f>
        <v>0</v>
      </c>
      <c r="AF39" s="10">
        <f>+Rentabilitätsvorschau!AF38*(1+VSterm)</f>
        <v>0</v>
      </c>
      <c r="AG39" s="10">
        <f>+Rentabilitätsvorschau!AG38*(1+VSterm)</f>
        <v>0</v>
      </c>
      <c r="AH39" s="10">
        <f>+Rentabilitätsvorschau!AH38*(1+VSterm)</f>
        <v>0</v>
      </c>
      <c r="AI39" s="10">
        <f>+Rentabilitätsvorschau!AI38*(1+VSterm)</f>
        <v>0</v>
      </c>
      <c r="AJ39" s="10">
        <f>+Rentabilitätsvorschau!AJ38*(1+VSterm)</f>
        <v>0</v>
      </c>
      <c r="AK39" s="10">
        <f>+Rentabilitätsvorschau!AK38*(1+VSterm)</f>
        <v>0</v>
      </c>
      <c r="AL39" s="10">
        <f>+Rentabilitätsvorschau!AL38*(1+VSterm)</f>
        <v>0</v>
      </c>
      <c r="AM39" s="10">
        <f>+Rentabilitätsvorschau!AM38*(1+VSterm)</f>
        <v>0</v>
      </c>
      <c r="AN39" s="10">
        <f>+Rentabilitätsvorschau!AN38*(1+VSterm)</f>
        <v>0</v>
      </c>
      <c r="AO39" s="10">
        <f>+Rentabilitätsvorschau!AO38*(1+VSterm)</f>
        <v>0</v>
      </c>
      <c r="AP39" s="26">
        <f t="shared" si="9"/>
        <v>0</v>
      </c>
      <c r="AQ39" s="10">
        <f>+Rentabilitätsvorschau!AQ38*(1+VSterm)</f>
        <v>0</v>
      </c>
      <c r="AR39" s="10">
        <f>+Rentabilitätsvorschau!AR38*(1+VSterm)</f>
        <v>0</v>
      </c>
      <c r="AS39" s="10">
        <f>+Rentabilitätsvorschau!AS38*(1+VSterm)</f>
        <v>0</v>
      </c>
      <c r="AT39" s="10">
        <f>+Rentabilitätsvorschau!AT38*(1+VSterm)</f>
        <v>0</v>
      </c>
      <c r="AU39" s="10">
        <f>+Rentabilitätsvorschau!AU38*(1+VSterm)</f>
        <v>0</v>
      </c>
      <c r="AV39" s="10">
        <f>+Rentabilitätsvorschau!AV38*(1+VSterm)</f>
        <v>0</v>
      </c>
      <c r="AW39" s="10">
        <f>+Rentabilitätsvorschau!AW38*(1+VSterm)</f>
        <v>0</v>
      </c>
      <c r="AX39" s="10">
        <f>+Rentabilitätsvorschau!AX38*(1+VSterm)</f>
        <v>0</v>
      </c>
      <c r="AY39" s="10">
        <f>+Rentabilitätsvorschau!AY38*(1+VSterm)</f>
        <v>0</v>
      </c>
      <c r="AZ39" s="10">
        <f>+Rentabilitätsvorschau!AZ38*(1+VSterm)</f>
        <v>0</v>
      </c>
      <c r="BA39" s="10">
        <f>+Rentabilitätsvorschau!BA38*(1+VSterm)</f>
        <v>0</v>
      </c>
      <c r="BB39" s="10">
        <f>+Rentabilitätsvorschau!BB38*(1+VSterm)</f>
        <v>0</v>
      </c>
      <c r="BC39" s="26">
        <f t="shared" si="10"/>
        <v>0</v>
      </c>
    </row>
    <row r="40" spans="1:55" x14ac:dyDescent="0.35">
      <c r="A40" s="8"/>
      <c r="B40" s="8" t="str">
        <f>+Rentabilitätsvorschau!B39</f>
        <v>Fortbildung</v>
      </c>
      <c r="C40" s="8"/>
      <c r="D40" s="10">
        <f>+Rentabilitätsvorschau!D39*(1+VSteins)</f>
        <v>0</v>
      </c>
      <c r="E40" s="10">
        <f>+Rentabilitätsvorschau!E39*(1+VSteins)</f>
        <v>0</v>
      </c>
      <c r="F40" s="10">
        <f>+Rentabilitätsvorschau!F39*(1+VSteins)</f>
        <v>0</v>
      </c>
      <c r="G40" s="10">
        <f>+Rentabilitätsvorschau!G39*(1+VSteins)</f>
        <v>0</v>
      </c>
      <c r="H40" s="10">
        <f>+Rentabilitätsvorschau!H39*(1+VSteins)</f>
        <v>0</v>
      </c>
      <c r="I40" s="10">
        <f>+Rentabilitätsvorschau!I39*(1+VSteins)</f>
        <v>0</v>
      </c>
      <c r="J40" s="10">
        <f>+Rentabilitätsvorschau!J39*(1+VSteins)</f>
        <v>0</v>
      </c>
      <c r="K40" s="10">
        <f>+Rentabilitätsvorschau!K39*(1+VSteins)</f>
        <v>0</v>
      </c>
      <c r="L40" s="10">
        <f>+Rentabilitätsvorschau!L39*(1+VSteins)</f>
        <v>0</v>
      </c>
      <c r="M40" s="10">
        <f>+Rentabilitätsvorschau!M39*(1+VSteins)</f>
        <v>0</v>
      </c>
      <c r="N40" s="10">
        <f>+Rentabilitätsvorschau!N39*(1+VSteins)</f>
        <v>0</v>
      </c>
      <c r="O40" s="10">
        <f>+Rentabilitätsvorschau!O39*(1+VSteins)</f>
        <v>0</v>
      </c>
      <c r="P40" s="26">
        <f t="shared" si="12"/>
        <v>0</v>
      </c>
      <c r="Q40" s="10">
        <f>+Rentabilitätsvorschau!Q39*(1+VSt)</f>
        <v>0</v>
      </c>
      <c r="R40" s="10">
        <f>+Rentabilitätsvorschau!R39*(1+VSt)</f>
        <v>0</v>
      </c>
      <c r="S40" s="10">
        <f>+Rentabilitätsvorschau!S39*(1+VSt)</f>
        <v>0</v>
      </c>
      <c r="T40" s="10">
        <f>+Rentabilitätsvorschau!T39*(1+VSt)</f>
        <v>0</v>
      </c>
      <c r="U40" s="10">
        <f>+Rentabilitätsvorschau!U39*(1+VSt)</f>
        <v>0</v>
      </c>
      <c r="V40" s="10">
        <f>+Rentabilitätsvorschau!V39*(1+VSt)</f>
        <v>0</v>
      </c>
      <c r="W40" s="10">
        <f>+Rentabilitätsvorschau!W39*(1+VSt)</f>
        <v>0</v>
      </c>
      <c r="X40" s="10">
        <f>+Rentabilitätsvorschau!X39*(1+VSt)</f>
        <v>0</v>
      </c>
      <c r="Y40" s="10">
        <f>+Rentabilitätsvorschau!Y39*(1+VSt)</f>
        <v>0</v>
      </c>
      <c r="Z40" s="10">
        <f>+Rentabilitätsvorschau!Z39*(1+VSt)</f>
        <v>0</v>
      </c>
      <c r="AA40" s="10">
        <f>+Rentabilitätsvorschau!AA39*(1+VSt)</f>
        <v>0</v>
      </c>
      <c r="AB40" s="10">
        <f>+Rentabilitätsvorschau!AB39*(1+VSt)</f>
        <v>0</v>
      </c>
      <c r="AC40" s="26">
        <f t="shared" si="8"/>
        <v>0</v>
      </c>
      <c r="AD40" s="10">
        <f>+Rentabilitätsvorschau!AD39*(1+VSt)</f>
        <v>0</v>
      </c>
      <c r="AE40" s="10">
        <f>+Rentabilitätsvorschau!AE39*(1+VSt)</f>
        <v>0</v>
      </c>
      <c r="AF40" s="10">
        <f>+Rentabilitätsvorschau!AF39*(1+VSt)</f>
        <v>0</v>
      </c>
      <c r="AG40" s="10">
        <f>+Rentabilitätsvorschau!AG39*(1+VSt)</f>
        <v>0</v>
      </c>
      <c r="AH40" s="10">
        <f>+Rentabilitätsvorschau!AH39*(1+VSt)</f>
        <v>0</v>
      </c>
      <c r="AI40" s="10">
        <f>+Rentabilitätsvorschau!AI39*(1+VSt)</f>
        <v>0</v>
      </c>
      <c r="AJ40" s="10">
        <f>+Rentabilitätsvorschau!AJ39*(1+VSt)</f>
        <v>0</v>
      </c>
      <c r="AK40" s="10">
        <f>+Rentabilitätsvorschau!AK39*(1+VSt)</f>
        <v>0</v>
      </c>
      <c r="AL40" s="10">
        <f>+Rentabilitätsvorschau!AL39*(1+VSt)</f>
        <v>0</v>
      </c>
      <c r="AM40" s="10">
        <f>+Rentabilitätsvorschau!AM39*(1+VSt)</f>
        <v>0</v>
      </c>
      <c r="AN40" s="10">
        <f>+Rentabilitätsvorschau!AN39*(1+VSt)</f>
        <v>0</v>
      </c>
      <c r="AO40" s="10">
        <f>+Rentabilitätsvorschau!AO39*(1+VSt)</f>
        <v>0</v>
      </c>
      <c r="AP40" s="26">
        <f t="shared" si="9"/>
        <v>0</v>
      </c>
      <c r="AQ40" s="10">
        <f>+Rentabilitätsvorschau!AQ39*(1+VSt)</f>
        <v>0</v>
      </c>
      <c r="AR40" s="10">
        <f>+Rentabilitätsvorschau!AR39*(1+VSt)</f>
        <v>0</v>
      </c>
      <c r="AS40" s="10">
        <f>+Rentabilitätsvorschau!AS39*(1+VSt)</f>
        <v>0</v>
      </c>
      <c r="AT40" s="10">
        <f>+Rentabilitätsvorschau!AT39*(1+VSt)</f>
        <v>0</v>
      </c>
      <c r="AU40" s="10">
        <f>+Rentabilitätsvorschau!AU39*(1+VSt)</f>
        <v>0</v>
      </c>
      <c r="AV40" s="10">
        <f>+Rentabilitätsvorschau!AV39*(1+VSt)</f>
        <v>0</v>
      </c>
      <c r="AW40" s="10">
        <f>+Rentabilitätsvorschau!AW39*(1+VSt)</f>
        <v>0</v>
      </c>
      <c r="AX40" s="10">
        <f>+Rentabilitätsvorschau!AX39*(1+VSt)</f>
        <v>0</v>
      </c>
      <c r="AY40" s="10">
        <f>+Rentabilitätsvorschau!AY39*(1+VSt)</f>
        <v>0</v>
      </c>
      <c r="AZ40" s="10">
        <f>+Rentabilitätsvorschau!AZ39*(1+VSt)</f>
        <v>0</v>
      </c>
      <c r="BA40" s="10">
        <f>+Rentabilitätsvorschau!BA39*(1+VSt)</f>
        <v>0</v>
      </c>
      <c r="BB40" s="10">
        <f>+Rentabilitätsvorschau!BB39*(1+VSt)</f>
        <v>0</v>
      </c>
      <c r="BC40" s="26">
        <f t="shared" si="10"/>
        <v>0</v>
      </c>
    </row>
    <row r="41" spans="1:55" x14ac:dyDescent="0.35">
      <c r="A41" s="8"/>
      <c r="B41" s="8" t="str">
        <f>+Rentabilitätsvorschau!B40</f>
        <v>Messen und Ausstellungen</v>
      </c>
      <c r="C41" s="8"/>
      <c r="D41" s="10">
        <f>+Rentabilitätsvorschau!D40*(1+VSteins)</f>
        <v>0</v>
      </c>
      <c r="E41" s="10">
        <f>+Rentabilitätsvorschau!E40*(1+VSteins)</f>
        <v>0</v>
      </c>
      <c r="F41" s="10">
        <f>+Rentabilitätsvorschau!F40*(1+VSteins)</f>
        <v>0</v>
      </c>
      <c r="G41" s="10">
        <f>+Rentabilitätsvorschau!G40*(1+VSteins)</f>
        <v>0</v>
      </c>
      <c r="H41" s="10">
        <f>+Rentabilitätsvorschau!H40*(1+VSteins)</f>
        <v>0</v>
      </c>
      <c r="I41" s="10">
        <f>+Rentabilitätsvorschau!I40*(1+VSteins)</f>
        <v>0</v>
      </c>
      <c r="J41" s="10">
        <f>+Rentabilitätsvorschau!J40*(1+VSteins)</f>
        <v>0</v>
      </c>
      <c r="K41" s="10">
        <f>+Rentabilitätsvorschau!K40*(1+VSteins)</f>
        <v>0</v>
      </c>
      <c r="L41" s="10">
        <f>+Rentabilitätsvorschau!L40*(1+VSteins)</f>
        <v>0</v>
      </c>
      <c r="M41" s="10">
        <f>+Rentabilitätsvorschau!M40*(1+VSteins)</f>
        <v>0</v>
      </c>
      <c r="N41" s="10">
        <f>+Rentabilitätsvorschau!N40*(1+VSteins)</f>
        <v>0</v>
      </c>
      <c r="O41" s="10">
        <f>+Rentabilitätsvorschau!O40*(1+VSteins)</f>
        <v>0</v>
      </c>
      <c r="P41" s="26">
        <f t="shared" si="12"/>
        <v>0</v>
      </c>
      <c r="Q41" s="10">
        <f>+Rentabilitätsvorschau!Q40*(1+VSt)</f>
        <v>0</v>
      </c>
      <c r="R41" s="10">
        <f>+Rentabilitätsvorschau!R40*(1+VSt)</f>
        <v>0</v>
      </c>
      <c r="S41" s="10">
        <f>+Rentabilitätsvorschau!S40*(1+VSt)</f>
        <v>0</v>
      </c>
      <c r="T41" s="10">
        <f>+Rentabilitätsvorschau!T40*(1+VSt)</f>
        <v>0</v>
      </c>
      <c r="U41" s="10">
        <f>+Rentabilitätsvorschau!U40*(1+VSt)</f>
        <v>0</v>
      </c>
      <c r="V41" s="10">
        <f>+Rentabilitätsvorschau!V40*(1+VSt)</f>
        <v>0</v>
      </c>
      <c r="W41" s="10">
        <f>+Rentabilitätsvorschau!W40*(1+VSt)</f>
        <v>0</v>
      </c>
      <c r="X41" s="10">
        <f>+Rentabilitätsvorschau!X40*(1+VSt)</f>
        <v>0</v>
      </c>
      <c r="Y41" s="10">
        <f>+Rentabilitätsvorschau!Y40*(1+VSt)</f>
        <v>0</v>
      </c>
      <c r="Z41" s="10">
        <f>+Rentabilitätsvorschau!Z40*(1+VSt)</f>
        <v>0</v>
      </c>
      <c r="AA41" s="10">
        <f>+Rentabilitätsvorschau!AA40*(1+VSt)</f>
        <v>0</v>
      </c>
      <c r="AB41" s="10">
        <f>+Rentabilitätsvorschau!AB40*(1+VSt)</f>
        <v>0</v>
      </c>
      <c r="AC41" s="26">
        <f t="shared" si="8"/>
        <v>0</v>
      </c>
      <c r="AD41" s="10">
        <f>+Rentabilitätsvorschau!AD40*(1+VSt)</f>
        <v>0</v>
      </c>
      <c r="AE41" s="10">
        <f>+Rentabilitätsvorschau!AE40*(1+VSt)</f>
        <v>0</v>
      </c>
      <c r="AF41" s="10">
        <f>+Rentabilitätsvorschau!AF40*(1+VSt)</f>
        <v>0</v>
      </c>
      <c r="AG41" s="10">
        <f>+Rentabilitätsvorschau!AG40*(1+VSt)</f>
        <v>0</v>
      </c>
      <c r="AH41" s="10">
        <f>+Rentabilitätsvorschau!AH40*(1+VSt)</f>
        <v>0</v>
      </c>
      <c r="AI41" s="10">
        <f>+Rentabilitätsvorschau!AI40*(1+VSt)</f>
        <v>0</v>
      </c>
      <c r="AJ41" s="10">
        <f>+Rentabilitätsvorschau!AJ40*(1+VSt)</f>
        <v>0</v>
      </c>
      <c r="AK41" s="10">
        <f>+Rentabilitätsvorschau!AK40*(1+VSt)</f>
        <v>0</v>
      </c>
      <c r="AL41" s="10">
        <f>+Rentabilitätsvorschau!AL40*(1+VSt)</f>
        <v>0</v>
      </c>
      <c r="AM41" s="10">
        <f>+Rentabilitätsvorschau!AM40*(1+VSt)</f>
        <v>0</v>
      </c>
      <c r="AN41" s="10">
        <f>+Rentabilitätsvorschau!AN40*(1+VSt)</f>
        <v>0</v>
      </c>
      <c r="AO41" s="10">
        <f>+Rentabilitätsvorschau!AO40*(1+VSt)</f>
        <v>0</v>
      </c>
      <c r="AP41" s="26">
        <f t="shared" si="9"/>
        <v>0</v>
      </c>
      <c r="AQ41" s="10">
        <f>+Rentabilitätsvorschau!AQ40*(1+VSt)</f>
        <v>0</v>
      </c>
      <c r="AR41" s="10">
        <f>+Rentabilitätsvorschau!AR40*(1+VSt)</f>
        <v>0</v>
      </c>
      <c r="AS41" s="10">
        <f>+Rentabilitätsvorschau!AS40*(1+VSt)</f>
        <v>0</v>
      </c>
      <c r="AT41" s="10">
        <f>+Rentabilitätsvorschau!AT40*(1+VSt)</f>
        <v>0</v>
      </c>
      <c r="AU41" s="10">
        <f>+Rentabilitätsvorschau!AU40*(1+VSt)</f>
        <v>0</v>
      </c>
      <c r="AV41" s="10">
        <f>+Rentabilitätsvorschau!AV40*(1+VSt)</f>
        <v>0</v>
      </c>
      <c r="AW41" s="10">
        <f>+Rentabilitätsvorschau!AW40*(1+VSt)</f>
        <v>0</v>
      </c>
      <c r="AX41" s="10">
        <f>+Rentabilitätsvorschau!AX40*(1+VSt)</f>
        <v>0</v>
      </c>
      <c r="AY41" s="10">
        <f>+Rentabilitätsvorschau!AY40*(1+VSt)</f>
        <v>0</v>
      </c>
      <c r="AZ41" s="10">
        <f>+Rentabilitätsvorschau!AZ40*(1+VSt)</f>
        <v>0</v>
      </c>
      <c r="BA41" s="10">
        <f>+Rentabilitätsvorschau!BA40*(1+VSt)</f>
        <v>0</v>
      </c>
      <c r="BB41" s="10">
        <f>+Rentabilitätsvorschau!BB40*(1+VSt)</f>
        <v>0</v>
      </c>
      <c r="BC41" s="26">
        <f t="shared" si="10"/>
        <v>0</v>
      </c>
    </row>
    <row r="42" spans="1:55" x14ac:dyDescent="0.35">
      <c r="A42" s="8"/>
      <c r="B42" s="8" t="str">
        <f>+Rentabilitätsvorschau!B41</f>
        <v>Beratungskosten</v>
      </c>
      <c r="C42" s="8"/>
      <c r="D42" s="10"/>
      <c r="E42" s="10"/>
      <c r="F42" s="10"/>
      <c r="G42" s="10"/>
      <c r="H42" s="10"/>
      <c r="I42" s="10"/>
      <c r="J42" s="10"/>
      <c r="K42" s="10"/>
      <c r="L42" s="10"/>
      <c r="M42" s="10"/>
      <c r="N42" s="10"/>
      <c r="O42" s="10"/>
      <c r="P42" s="26"/>
      <c r="Q42" s="10"/>
      <c r="R42" s="10"/>
      <c r="S42" s="10"/>
      <c r="T42" s="10"/>
      <c r="U42" s="10"/>
      <c r="V42" s="10"/>
      <c r="W42" s="10"/>
      <c r="X42" s="10"/>
      <c r="Y42" s="10"/>
      <c r="Z42" s="10"/>
      <c r="AA42" s="10"/>
      <c r="AB42" s="10"/>
      <c r="AC42" s="26"/>
      <c r="AD42" s="10"/>
      <c r="AE42" s="10"/>
      <c r="AF42" s="10"/>
      <c r="AG42" s="10"/>
      <c r="AH42" s="10"/>
      <c r="AI42" s="10"/>
      <c r="AJ42" s="10"/>
      <c r="AK42" s="10"/>
      <c r="AL42" s="10"/>
      <c r="AM42" s="10"/>
      <c r="AN42" s="10"/>
      <c r="AO42" s="10"/>
      <c r="AP42" s="26"/>
      <c r="AQ42" s="10"/>
      <c r="AR42" s="10"/>
      <c r="AS42" s="10"/>
      <c r="AT42" s="10"/>
      <c r="AU42" s="10"/>
      <c r="AV42" s="10"/>
      <c r="AW42" s="10"/>
      <c r="AX42" s="10"/>
      <c r="AY42" s="10"/>
      <c r="AZ42" s="10"/>
      <c r="BA42" s="10"/>
      <c r="BB42" s="10"/>
      <c r="BC42" s="26"/>
    </row>
    <row r="43" spans="1:55" x14ac:dyDescent="0.35">
      <c r="A43" s="8"/>
      <c r="C43" s="8" t="str">
        <f>+Rentabilitätsvorschau!C42</f>
        <v>Steuerberater</v>
      </c>
      <c r="D43" s="10">
        <f>+Rentabilitätsvorschau!D42*(1+VSteins)</f>
        <v>0</v>
      </c>
      <c r="E43" s="10">
        <f>+Rentabilitätsvorschau!E42*(1+VSteins)</f>
        <v>0</v>
      </c>
      <c r="F43" s="10">
        <f>+Rentabilitätsvorschau!F42*(1+VSteins)</f>
        <v>0</v>
      </c>
      <c r="G43" s="10">
        <f>+Rentabilitätsvorschau!G42*(1+VSteins)</f>
        <v>0</v>
      </c>
      <c r="H43" s="10">
        <f>+Rentabilitätsvorschau!H42*(1+VSteins)</f>
        <v>0</v>
      </c>
      <c r="I43" s="10">
        <f>+Rentabilitätsvorschau!I42*(1+VSteins)</f>
        <v>0</v>
      </c>
      <c r="J43" s="10">
        <f>+Rentabilitätsvorschau!J42*(1+VSteins)</f>
        <v>0</v>
      </c>
      <c r="K43" s="10">
        <f>+Rentabilitätsvorschau!K42*(1+VSteins)</f>
        <v>0</v>
      </c>
      <c r="L43" s="10">
        <f>+Rentabilitätsvorschau!L42*(1+VSteins)</f>
        <v>0</v>
      </c>
      <c r="M43" s="10">
        <f>+Rentabilitätsvorschau!M42*(1+VSteins)</f>
        <v>178.5</v>
      </c>
      <c r="N43" s="10">
        <f>+Rentabilitätsvorschau!N42*(1+VSteins)</f>
        <v>178.5</v>
      </c>
      <c r="O43" s="10">
        <f>+Rentabilitätsvorschau!O42*(1+VSteins)</f>
        <v>178.5</v>
      </c>
      <c r="P43" s="26">
        <f t="shared" si="12"/>
        <v>535.5</v>
      </c>
      <c r="Q43" s="10">
        <f>+Rentabilitätsvorschau!Q42*(1+VSt)</f>
        <v>178.5</v>
      </c>
      <c r="R43" s="10">
        <f>+Rentabilitätsvorschau!R42*(1+VSt)</f>
        <v>178.5</v>
      </c>
      <c r="S43" s="10">
        <f>+Rentabilitätsvorschau!S42*(1+VSt)</f>
        <v>178.5</v>
      </c>
      <c r="T43" s="10">
        <f>+Rentabilitätsvorschau!T42*(1+VSt)</f>
        <v>178.5</v>
      </c>
      <c r="U43" s="10">
        <f>+Rentabilitätsvorschau!U42*(1+VSt)</f>
        <v>178.5</v>
      </c>
      <c r="V43" s="10">
        <f>+Rentabilitätsvorschau!V42*(1+VSt)</f>
        <v>178.5</v>
      </c>
      <c r="W43" s="10">
        <f>+Rentabilitätsvorschau!W42*(1+VSt)</f>
        <v>178.5</v>
      </c>
      <c r="X43" s="10">
        <f>+Rentabilitätsvorschau!X42*(1+VSt)</f>
        <v>178.5</v>
      </c>
      <c r="Y43" s="10">
        <f>+Rentabilitätsvorschau!Y42*(1+VSt)</f>
        <v>178.5</v>
      </c>
      <c r="Z43" s="10">
        <f>+Rentabilitätsvorschau!Z42*(1+VSt)</f>
        <v>178.5</v>
      </c>
      <c r="AA43" s="10">
        <f>+Rentabilitätsvorschau!AA42*(1+VSt)</f>
        <v>178.5</v>
      </c>
      <c r="AB43" s="10">
        <f>+Rentabilitätsvorschau!AB42*(1+VSt)</f>
        <v>178.5</v>
      </c>
      <c r="AC43" s="26">
        <f t="shared" si="8"/>
        <v>2142</v>
      </c>
      <c r="AD43" s="10">
        <f>+Rentabilitätsvorschau!AD42*(1+VSt)</f>
        <v>0</v>
      </c>
      <c r="AE43" s="10">
        <f>+Rentabilitätsvorschau!AE42*(1+VSt)</f>
        <v>0</v>
      </c>
      <c r="AF43" s="10">
        <f>+Rentabilitätsvorschau!AF42*(1+VSt)</f>
        <v>0</v>
      </c>
      <c r="AG43" s="10">
        <f>+Rentabilitätsvorschau!AG42*(1+VSt)</f>
        <v>0</v>
      </c>
      <c r="AH43" s="10">
        <f>+Rentabilitätsvorschau!AH42*(1+VSt)</f>
        <v>0</v>
      </c>
      <c r="AI43" s="10">
        <f>+Rentabilitätsvorschau!AI42*(1+VSt)</f>
        <v>0</v>
      </c>
      <c r="AJ43" s="10">
        <f>+Rentabilitätsvorschau!AJ42*(1+VSt)</f>
        <v>0</v>
      </c>
      <c r="AK43" s="10">
        <f>+Rentabilitätsvorschau!AK42*(1+VSt)</f>
        <v>0</v>
      </c>
      <c r="AL43" s="10">
        <f>+Rentabilitätsvorschau!AL42*(1+VSt)</f>
        <v>0</v>
      </c>
      <c r="AM43" s="10">
        <f>+Rentabilitätsvorschau!AM42*(1+VSt)</f>
        <v>0</v>
      </c>
      <c r="AN43" s="10">
        <f>+Rentabilitätsvorschau!AN42*(1+VSt)</f>
        <v>0</v>
      </c>
      <c r="AO43" s="10">
        <f>+Rentabilitätsvorschau!AO42*(1+VSt)</f>
        <v>0</v>
      </c>
      <c r="AP43" s="26">
        <f t="shared" si="9"/>
        <v>0</v>
      </c>
      <c r="AQ43" s="10">
        <f>+Rentabilitätsvorschau!AQ42*(1+VSt)</f>
        <v>0</v>
      </c>
      <c r="AR43" s="10">
        <f>+Rentabilitätsvorschau!AR42*(1+VSt)</f>
        <v>0</v>
      </c>
      <c r="AS43" s="10">
        <f>+Rentabilitätsvorschau!AS42*(1+VSt)</f>
        <v>0</v>
      </c>
      <c r="AT43" s="10">
        <f>+Rentabilitätsvorschau!AT42*(1+VSt)</f>
        <v>0</v>
      </c>
      <c r="AU43" s="10">
        <f>+Rentabilitätsvorschau!AU42*(1+VSt)</f>
        <v>0</v>
      </c>
      <c r="AV43" s="10">
        <f>+Rentabilitätsvorschau!AV42*(1+VSt)</f>
        <v>0</v>
      </c>
      <c r="AW43" s="10">
        <f>+Rentabilitätsvorschau!AW42*(1+VSt)</f>
        <v>0</v>
      </c>
      <c r="AX43" s="10">
        <f>+Rentabilitätsvorschau!AX42*(1+VSt)</f>
        <v>0</v>
      </c>
      <c r="AY43" s="10">
        <f>+Rentabilitätsvorschau!AY42*(1+VSt)</f>
        <v>0</v>
      </c>
      <c r="AZ43" s="10">
        <f>+Rentabilitätsvorschau!AZ42*(1+VSt)</f>
        <v>0</v>
      </c>
      <c r="BA43" s="10">
        <f>+Rentabilitätsvorschau!BA42*(1+VSt)</f>
        <v>0</v>
      </c>
      <c r="BB43" s="10">
        <f>+Rentabilitätsvorschau!BB42*(1+VSt)</f>
        <v>0</v>
      </c>
      <c r="BC43" s="26">
        <f t="shared" si="10"/>
        <v>0</v>
      </c>
    </row>
    <row r="44" spans="1:55" x14ac:dyDescent="0.35">
      <c r="A44" s="8"/>
      <c r="C44" s="8" t="str">
        <f>+Rentabilitätsvorschau!C43</f>
        <v>Unternehmensberater</v>
      </c>
      <c r="D44" s="10">
        <f>+Rentabilitätsvorschau!D43*(1+VSteins)</f>
        <v>0</v>
      </c>
      <c r="E44" s="10">
        <f>+Rentabilitätsvorschau!E43*(1+VSteins)</f>
        <v>0</v>
      </c>
      <c r="F44" s="10">
        <f>+Rentabilitätsvorschau!F43*(1+VSteins)</f>
        <v>0</v>
      </c>
      <c r="G44" s="10">
        <f>+Rentabilitätsvorschau!G43*(1+VSteins)</f>
        <v>0</v>
      </c>
      <c r="H44" s="10">
        <f>+Rentabilitätsvorschau!H43*(1+VSteins)</f>
        <v>0</v>
      </c>
      <c r="I44" s="10">
        <f>+Rentabilitätsvorschau!I43*(1+VSteins)</f>
        <v>0</v>
      </c>
      <c r="J44" s="10">
        <f>+Rentabilitätsvorschau!J43*(1+VSteins)</f>
        <v>0</v>
      </c>
      <c r="K44" s="10">
        <f>+Rentabilitätsvorschau!K43*(1+VSteins)</f>
        <v>0</v>
      </c>
      <c r="L44" s="10">
        <f>+Rentabilitätsvorschau!L43*(1+VSteins)</f>
        <v>0</v>
      </c>
      <c r="M44" s="10">
        <f>+Rentabilitätsvorschau!M43*(1+VSteins)</f>
        <v>0</v>
      </c>
      <c r="N44" s="10">
        <f>+Rentabilitätsvorschau!N43*(1+VSteins)</f>
        <v>0</v>
      </c>
      <c r="O44" s="10">
        <f>+Rentabilitätsvorschau!O43*(1+VSteins)</f>
        <v>0</v>
      </c>
      <c r="P44" s="26">
        <f t="shared" si="12"/>
        <v>0</v>
      </c>
      <c r="Q44" s="10">
        <f>+Rentabilitätsvorschau!Q43*(1+VSt)</f>
        <v>0</v>
      </c>
      <c r="R44" s="10">
        <f>+Rentabilitätsvorschau!R43*(1+VSt)</f>
        <v>0</v>
      </c>
      <c r="S44" s="10">
        <f>+Rentabilitätsvorschau!S43*(1+VSt)</f>
        <v>0</v>
      </c>
      <c r="T44" s="10">
        <f>+Rentabilitätsvorschau!T43*(1+VSt)</f>
        <v>0</v>
      </c>
      <c r="U44" s="10">
        <f>+Rentabilitätsvorschau!U43*(1+VSt)</f>
        <v>0</v>
      </c>
      <c r="V44" s="10">
        <f>+Rentabilitätsvorschau!V43*(1+VSt)</f>
        <v>0</v>
      </c>
      <c r="W44" s="10">
        <f>+Rentabilitätsvorschau!W43*(1+VSt)</f>
        <v>0</v>
      </c>
      <c r="X44" s="10">
        <f>+Rentabilitätsvorschau!X43*(1+VSt)</f>
        <v>0</v>
      </c>
      <c r="Y44" s="10">
        <f>+Rentabilitätsvorschau!Y43*(1+VSt)</f>
        <v>0</v>
      </c>
      <c r="Z44" s="10">
        <f>+Rentabilitätsvorschau!Z43*(1+VSt)</f>
        <v>0</v>
      </c>
      <c r="AA44" s="10">
        <f>+Rentabilitätsvorschau!AA43*(1+VSt)</f>
        <v>0</v>
      </c>
      <c r="AB44" s="10">
        <f>+Rentabilitätsvorschau!AB43*(1+VSt)</f>
        <v>0</v>
      </c>
      <c r="AC44" s="26">
        <f t="shared" si="8"/>
        <v>0</v>
      </c>
      <c r="AD44" s="10">
        <f>+Rentabilitätsvorschau!AD43*(1+VSt)</f>
        <v>0</v>
      </c>
      <c r="AE44" s="10">
        <f>+Rentabilitätsvorschau!AE43*(1+VSt)</f>
        <v>0</v>
      </c>
      <c r="AF44" s="10">
        <f>+Rentabilitätsvorschau!AF43*(1+VSt)</f>
        <v>0</v>
      </c>
      <c r="AG44" s="10">
        <f>+Rentabilitätsvorschau!AG43*(1+VSt)</f>
        <v>0</v>
      </c>
      <c r="AH44" s="10">
        <f>+Rentabilitätsvorschau!AH43*(1+VSt)</f>
        <v>0</v>
      </c>
      <c r="AI44" s="10">
        <f>+Rentabilitätsvorschau!AI43*(1+VSt)</f>
        <v>0</v>
      </c>
      <c r="AJ44" s="10">
        <f>+Rentabilitätsvorschau!AJ43*(1+VSt)</f>
        <v>0</v>
      </c>
      <c r="AK44" s="10">
        <f>+Rentabilitätsvorschau!AK43*(1+VSt)</f>
        <v>0</v>
      </c>
      <c r="AL44" s="10">
        <f>+Rentabilitätsvorschau!AL43*(1+VSt)</f>
        <v>0</v>
      </c>
      <c r="AM44" s="10">
        <f>+Rentabilitätsvorschau!AM43*(1+VSt)</f>
        <v>0</v>
      </c>
      <c r="AN44" s="10">
        <f>+Rentabilitätsvorschau!AN43*(1+VSt)</f>
        <v>0</v>
      </c>
      <c r="AO44" s="10">
        <f>+Rentabilitätsvorschau!AO43*(1+VSt)</f>
        <v>0</v>
      </c>
      <c r="AP44" s="26">
        <f t="shared" si="9"/>
        <v>0</v>
      </c>
      <c r="AQ44" s="10">
        <f>+Rentabilitätsvorschau!AQ43*(1+VSt)</f>
        <v>0</v>
      </c>
      <c r="AR44" s="10">
        <f>+Rentabilitätsvorschau!AR43*(1+VSt)</f>
        <v>0</v>
      </c>
      <c r="AS44" s="10">
        <f>+Rentabilitätsvorschau!AS43*(1+VSt)</f>
        <v>0</v>
      </c>
      <c r="AT44" s="10">
        <f>+Rentabilitätsvorschau!AT43*(1+VSt)</f>
        <v>0</v>
      </c>
      <c r="AU44" s="10">
        <f>+Rentabilitätsvorschau!AU43*(1+VSt)</f>
        <v>0</v>
      </c>
      <c r="AV44" s="10">
        <f>+Rentabilitätsvorschau!AV43*(1+VSt)</f>
        <v>0</v>
      </c>
      <c r="AW44" s="10">
        <f>+Rentabilitätsvorschau!AW43*(1+VSt)</f>
        <v>0</v>
      </c>
      <c r="AX44" s="10">
        <f>+Rentabilitätsvorschau!AX43*(1+VSt)</f>
        <v>0</v>
      </c>
      <c r="AY44" s="10">
        <f>+Rentabilitätsvorschau!AY43*(1+VSt)</f>
        <v>0</v>
      </c>
      <c r="AZ44" s="10">
        <f>+Rentabilitätsvorschau!AZ43*(1+VSt)</f>
        <v>0</v>
      </c>
      <c r="BA44" s="10">
        <f>+Rentabilitätsvorschau!BA43*(1+VSt)</f>
        <v>0</v>
      </c>
      <c r="BB44" s="10">
        <f>+Rentabilitätsvorschau!BB43*(1+VSt)</f>
        <v>0</v>
      </c>
      <c r="BC44" s="26">
        <f t="shared" si="10"/>
        <v>0</v>
      </c>
    </row>
    <row r="45" spans="1:55" x14ac:dyDescent="0.35">
      <c r="A45" s="8"/>
      <c r="C45" s="8" t="str">
        <f>+Rentabilitätsvorschau!C44</f>
        <v>Rechtsanwalt</v>
      </c>
      <c r="D45" s="10">
        <f>+Rentabilitätsvorschau!D44*(1+VSteins)</f>
        <v>0</v>
      </c>
      <c r="E45" s="10">
        <f>+Rentabilitätsvorschau!E44*(1+VSteins)</f>
        <v>0</v>
      </c>
      <c r="F45" s="10">
        <f>+Rentabilitätsvorschau!F44*(1+VSteins)</f>
        <v>0</v>
      </c>
      <c r="G45" s="10">
        <f>+Rentabilitätsvorschau!G44*(1+VSteins)</f>
        <v>0</v>
      </c>
      <c r="H45" s="10">
        <f>+Rentabilitätsvorschau!H44*(1+VSteins)</f>
        <v>0</v>
      </c>
      <c r="I45" s="10">
        <f>+Rentabilitätsvorschau!I44*(1+VSteins)</f>
        <v>0</v>
      </c>
      <c r="J45" s="10">
        <f>+Rentabilitätsvorschau!J44*(1+VSteins)</f>
        <v>0</v>
      </c>
      <c r="K45" s="10">
        <f>+Rentabilitätsvorschau!K44*(1+VSteins)</f>
        <v>0</v>
      </c>
      <c r="L45" s="10">
        <f>+Rentabilitätsvorschau!L44*(1+VSteins)</f>
        <v>0</v>
      </c>
      <c r="M45" s="10">
        <f>+Rentabilitätsvorschau!M44*(1+VSteins)</f>
        <v>0</v>
      </c>
      <c r="N45" s="10">
        <f>+Rentabilitätsvorschau!N44*(1+VSteins)</f>
        <v>0</v>
      </c>
      <c r="O45" s="10">
        <f>+Rentabilitätsvorschau!O44*(1+VSteins)</f>
        <v>0</v>
      </c>
      <c r="P45" s="26">
        <f t="shared" si="12"/>
        <v>0</v>
      </c>
      <c r="Q45" s="10">
        <f>+Rentabilitätsvorschau!Q44*(1+VSt)</f>
        <v>0</v>
      </c>
      <c r="R45" s="10">
        <f>+Rentabilitätsvorschau!R44*(1+VSt)</f>
        <v>0</v>
      </c>
      <c r="S45" s="10">
        <f>+Rentabilitätsvorschau!S44*(1+VSt)</f>
        <v>0</v>
      </c>
      <c r="T45" s="10">
        <f>+Rentabilitätsvorschau!T44*(1+VSt)</f>
        <v>0</v>
      </c>
      <c r="U45" s="10">
        <f>+Rentabilitätsvorschau!U44*(1+VSt)</f>
        <v>0</v>
      </c>
      <c r="V45" s="10">
        <f>+Rentabilitätsvorschau!V44*(1+VSt)</f>
        <v>0</v>
      </c>
      <c r="W45" s="10">
        <f>+Rentabilitätsvorschau!W44*(1+VSt)</f>
        <v>0</v>
      </c>
      <c r="X45" s="10">
        <f>+Rentabilitätsvorschau!X44*(1+VSt)</f>
        <v>0</v>
      </c>
      <c r="Y45" s="10">
        <f>+Rentabilitätsvorschau!Y44*(1+VSt)</f>
        <v>0</v>
      </c>
      <c r="Z45" s="10">
        <f>+Rentabilitätsvorschau!Z44*(1+VSt)</f>
        <v>0</v>
      </c>
      <c r="AA45" s="10">
        <f>+Rentabilitätsvorschau!AA44*(1+VSt)</f>
        <v>0</v>
      </c>
      <c r="AB45" s="10">
        <f>+Rentabilitätsvorschau!AB44*(1+VSt)</f>
        <v>0</v>
      </c>
      <c r="AC45" s="26">
        <f t="shared" si="8"/>
        <v>0</v>
      </c>
      <c r="AD45" s="10">
        <f>+Rentabilitätsvorschau!AD44*(1+VSt)</f>
        <v>0</v>
      </c>
      <c r="AE45" s="10">
        <f>+Rentabilitätsvorschau!AE44*(1+VSt)</f>
        <v>0</v>
      </c>
      <c r="AF45" s="10">
        <f>+Rentabilitätsvorschau!AF44*(1+VSt)</f>
        <v>0</v>
      </c>
      <c r="AG45" s="10">
        <f>+Rentabilitätsvorschau!AG44*(1+VSt)</f>
        <v>0</v>
      </c>
      <c r="AH45" s="10">
        <f>+Rentabilitätsvorschau!AH44*(1+VSt)</f>
        <v>0</v>
      </c>
      <c r="AI45" s="10">
        <f>+Rentabilitätsvorschau!AI44*(1+VSt)</f>
        <v>0</v>
      </c>
      <c r="AJ45" s="10">
        <f>+Rentabilitätsvorschau!AJ44*(1+VSt)</f>
        <v>0</v>
      </c>
      <c r="AK45" s="10">
        <f>+Rentabilitätsvorschau!AK44*(1+VSt)</f>
        <v>0</v>
      </c>
      <c r="AL45" s="10">
        <f>+Rentabilitätsvorschau!AL44*(1+VSt)</f>
        <v>0</v>
      </c>
      <c r="AM45" s="10">
        <f>+Rentabilitätsvorschau!AM44*(1+VSt)</f>
        <v>0</v>
      </c>
      <c r="AN45" s="10">
        <f>+Rentabilitätsvorschau!AN44*(1+VSt)</f>
        <v>0</v>
      </c>
      <c r="AO45" s="10">
        <f>+Rentabilitätsvorschau!AO44*(1+VSt)</f>
        <v>0</v>
      </c>
      <c r="AP45" s="26">
        <f t="shared" si="9"/>
        <v>0</v>
      </c>
      <c r="AQ45" s="10">
        <f>+Rentabilitätsvorschau!AQ44*(1+VSt)</f>
        <v>0</v>
      </c>
      <c r="AR45" s="10">
        <f>+Rentabilitätsvorschau!AR44*(1+VSt)</f>
        <v>0</v>
      </c>
      <c r="AS45" s="10">
        <f>+Rentabilitätsvorschau!AS44*(1+VSt)</f>
        <v>0</v>
      </c>
      <c r="AT45" s="10">
        <f>+Rentabilitätsvorschau!AT44*(1+VSt)</f>
        <v>0</v>
      </c>
      <c r="AU45" s="10">
        <f>+Rentabilitätsvorschau!AU44*(1+VSt)</f>
        <v>0</v>
      </c>
      <c r="AV45" s="10">
        <f>+Rentabilitätsvorschau!AV44*(1+VSt)</f>
        <v>0</v>
      </c>
      <c r="AW45" s="10">
        <f>+Rentabilitätsvorschau!AW44*(1+VSt)</f>
        <v>0</v>
      </c>
      <c r="AX45" s="10">
        <f>+Rentabilitätsvorschau!AX44*(1+VSt)</f>
        <v>0</v>
      </c>
      <c r="AY45" s="10">
        <f>+Rentabilitätsvorschau!AY44*(1+VSt)</f>
        <v>0</v>
      </c>
      <c r="AZ45" s="10">
        <f>+Rentabilitätsvorschau!AZ44*(1+VSt)</f>
        <v>0</v>
      </c>
      <c r="BA45" s="10">
        <f>+Rentabilitätsvorschau!BA44*(1+VSt)</f>
        <v>0</v>
      </c>
      <c r="BB45" s="10">
        <f>+Rentabilitätsvorschau!BB44*(1+VSt)</f>
        <v>0</v>
      </c>
      <c r="BC45" s="26">
        <f t="shared" si="10"/>
        <v>0</v>
      </c>
    </row>
    <row r="46" spans="1:55" x14ac:dyDescent="0.35">
      <c r="A46" s="8"/>
      <c r="B46" s="8" t="str">
        <f>+Rentabilitätsvorschau!B45</f>
        <v>Kosten des Geldverkehrs</v>
      </c>
      <c r="D46" s="10">
        <f>+Rentabilitätsvorschau!D45</f>
        <v>0</v>
      </c>
      <c r="E46" s="10">
        <f>+Rentabilitätsvorschau!E45</f>
        <v>0</v>
      </c>
      <c r="F46" s="10">
        <f>+Rentabilitätsvorschau!F45</f>
        <v>0</v>
      </c>
      <c r="G46" s="10">
        <f>+Rentabilitätsvorschau!G45</f>
        <v>0</v>
      </c>
      <c r="H46" s="10">
        <f>+Rentabilitätsvorschau!H45</f>
        <v>0</v>
      </c>
      <c r="I46" s="10">
        <f>+Rentabilitätsvorschau!I45</f>
        <v>0</v>
      </c>
      <c r="J46" s="10">
        <f>+Rentabilitätsvorschau!J45</f>
        <v>0</v>
      </c>
      <c r="K46" s="10">
        <f>+Rentabilitätsvorschau!K45</f>
        <v>0</v>
      </c>
      <c r="L46" s="10">
        <f>+Rentabilitätsvorschau!L45</f>
        <v>0</v>
      </c>
      <c r="M46" s="10">
        <f>+Rentabilitätsvorschau!M45</f>
        <v>20</v>
      </c>
      <c r="N46" s="10">
        <f>+Rentabilitätsvorschau!N45</f>
        <v>20</v>
      </c>
      <c r="O46" s="10">
        <f>+Rentabilitätsvorschau!O45</f>
        <v>20</v>
      </c>
      <c r="P46" s="26">
        <f>SUM(D46:O46)</f>
        <v>60</v>
      </c>
      <c r="Q46" s="10">
        <f>+Rentabilitätsvorschau!Q45</f>
        <v>20</v>
      </c>
      <c r="R46" s="10">
        <f>+Rentabilitätsvorschau!R45</f>
        <v>20</v>
      </c>
      <c r="S46" s="10">
        <f>+Rentabilitätsvorschau!S45</f>
        <v>20</v>
      </c>
      <c r="T46" s="10">
        <f>+Rentabilitätsvorschau!T45</f>
        <v>20</v>
      </c>
      <c r="U46" s="10">
        <f>+Rentabilitätsvorschau!U45</f>
        <v>20</v>
      </c>
      <c r="V46" s="10">
        <f>+Rentabilitätsvorschau!V45</f>
        <v>20</v>
      </c>
      <c r="W46" s="10">
        <f>+Rentabilitätsvorschau!W45</f>
        <v>20</v>
      </c>
      <c r="X46" s="10">
        <f>+Rentabilitätsvorschau!X45</f>
        <v>20</v>
      </c>
      <c r="Y46" s="10">
        <f>+Rentabilitätsvorschau!Y45</f>
        <v>20</v>
      </c>
      <c r="Z46" s="10">
        <f>+Rentabilitätsvorschau!Z45</f>
        <v>20</v>
      </c>
      <c r="AA46" s="10">
        <f>+Rentabilitätsvorschau!AA45</f>
        <v>20</v>
      </c>
      <c r="AB46" s="10">
        <f>+Rentabilitätsvorschau!AB45</f>
        <v>20</v>
      </c>
      <c r="AC46" s="26">
        <f t="shared" si="8"/>
        <v>240</v>
      </c>
      <c r="AD46" s="10">
        <f>+Rentabilitätsvorschau!AD45</f>
        <v>0</v>
      </c>
      <c r="AE46" s="10">
        <f>+Rentabilitätsvorschau!AE45</f>
        <v>0</v>
      </c>
      <c r="AF46" s="10">
        <f>+Rentabilitätsvorschau!AF45</f>
        <v>0</v>
      </c>
      <c r="AG46" s="10">
        <f>+Rentabilitätsvorschau!AG45</f>
        <v>0</v>
      </c>
      <c r="AH46" s="10">
        <f>+Rentabilitätsvorschau!AH45</f>
        <v>0</v>
      </c>
      <c r="AI46" s="10">
        <f>+Rentabilitätsvorschau!AI45</f>
        <v>0</v>
      </c>
      <c r="AJ46" s="10">
        <f>+Rentabilitätsvorschau!AJ45</f>
        <v>0</v>
      </c>
      <c r="AK46" s="10">
        <f>+Rentabilitätsvorschau!AK45</f>
        <v>0</v>
      </c>
      <c r="AL46" s="10">
        <f>+Rentabilitätsvorschau!AL45</f>
        <v>0</v>
      </c>
      <c r="AM46" s="10">
        <f>+Rentabilitätsvorschau!AM45</f>
        <v>0</v>
      </c>
      <c r="AN46" s="10">
        <f>+Rentabilitätsvorschau!AN45</f>
        <v>0</v>
      </c>
      <c r="AO46" s="10">
        <f>+Rentabilitätsvorschau!AO45</f>
        <v>0</v>
      </c>
      <c r="AP46" s="26">
        <f t="shared" si="9"/>
        <v>0</v>
      </c>
      <c r="AQ46" s="10">
        <f>+Rentabilitätsvorschau!AQ45</f>
        <v>0</v>
      </c>
      <c r="AR46" s="10">
        <f>+Rentabilitätsvorschau!AR45</f>
        <v>0</v>
      </c>
      <c r="AS46" s="10">
        <f>+Rentabilitätsvorschau!AS45</f>
        <v>0</v>
      </c>
      <c r="AT46" s="10">
        <f>+Rentabilitätsvorschau!AT45</f>
        <v>0</v>
      </c>
      <c r="AU46" s="10">
        <f>+Rentabilitätsvorschau!AU45</f>
        <v>0</v>
      </c>
      <c r="AV46" s="10">
        <f>+Rentabilitätsvorschau!AV45</f>
        <v>0</v>
      </c>
      <c r="AW46" s="10">
        <f>+Rentabilitätsvorschau!AW45</f>
        <v>0</v>
      </c>
      <c r="AX46" s="10">
        <f>+Rentabilitätsvorschau!AX45</f>
        <v>0</v>
      </c>
      <c r="AY46" s="10">
        <f>+Rentabilitätsvorschau!AY45</f>
        <v>0</v>
      </c>
      <c r="AZ46" s="10">
        <f>+Rentabilitätsvorschau!AZ45</f>
        <v>0</v>
      </c>
      <c r="BA46" s="10">
        <f>+Rentabilitätsvorschau!BA45</f>
        <v>0</v>
      </c>
      <c r="BB46" s="10">
        <f>+Rentabilitätsvorschau!BB45</f>
        <v>0</v>
      </c>
      <c r="BC46" s="26">
        <f t="shared" si="10"/>
        <v>0</v>
      </c>
    </row>
    <row r="47" spans="1:55" x14ac:dyDescent="0.35">
      <c r="A47" s="8"/>
      <c r="B47" s="8" t="str">
        <f>+Rentabilitätsvorschau!B46</f>
        <v>Andere betriebliche Aufwendungen</v>
      </c>
      <c r="D47" s="10">
        <f>+Rentabilitätsvorschau!D46*(1+VSteins)</f>
        <v>0</v>
      </c>
      <c r="E47" s="10">
        <f>+Rentabilitätsvorschau!E46*(1+VSteins)</f>
        <v>0</v>
      </c>
      <c r="F47" s="10">
        <f>+Rentabilitätsvorschau!F46*(1+VSteins)</f>
        <v>0</v>
      </c>
      <c r="G47" s="10">
        <f>+Rentabilitätsvorschau!G46*(1+VSteins)</f>
        <v>0</v>
      </c>
      <c r="H47" s="10">
        <f>+Rentabilitätsvorschau!H46*(1+VSteins)</f>
        <v>0</v>
      </c>
      <c r="I47" s="10">
        <f>+Rentabilitätsvorschau!I46*(1+VSteins)</f>
        <v>0</v>
      </c>
      <c r="J47" s="10">
        <f>+Rentabilitätsvorschau!J46*(1+VSteins)</f>
        <v>0</v>
      </c>
      <c r="K47" s="10">
        <f>+Rentabilitätsvorschau!K46*(1+VSteins)</f>
        <v>0</v>
      </c>
      <c r="L47" s="10">
        <f>+Rentabilitätsvorschau!L46*(1+VSteins)</f>
        <v>0</v>
      </c>
      <c r="M47" s="10">
        <f>+Rentabilitätsvorschau!M46*(1+VSteins)</f>
        <v>0</v>
      </c>
      <c r="N47" s="10">
        <f>+Rentabilitätsvorschau!N46*(1+VSteins)</f>
        <v>0</v>
      </c>
      <c r="O47" s="10">
        <f>+Rentabilitätsvorschau!O46*(1+VSteins)</f>
        <v>0</v>
      </c>
      <c r="P47" s="26">
        <f>SUM(D47:O47)</f>
        <v>0</v>
      </c>
      <c r="Q47" s="10">
        <f>+Rentabilitätsvorschau!Q46*(1+VSt)</f>
        <v>0</v>
      </c>
      <c r="R47" s="10">
        <f>+Rentabilitätsvorschau!R46*(1+VSt)</f>
        <v>0</v>
      </c>
      <c r="S47" s="10">
        <f>+Rentabilitätsvorschau!S46*(1+VSt)</f>
        <v>0</v>
      </c>
      <c r="T47" s="10">
        <f>+Rentabilitätsvorschau!T46*(1+VSt)</f>
        <v>0</v>
      </c>
      <c r="U47" s="10">
        <f>+Rentabilitätsvorschau!U46*(1+VSt)</f>
        <v>0</v>
      </c>
      <c r="V47" s="10">
        <f>+Rentabilitätsvorschau!V46*(1+VSt)</f>
        <v>0</v>
      </c>
      <c r="W47" s="10">
        <f>+Rentabilitätsvorschau!W46*(1+VSt)</f>
        <v>0</v>
      </c>
      <c r="X47" s="10">
        <f>+Rentabilitätsvorschau!X46*(1+VSt)</f>
        <v>0</v>
      </c>
      <c r="Y47" s="10">
        <f>+Rentabilitätsvorschau!Y46*(1+VSt)</f>
        <v>0</v>
      </c>
      <c r="Z47" s="10">
        <f>+Rentabilitätsvorschau!Z46*(1+VSt)</f>
        <v>0</v>
      </c>
      <c r="AA47" s="10">
        <f>+Rentabilitätsvorschau!AA46*(1+VSt)</f>
        <v>0</v>
      </c>
      <c r="AB47" s="10">
        <f>+Rentabilitätsvorschau!AB46*(1+VSt)</f>
        <v>0</v>
      </c>
      <c r="AC47" s="26">
        <f>SUM(Q47:AB47)</f>
        <v>0</v>
      </c>
      <c r="AD47" s="10">
        <f>+Rentabilitätsvorschau!AD46*(1+VSt)</f>
        <v>0</v>
      </c>
      <c r="AE47" s="10">
        <f>+Rentabilitätsvorschau!AE46*(1+VSt)</f>
        <v>0</v>
      </c>
      <c r="AF47" s="10">
        <f>+Rentabilitätsvorschau!AF46*(1+VSt)</f>
        <v>0</v>
      </c>
      <c r="AG47" s="10">
        <f>+Rentabilitätsvorschau!AG46*(1+VSt)</f>
        <v>0</v>
      </c>
      <c r="AH47" s="10">
        <f>+Rentabilitätsvorschau!AH46*(1+VSt)</f>
        <v>0</v>
      </c>
      <c r="AI47" s="10">
        <f>+Rentabilitätsvorschau!AI46*(1+VSt)</f>
        <v>0</v>
      </c>
      <c r="AJ47" s="10">
        <f>+Rentabilitätsvorschau!AJ46*(1+VSt)</f>
        <v>0</v>
      </c>
      <c r="AK47" s="10">
        <f>+Rentabilitätsvorschau!AK46*(1+VSt)</f>
        <v>0</v>
      </c>
      <c r="AL47" s="10">
        <f>+Rentabilitätsvorschau!AL46*(1+VSt)</f>
        <v>0</v>
      </c>
      <c r="AM47" s="10">
        <f>+Rentabilitätsvorschau!AM46*(1+VSt)</f>
        <v>0</v>
      </c>
      <c r="AN47" s="10">
        <f>+Rentabilitätsvorschau!AN46*(1+VSt)</f>
        <v>0</v>
      </c>
      <c r="AO47" s="10">
        <f>+Rentabilitätsvorschau!AO46*(1+VSt)</f>
        <v>0</v>
      </c>
      <c r="AP47" s="26">
        <f>SUM(AD47:AO47)</f>
        <v>0</v>
      </c>
      <c r="AQ47" s="10">
        <f>+Rentabilitätsvorschau!AQ46*(1+VSt)</f>
        <v>0</v>
      </c>
      <c r="AR47" s="10">
        <f>+Rentabilitätsvorschau!AR46*(1+VSt)</f>
        <v>0</v>
      </c>
      <c r="AS47" s="10">
        <f>+Rentabilitätsvorschau!AS46*(1+VSt)</f>
        <v>0</v>
      </c>
      <c r="AT47" s="10">
        <f>+Rentabilitätsvorschau!AT46*(1+VSt)</f>
        <v>0</v>
      </c>
      <c r="AU47" s="10">
        <f>+Rentabilitätsvorschau!AU46*(1+VSt)</f>
        <v>0</v>
      </c>
      <c r="AV47" s="10">
        <f>+Rentabilitätsvorschau!AV46*(1+VSt)</f>
        <v>0</v>
      </c>
      <c r="AW47" s="10">
        <f>+Rentabilitätsvorschau!AW46*(1+VSt)</f>
        <v>0</v>
      </c>
      <c r="AX47" s="10">
        <f>+Rentabilitätsvorschau!AX46*(1+VSt)</f>
        <v>0</v>
      </c>
      <c r="AY47" s="10">
        <f>+Rentabilitätsvorschau!AY46*(1+VSt)</f>
        <v>0</v>
      </c>
      <c r="AZ47" s="10">
        <f>+Rentabilitätsvorschau!AZ46*(1+VSt)</f>
        <v>0</v>
      </c>
      <c r="BA47" s="10">
        <f>+Rentabilitätsvorschau!BA46*(1+VSt)</f>
        <v>0</v>
      </c>
      <c r="BB47" s="10">
        <f>+Rentabilitätsvorschau!BB46*(1+VSt)</f>
        <v>0</v>
      </c>
      <c r="BC47" s="26">
        <f>SUM(AQ47:BB47)</f>
        <v>0</v>
      </c>
    </row>
    <row r="48" spans="1:55" x14ac:dyDescent="0.35">
      <c r="A48" s="9" t="str">
        <f>+Rentabilitätsvorschau!A47</f>
        <v>Summe betrieblicher Aufwendungen</v>
      </c>
      <c r="B48" s="9"/>
      <c r="C48" s="9"/>
      <c r="D48" s="20">
        <f t="shared" ref="D48:AI48" si="13">SUM(D15:D47)</f>
        <v>0</v>
      </c>
      <c r="E48" s="20">
        <f t="shared" si="13"/>
        <v>0</v>
      </c>
      <c r="F48" s="20">
        <f t="shared" si="13"/>
        <v>0</v>
      </c>
      <c r="G48" s="20">
        <f t="shared" si="13"/>
        <v>0</v>
      </c>
      <c r="H48" s="20">
        <f t="shared" si="13"/>
        <v>0</v>
      </c>
      <c r="I48" s="20">
        <f t="shared" si="13"/>
        <v>0</v>
      </c>
      <c r="J48" s="20">
        <f t="shared" si="13"/>
        <v>0</v>
      </c>
      <c r="K48" s="20">
        <f t="shared" si="13"/>
        <v>0</v>
      </c>
      <c r="L48" s="20">
        <f t="shared" si="13"/>
        <v>0</v>
      </c>
      <c r="M48" s="20">
        <f t="shared" si="13"/>
        <v>1736.7</v>
      </c>
      <c r="N48" s="20">
        <f t="shared" si="13"/>
        <v>1736.7</v>
      </c>
      <c r="O48" s="20">
        <f t="shared" si="13"/>
        <v>1736.7</v>
      </c>
      <c r="P48" s="20">
        <f t="shared" si="13"/>
        <v>5210.1000000000004</v>
      </c>
      <c r="Q48" s="20">
        <f t="shared" si="13"/>
        <v>2456.6999999999998</v>
      </c>
      <c r="R48" s="20">
        <f t="shared" si="13"/>
        <v>2456.6999999999998</v>
      </c>
      <c r="S48" s="20">
        <f t="shared" si="13"/>
        <v>2456.6999999999998</v>
      </c>
      <c r="T48" s="20">
        <f t="shared" si="13"/>
        <v>2456.6999999999998</v>
      </c>
      <c r="U48" s="20">
        <f t="shared" si="13"/>
        <v>2456.6999999999998</v>
      </c>
      <c r="V48" s="20">
        <f t="shared" si="13"/>
        <v>2456.6999999999998</v>
      </c>
      <c r="W48" s="20">
        <f t="shared" si="13"/>
        <v>2456.6999999999998</v>
      </c>
      <c r="X48" s="20">
        <f t="shared" si="13"/>
        <v>2456.6999999999998</v>
      </c>
      <c r="Y48" s="20">
        <f t="shared" si="13"/>
        <v>2456.6999999999998</v>
      </c>
      <c r="Z48" s="20">
        <f t="shared" si="13"/>
        <v>2456.6999999999998</v>
      </c>
      <c r="AA48" s="20">
        <f t="shared" si="13"/>
        <v>2456.6999999999998</v>
      </c>
      <c r="AB48" s="20">
        <f t="shared" si="13"/>
        <v>2456.6999999999998</v>
      </c>
      <c r="AC48" s="20">
        <f t="shared" si="13"/>
        <v>29480.400000000001</v>
      </c>
      <c r="AD48" s="20">
        <f t="shared" si="13"/>
        <v>0</v>
      </c>
      <c r="AE48" s="20">
        <f t="shared" si="13"/>
        <v>0</v>
      </c>
      <c r="AF48" s="20">
        <f t="shared" si="13"/>
        <v>0</v>
      </c>
      <c r="AG48" s="20">
        <f t="shared" si="13"/>
        <v>0</v>
      </c>
      <c r="AH48" s="20">
        <f t="shared" si="13"/>
        <v>0</v>
      </c>
      <c r="AI48" s="20">
        <f t="shared" si="13"/>
        <v>0</v>
      </c>
      <c r="AJ48" s="20">
        <f t="shared" ref="AJ48:BC48" si="14">SUM(AJ15:AJ47)</f>
        <v>0</v>
      </c>
      <c r="AK48" s="20">
        <f t="shared" si="14"/>
        <v>0</v>
      </c>
      <c r="AL48" s="20">
        <f t="shared" si="14"/>
        <v>0</v>
      </c>
      <c r="AM48" s="20">
        <f t="shared" si="14"/>
        <v>0</v>
      </c>
      <c r="AN48" s="20">
        <f t="shared" si="14"/>
        <v>0</v>
      </c>
      <c r="AO48" s="20">
        <f t="shared" si="14"/>
        <v>0</v>
      </c>
      <c r="AP48" s="20">
        <f t="shared" si="14"/>
        <v>0</v>
      </c>
      <c r="AQ48" s="20">
        <f t="shared" si="14"/>
        <v>0</v>
      </c>
      <c r="AR48" s="20">
        <f t="shared" si="14"/>
        <v>0</v>
      </c>
      <c r="AS48" s="20">
        <f t="shared" si="14"/>
        <v>0</v>
      </c>
      <c r="AT48" s="20">
        <f t="shared" si="14"/>
        <v>0</v>
      </c>
      <c r="AU48" s="20">
        <f t="shared" si="14"/>
        <v>0</v>
      </c>
      <c r="AV48" s="20">
        <f t="shared" si="14"/>
        <v>0</v>
      </c>
      <c r="AW48" s="20">
        <f t="shared" si="14"/>
        <v>0</v>
      </c>
      <c r="AX48" s="20">
        <f t="shared" si="14"/>
        <v>0</v>
      </c>
      <c r="AY48" s="20">
        <f t="shared" si="14"/>
        <v>0</v>
      </c>
      <c r="AZ48" s="20">
        <f t="shared" si="14"/>
        <v>0</v>
      </c>
      <c r="BA48" s="20">
        <f t="shared" si="14"/>
        <v>0</v>
      </c>
      <c r="BB48" s="20">
        <f t="shared" si="14"/>
        <v>0</v>
      </c>
      <c r="BC48" s="20">
        <f t="shared" si="14"/>
        <v>0</v>
      </c>
    </row>
    <row r="49" spans="1:55" x14ac:dyDescent="0.35">
      <c r="A49" s="9" t="str">
        <f>+Rentabilitätsvorschau!A48</f>
        <v>Betriebsergebnis</v>
      </c>
      <c r="B49" s="9"/>
      <c r="C49" s="9"/>
      <c r="D49" s="20">
        <f t="shared" ref="D49:AI49" si="15">+D14-D48</f>
        <v>0</v>
      </c>
      <c r="E49" s="20">
        <f t="shared" si="15"/>
        <v>0</v>
      </c>
      <c r="F49" s="20">
        <f t="shared" si="15"/>
        <v>0</v>
      </c>
      <c r="G49" s="20">
        <f t="shared" si="15"/>
        <v>0</v>
      </c>
      <c r="H49" s="20">
        <f t="shared" si="15"/>
        <v>0</v>
      </c>
      <c r="I49" s="20">
        <f t="shared" si="15"/>
        <v>0</v>
      </c>
      <c r="J49" s="20">
        <f t="shared" si="15"/>
        <v>0</v>
      </c>
      <c r="K49" s="20">
        <f t="shared" si="15"/>
        <v>0</v>
      </c>
      <c r="L49" s="20">
        <f t="shared" si="15"/>
        <v>0</v>
      </c>
      <c r="M49" s="20">
        <f t="shared" si="15"/>
        <v>-1736.7</v>
      </c>
      <c r="N49" s="20">
        <f t="shared" si="15"/>
        <v>14923.3</v>
      </c>
      <c r="O49" s="20">
        <f t="shared" si="15"/>
        <v>-1736.7</v>
      </c>
      <c r="P49" s="20">
        <f t="shared" si="15"/>
        <v>11449.9</v>
      </c>
      <c r="Q49" s="20">
        <f t="shared" si="15"/>
        <v>18963.3</v>
      </c>
      <c r="R49" s="20">
        <f t="shared" si="15"/>
        <v>-2456.6999999999998</v>
      </c>
      <c r="S49" s="20">
        <f t="shared" si="15"/>
        <v>-2456.6999999999998</v>
      </c>
      <c r="T49" s="20">
        <f t="shared" si="15"/>
        <v>-2456.6999999999998</v>
      </c>
      <c r="U49" s="20">
        <f t="shared" si="15"/>
        <v>-2456.6999999999998</v>
      </c>
      <c r="V49" s="20">
        <f t="shared" si="15"/>
        <v>-2456.6999999999998</v>
      </c>
      <c r="W49" s="20">
        <f t="shared" si="15"/>
        <v>-2456.6999999999998</v>
      </c>
      <c r="X49" s="20">
        <f t="shared" si="15"/>
        <v>-2456.6999999999998</v>
      </c>
      <c r="Y49" s="20">
        <f t="shared" si="15"/>
        <v>-2456.6999999999998</v>
      </c>
      <c r="Z49" s="20">
        <f t="shared" si="15"/>
        <v>-2456.6999999999998</v>
      </c>
      <c r="AA49" s="20">
        <f t="shared" si="15"/>
        <v>-2456.6999999999998</v>
      </c>
      <c r="AB49" s="20">
        <f t="shared" si="15"/>
        <v>-2456.6999999999998</v>
      </c>
      <c r="AC49" s="20">
        <f t="shared" si="15"/>
        <v>-8060.4000000000015</v>
      </c>
      <c r="AD49" s="20">
        <f t="shared" si="15"/>
        <v>0</v>
      </c>
      <c r="AE49" s="20">
        <f t="shared" si="15"/>
        <v>0</v>
      </c>
      <c r="AF49" s="20">
        <f t="shared" si="15"/>
        <v>0</v>
      </c>
      <c r="AG49" s="20">
        <f t="shared" si="15"/>
        <v>0</v>
      </c>
      <c r="AH49" s="20">
        <f t="shared" si="15"/>
        <v>0</v>
      </c>
      <c r="AI49" s="20">
        <f t="shared" si="15"/>
        <v>0</v>
      </c>
      <c r="AJ49" s="20">
        <f t="shared" ref="AJ49:BC49" si="16">+AJ14-AJ48</f>
        <v>0</v>
      </c>
      <c r="AK49" s="20">
        <f t="shared" si="16"/>
        <v>0</v>
      </c>
      <c r="AL49" s="20">
        <f t="shared" si="16"/>
        <v>0</v>
      </c>
      <c r="AM49" s="20">
        <f t="shared" si="16"/>
        <v>0</v>
      </c>
      <c r="AN49" s="20">
        <f t="shared" si="16"/>
        <v>0</v>
      </c>
      <c r="AO49" s="20">
        <f t="shared" si="16"/>
        <v>0</v>
      </c>
      <c r="AP49" s="20">
        <f t="shared" si="16"/>
        <v>0</v>
      </c>
      <c r="AQ49" s="20">
        <f t="shared" si="16"/>
        <v>0</v>
      </c>
      <c r="AR49" s="20">
        <f t="shared" si="16"/>
        <v>0</v>
      </c>
      <c r="AS49" s="20">
        <f t="shared" si="16"/>
        <v>0</v>
      </c>
      <c r="AT49" s="20">
        <f t="shared" si="16"/>
        <v>0</v>
      </c>
      <c r="AU49" s="20">
        <f t="shared" si="16"/>
        <v>0</v>
      </c>
      <c r="AV49" s="20">
        <f t="shared" si="16"/>
        <v>0</v>
      </c>
      <c r="AW49" s="20">
        <f t="shared" si="16"/>
        <v>0</v>
      </c>
      <c r="AX49" s="20">
        <f t="shared" si="16"/>
        <v>0</v>
      </c>
      <c r="AY49" s="20">
        <f t="shared" si="16"/>
        <v>0</v>
      </c>
      <c r="AZ49" s="20">
        <f t="shared" si="16"/>
        <v>0</v>
      </c>
      <c r="BA49" s="20">
        <f t="shared" si="16"/>
        <v>0</v>
      </c>
      <c r="BB49" s="20">
        <f t="shared" si="16"/>
        <v>0</v>
      </c>
      <c r="BC49" s="20">
        <f t="shared" si="16"/>
        <v>0</v>
      </c>
    </row>
    <row r="50" spans="1:55" x14ac:dyDescent="0.35">
      <c r="A50" s="8" t="s">
        <v>122</v>
      </c>
      <c r="D50" s="10">
        <f>+Rentabilitätsvorschau!D49</f>
        <v>0</v>
      </c>
      <c r="E50" s="10">
        <f>+Rentabilitätsvorschau!E49</f>
        <v>0</v>
      </c>
      <c r="F50" s="10">
        <f>+Rentabilitätsvorschau!F49</f>
        <v>0</v>
      </c>
      <c r="G50" s="10">
        <f>+Rentabilitätsvorschau!G49</f>
        <v>0</v>
      </c>
      <c r="H50" s="10">
        <f>+Rentabilitätsvorschau!H49</f>
        <v>0</v>
      </c>
      <c r="I50" s="10">
        <f>+Rentabilitätsvorschau!I49</f>
        <v>0</v>
      </c>
      <c r="J50" s="10">
        <f>+Rentabilitätsvorschau!J49</f>
        <v>0</v>
      </c>
      <c r="K50" s="10">
        <f>+Rentabilitätsvorschau!K49</f>
        <v>0</v>
      </c>
      <c r="L50" s="10">
        <f>+Rentabilitätsvorschau!L49</f>
        <v>0</v>
      </c>
      <c r="M50" s="10">
        <f>+Rentabilitätsvorschau!M49</f>
        <v>0</v>
      </c>
      <c r="N50" s="10">
        <f>+Rentabilitätsvorschau!N49</f>
        <v>0</v>
      </c>
      <c r="O50" s="10">
        <f>+Rentabilitätsvorschau!O49</f>
        <v>0</v>
      </c>
      <c r="P50" s="26">
        <f>SUM(D50:O50)</f>
        <v>0</v>
      </c>
      <c r="Q50" s="10">
        <f>+Rentabilitätsvorschau!Q49</f>
        <v>0</v>
      </c>
      <c r="R50" s="10">
        <f>+Rentabilitätsvorschau!R49</f>
        <v>0</v>
      </c>
      <c r="S50" s="10">
        <f>+Rentabilitätsvorschau!S49</f>
        <v>0</v>
      </c>
      <c r="T50" s="10">
        <f>+Rentabilitätsvorschau!T49</f>
        <v>0</v>
      </c>
      <c r="U50" s="10">
        <f>+Rentabilitätsvorschau!U49</f>
        <v>0</v>
      </c>
      <c r="V50" s="10">
        <f>+Rentabilitätsvorschau!V49</f>
        <v>0</v>
      </c>
      <c r="W50" s="10">
        <f>+Rentabilitätsvorschau!W49</f>
        <v>0</v>
      </c>
      <c r="X50" s="10">
        <f>+Rentabilitätsvorschau!X49</f>
        <v>0</v>
      </c>
      <c r="Y50" s="10">
        <f>+Rentabilitätsvorschau!Y49</f>
        <v>0</v>
      </c>
      <c r="Z50" s="10">
        <f>+Rentabilitätsvorschau!Z49</f>
        <v>0</v>
      </c>
      <c r="AA50" s="10">
        <f>+Rentabilitätsvorschau!AA49</f>
        <v>0</v>
      </c>
      <c r="AB50" s="10">
        <f>+Rentabilitätsvorschau!AB49</f>
        <v>0</v>
      </c>
      <c r="AC50" s="26">
        <f>SUM(Q50:AB50)</f>
        <v>0</v>
      </c>
      <c r="AD50" s="10">
        <f>+Rentabilitätsvorschau!AD49</f>
        <v>0</v>
      </c>
      <c r="AE50" s="10">
        <f>+Rentabilitätsvorschau!AE49</f>
        <v>0</v>
      </c>
      <c r="AF50" s="10">
        <f>+Rentabilitätsvorschau!AF49</f>
        <v>0</v>
      </c>
      <c r="AG50" s="10">
        <f>+Rentabilitätsvorschau!AG49</f>
        <v>0</v>
      </c>
      <c r="AH50" s="10">
        <f>+Rentabilitätsvorschau!AH49</f>
        <v>0</v>
      </c>
      <c r="AI50" s="10">
        <f>+Rentabilitätsvorschau!AI49</f>
        <v>0</v>
      </c>
      <c r="AJ50" s="10">
        <f>+Rentabilitätsvorschau!AJ49</f>
        <v>0</v>
      </c>
      <c r="AK50" s="10">
        <f>+Rentabilitätsvorschau!AK49</f>
        <v>0</v>
      </c>
      <c r="AL50" s="10">
        <f>+Rentabilitätsvorschau!AL49</f>
        <v>0</v>
      </c>
      <c r="AM50" s="10">
        <f>+Rentabilitätsvorschau!AM49</f>
        <v>0</v>
      </c>
      <c r="AN50" s="10">
        <f>+Rentabilitätsvorschau!AN49</f>
        <v>0</v>
      </c>
      <c r="AO50" s="10">
        <f>+Rentabilitätsvorschau!AO49</f>
        <v>0</v>
      </c>
      <c r="AP50" s="26">
        <f>SUM(AD50:AO50)</f>
        <v>0</v>
      </c>
      <c r="AQ50" s="10">
        <f>+Rentabilitätsvorschau!AQ49</f>
        <v>0</v>
      </c>
      <c r="AR50" s="10">
        <f>+Rentabilitätsvorschau!AR49</f>
        <v>0</v>
      </c>
      <c r="AS50" s="10">
        <f>+Rentabilitätsvorschau!AS49</f>
        <v>0</v>
      </c>
      <c r="AT50" s="10">
        <f>+Rentabilitätsvorschau!AT49</f>
        <v>0</v>
      </c>
      <c r="AU50" s="10">
        <f>+Rentabilitätsvorschau!AU49</f>
        <v>0</v>
      </c>
      <c r="AV50" s="10">
        <f>+Rentabilitätsvorschau!AV49</f>
        <v>0</v>
      </c>
      <c r="AW50" s="10">
        <f>+Rentabilitätsvorschau!AW49</f>
        <v>0</v>
      </c>
      <c r="AX50" s="10">
        <f>+Rentabilitätsvorschau!AX49</f>
        <v>0</v>
      </c>
      <c r="AY50" s="10">
        <f>+Rentabilitätsvorschau!AY49</f>
        <v>0</v>
      </c>
      <c r="AZ50" s="10">
        <f>+Rentabilitätsvorschau!AZ49</f>
        <v>0</v>
      </c>
      <c r="BA50" s="10">
        <f>+Rentabilitätsvorschau!BA49</f>
        <v>0</v>
      </c>
      <c r="BB50" s="10">
        <f>+Rentabilitätsvorschau!BB49</f>
        <v>0</v>
      </c>
      <c r="BC50" s="26">
        <f>SUM(AQ50:BB50)</f>
        <v>0</v>
      </c>
    </row>
    <row r="51" spans="1:55" x14ac:dyDescent="0.35">
      <c r="A51" s="9" t="str">
        <f>+Rentabilitätsvorschau!A50</f>
        <v>Gewinn/Verlust vor Steuern</v>
      </c>
      <c r="B51" s="9"/>
      <c r="C51" s="9"/>
      <c r="D51" s="20">
        <f t="shared" ref="D51:Q51" si="17">+D49-D50</f>
        <v>0</v>
      </c>
      <c r="E51" s="20">
        <f t="shared" si="17"/>
        <v>0</v>
      </c>
      <c r="F51" s="20">
        <f t="shared" si="17"/>
        <v>0</v>
      </c>
      <c r="G51" s="20">
        <f t="shared" si="17"/>
        <v>0</v>
      </c>
      <c r="H51" s="20">
        <f t="shared" si="17"/>
        <v>0</v>
      </c>
      <c r="I51" s="20">
        <f t="shared" si="17"/>
        <v>0</v>
      </c>
      <c r="J51" s="20">
        <f t="shared" si="17"/>
        <v>0</v>
      </c>
      <c r="K51" s="20">
        <f t="shared" si="17"/>
        <v>0</v>
      </c>
      <c r="L51" s="20">
        <f t="shared" si="17"/>
        <v>0</v>
      </c>
      <c r="M51" s="20">
        <f t="shared" si="17"/>
        <v>-1736.7</v>
      </c>
      <c r="N51" s="20">
        <f t="shared" si="17"/>
        <v>14923.3</v>
      </c>
      <c r="O51" s="20">
        <f t="shared" si="17"/>
        <v>-1736.7</v>
      </c>
      <c r="P51" s="20">
        <f t="shared" si="17"/>
        <v>11449.9</v>
      </c>
      <c r="Q51" s="20">
        <f t="shared" si="17"/>
        <v>18963.3</v>
      </c>
      <c r="R51" s="20">
        <f t="shared" ref="R51:AC51" si="18">+R49-R50</f>
        <v>-2456.6999999999998</v>
      </c>
      <c r="S51" s="20">
        <f t="shared" si="18"/>
        <v>-2456.6999999999998</v>
      </c>
      <c r="T51" s="20">
        <f t="shared" si="18"/>
        <v>-2456.6999999999998</v>
      </c>
      <c r="U51" s="20">
        <f t="shared" si="18"/>
        <v>-2456.6999999999998</v>
      </c>
      <c r="V51" s="20">
        <f t="shared" si="18"/>
        <v>-2456.6999999999998</v>
      </c>
      <c r="W51" s="20">
        <f t="shared" si="18"/>
        <v>-2456.6999999999998</v>
      </c>
      <c r="X51" s="20">
        <f t="shared" si="18"/>
        <v>-2456.6999999999998</v>
      </c>
      <c r="Y51" s="20">
        <f t="shared" si="18"/>
        <v>-2456.6999999999998</v>
      </c>
      <c r="Z51" s="20">
        <f t="shared" si="18"/>
        <v>-2456.6999999999998</v>
      </c>
      <c r="AA51" s="20">
        <f t="shared" si="18"/>
        <v>-2456.6999999999998</v>
      </c>
      <c r="AB51" s="20">
        <f t="shared" si="18"/>
        <v>-2456.6999999999998</v>
      </c>
      <c r="AC51" s="20">
        <f t="shared" si="18"/>
        <v>-8060.4000000000015</v>
      </c>
      <c r="AD51" s="20">
        <f t="shared" ref="AD51:BC51" si="19">+AD49-AD50</f>
        <v>0</v>
      </c>
      <c r="AE51" s="20">
        <f t="shared" si="19"/>
        <v>0</v>
      </c>
      <c r="AF51" s="20">
        <f t="shared" si="19"/>
        <v>0</v>
      </c>
      <c r="AG51" s="20">
        <f t="shared" si="19"/>
        <v>0</v>
      </c>
      <c r="AH51" s="20">
        <f t="shared" si="19"/>
        <v>0</v>
      </c>
      <c r="AI51" s="20">
        <f t="shared" si="19"/>
        <v>0</v>
      </c>
      <c r="AJ51" s="20">
        <f t="shared" si="19"/>
        <v>0</v>
      </c>
      <c r="AK51" s="20">
        <f t="shared" si="19"/>
        <v>0</v>
      </c>
      <c r="AL51" s="20">
        <f t="shared" si="19"/>
        <v>0</v>
      </c>
      <c r="AM51" s="20">
        <f t="shared" si="19"/>
        <v>0</v>
      </c>
      <c r="AN51" s="20">
        <f t="shared" si="19"/>
        <v>0</v>
      </c>
      <c r="AO51" s="20">
        <f t="shared" si="19"/>
        <v>0</v>
      </c>
      <c r="AP51" s="20">
        <f t="shared" si="19"/>
        <v>0</v>
      </c>
      <c r="AQ51" s="20">
        <f t="shared" si="19"/>
        <v>0</v>
      </c>
      <c r="AR51" s="20">
        <f t="shared" si="19"/>
        <v>0</v>
      </c>
      <c r="AS51" s="20">
        <f t="shared" si="19"/>
        <v>0</v>
      </c>
      <c r="AT51" s="20">
        <f t="shared" si="19"/>
        <v>0</v>
      </c>
      <c r="AU51" s="20">
        <f t="shared" si="19"/>
        <v>0</v>
      </c>
      <c r="AV51" s="20">
        <f t="shared" si="19"/>
        <v>0</v>
      </c>
      <c r="AW51" s="20">
        <f t="shared" si="19"/>
        <v>0</v>
      </c>
      <c r="AX51" s="20">
        <f t="shared" si="19"/>
        <v>0</v>
      </c>
      <c r="AY51" s="20">
        <f t="shared" si="19"/>
        <v>0</v>
      </c>
      <c r="AZ51" s="20">
        <f t="shared" si="19"/>
        <v>0</v>
      </c>
      <c r="BA51" s="20">
        <f t="shared" si="19"/>
        <v>0</v>
      </c>
      <c r="BB51" s="20">
        <f t="shared" si="19"/>
        <v>0</v>
      </c>
      <c r="BC51" s="20">
        <f t="shared" si="19"/>
        <v>0</v>
      </c>
    </row>
    <row r="52" spans="1:55" x14ac:dyDescent="0.35">
      <c r="A52" s="8" t="str">
        <f>+Rentabilitätsvorschau!A51</f>
        <v>Sonstige Steuern (betrieblich)</v>
      </c>
      <c r="D52" s="10">
        <f>+Rentabilitätsvorschau!D51</f>
        <v>0</v>
      </c>
      <c r="E52" s="10">
        <f>+Rentabilitätsvorschau!E51</f>
        <v>0</v>
      </c>
      <c r="F52" s="10">
        <f>+Rentabilitätsvorschau!F51</f>
        <v>0</v>
      </c>
      <c r="G52" s="10">
        <f>+Rentabilitätsvorschau!G51</f>
        <v>0</v>
      </c>
      <c r="H52" s="10">
        <f>+Rentabilitätsvorschau!H51</f>
        <v>0</v>
      </c>
      <c r="I52" s="10">
        <f>+Rentabilitätsvorschau!I51</f>
        <v>0</v>
      </c>
      <c r="J52" s="10">
        <f>+Rentabilitätsvorschau!J51</f>
        <v>0</v>
      </c>
      <c r="K52" s="10">
        <f>+Rentabilitätsvorschau!K51</f>
        <v>0</v>
      </c>
      <c r="L52" s="10">
        <f>+Rentabilitätsvorschau!L51</f>
        <v>0</v>
      </c>
      <c r="M52" s="10">
        <f>+Rentabilitätsvorschau!M51</f>
        <v>0</v>
      </c>
      <c r="N52" s="10">
        <f>+Rentabilitätsvorschau!N51</f>
        <v>0</v>
      </c>
      <c r="O52" s="10">
        <f>+Rentabilitätsvorschau!O51</f>
        <v>0</v>
      </c>
      <c r="P52" s="26">
        <f>SUM(D52:O52)</f>
        <v>0</v>
      </c>
      <c r="Q52" s="10">
        <f>+Rentabilitätsvorschau!Q51</f>
        <v>0</v>
      </c>
      <c r="R52" s="10">
        <f>+Rentabilitätsvorschau!R51</f>
        <v>0</v>
      </c>
      <c r="S52" s="10">
        <f>+Rentabilitätsvorschau!S51</f>
        <v>0</v>
      </c>
      <c r="T52" s="10">
        <f>+Rentabilitätsvorschau!T51</f>
        <v>0</v>
      </c>
      <c r="U52" s="10">
        <f>+Rentabilitätsvorschau!U51</f>
        <v>0</v>
      </c>
      <c r="V52" s="10">
        <f>+Rentabilitätsvorschau!V51</f>
        <v>0</v>
      </c>
      <c r="W52" s="10">
        <f>+Rentabilitätsvorschau!W51</f>
        <v>0</v>
      </c>
      <c r="X52" s="10">
        <f>+Rentabilitätsvorschau!X51</f>
        <v>0</v>
      </c>
      <c r="Y52" s="10">
        <f>+Rentabilitätsvorschau!Y51</f>
        <v>0</v>
      </c>
      <c r="Z52" s="10">
        <f>+Rentabilitätsvorschau!Z51</f>
        <v>0</v>
      </c>
      <c r="AA52" s="10">
        <f>+Rentabilitätsvorschau!AA51</f>
        <v>0</v>
      </c>
      <c r="AB52" s="10">
        <f>+Rentabilitätsvorschau!AB51</f>
        <v>0</v>
      </c>
      <c r="AC52" s="26">
        <f>SUM(Q52:AB52)</f>
        <v>0</v>
      </c>
      <c r="AD52" s="10">
        <f>+Rentabilitätsvorschau!AD51</f>
        <v>0</v>
      </c>
      <c r="AE52" s="10">
        <f>+Rentabilitätsvorschau!AE51</f>
        <v>0</v>
      </c>
      <c r="AF52" s="10">
        <f>+Rentabilitätsvorschau!AF51</f>
        <v>0</v>
      </c>
      <c r="AG52" s="10">
        <f>+Rentabilitätsvorschau!AG51</f>
        <v>0</v>
      </c>
      <c r="AH52" s="10">
        <f>+Rentabilitätsvorschau!AH51</f>
        <v>0</v>
      </c>
      <c r="AI52" s="10">
        <f>+Rentabilitätsvorschau!AI51</f>
        <v>0</v>
      </c>
      <c r="AJ52" s="10">
        <f>+Rentabilitätsvorschau!AJ51</f>
        <v>0</v>
      </c>
      <c r="AK52" s="10">
        <f>+Rentabilitätsvorschau!AK51</f>
        <v>0</v>
      </c>
      <c r="AL52" s="10">
        <f>+Rentabilitätsvorschau!AL51</f>
        <v>0</v>
      </c>
      <c r="AM52" s="10">
        <f>+Rentabilitätsvorschau!AM51</f>
        <v>0</v>
      </c>
      <c r="AN52" s="10">
        <f>+Rentabilitätsvorschau!AN51</f>
        <v>0</v>
      </c>
      <c r="AO52" s="10">
        <f>+Rentabilitätsvorschau!AO51</f>
        <v>0</v>
      </c>
      <c r="AP52" s="26">
        <f>SUM(AD52:AO52)</f>
        <v>0</v>
      </c>
      <c r="AQ52" s="10">
        <f>+Rentabilitätsvorschau!AQ51</f>
        <v>0</v>
      </c>
      <c r="AR52" s="10">
        <f>+Rentabilitätsvorschau!AR51</f>
        <v>0</v>
      </c>
      <c r="AS52" s="10">
        <f>+Rentabilitätsvorschau!AS51</f>
        <v>0</v>
      </c>
      <c r="AT52" s="10">
        <f>+Rentabilitätsvorschau!AT51</f>
        <v>0</v>
      </c>
      <c r="AU52" s="10">
        <f>+Rentabilitätsvorschau!AU51</f>
        <v>0</v>
      </c>
      <c r="AV52" s="10">
        <f>+Rentabilitätsvorschau!AV51</f>
        <v>0</v>
      </c>
      <c r="AW52" s="10">
        <f>+Rentabilitätsvorschau!AW51</f>
        <v>0</v>
      </c>
      <c r="AX52" s="10">
        <f>+Rentabilitätsvorschau!AX51</f>
        <v>0</v>
      </c>
      <c r="AY52" s="10">
        <f>+Rentabilitätsvorschau!AY51</f>
        <v>0</v>
      </c>
      <c r="AZ52" s="10">
        <f>+Rentabilitätsvorschau!AZ51</f>
        <v>0</v>
      </c>
      <c r="BA52" s="10">
        <f>+Rentabilitätsvorschau!BA51</f>
        <v>0</v>
      </c>
      <c r="BB52" s="10">
        <f>+Rentabilitätsvorschau!BB51</f>
        <v>0</v>
      </c>
      <c r="BC52" s="26">
        <f>SUM(AQ52:BB52)</f>
        <v>0</v>
      </c>
    </row>
    <row r="53" spans="1:55" x14ac:dyDescent="0.35">
      <c r="A53" s="9" t="s">
        <v>36</v>
      </c>
      <c r="B53" s="9"/>
      <c r="C53" s="9"/>
      <c r="D53" s="20">
        <f t="shared" ref="D53:AI53" si="20">+D51-D52</f>
        <v>0</v>
      </c>
      <c r="E53" s="20">
        <f t="shared" si="20"/>
        <v>0</v>
      </c>
      <c r="F53" s="20">
        <f t="shared" si="20"/>
        <v>0</v>
      </c>
      <c r="G53" s="20">
        <f t="shared" si="20"/>
        <v>0</v>
      </c>
      <c r="H53" s="20">
        <f t="shared" si="20"/>
        <v>0</v>
      </c>
      <c r="I53" s="20">
        <f t="shared" si="20"/>
        <v>0</v>
      </c>
      <c r="J53" s="20">
        <f t="shared" si="20"/>
        <v>0</v>
      </c>
      <c r="K53" s="20">
        <f t="shared" si="20"/>
        <v>0</v>
      </c>
      <c r="L53" s="20">
        <f t="shared" si="20"/>
        <v>0</v>
      </c>
      <c r="M53" s="20">
        <f t="shared" si="20"/>
        <v>-1736.7</v>
      </c>
      <c r="N53" s="20">
        <f t="shared" si="20"/>
        <v>14923.3</v>
      </c>
      <c r="O53" s="20">
        <f t="shared" si="20"/>
        <v>-1736.7</v>
      </c>
      <c r="P53" s="20">
        <f t="shared" si="20"/>
        <v>11449.9</v>
      </c>
      <c r="Q53" s="20">
        <f t="shared" si="20"/>
        <v>18963.3</v>
      </c>
      <c r="R53" s="20">
        <f t="shared" si="20"/>
        <v>-2456.6999999999998</v>
      </c>
      <c r="S53" s="20">
        <f t="shared" si="20"/>
        <v>-2456.6999999999998</v>
      </c>
      <c r="T53" s="20">
        <f t="shared" si="20"/>
        <v>-2456.6999999999998</v>
      </c>
      <c r="U53" s="20">
        <f t="shared" si="20"/>
        <v>-2456.6999999999998</v>
      </c>
      <c r="V53" s="20">
        <f t="shared" si="20"/>
        <v>-2456.6999999999998</v>
      </c>
      <c r="W53" s="20">
        <f t="shared" si="20"/>
        <v>-2456.6999999999998</v>
      </c>
      <c r="X53" s="20">
        <f t="shared" si="20"/>
        <v>-2456.6999999999998</v>
      </c>
      <c r="Y53" s="20">
        <f t="shared" si="20"/>
        <v>-2456.6999999999998</v>
      </c>
      <c r="Z53" s="20">
        <f t="shared" si="20"/>
        <v>-2456.6999999999998</v>
      </c>
      <c r="AA53" s="20">
        <f t="shared" si="20"/>
        <v>-2456.6999999999998</v>
      </c>
      <c r="AB53" s="20">
        <f t="shared" si="20"/>
        <v>-2456.6999999999998</v>
      </c>
      <c r="AC53" s="20">
        <f t="shared" si="20"/>
        <v>-8060.4000000000015</v>
      </c>
      <c r="AD53" s="20">
        <f t="shared" si="20"/>
        <v>0</v>
      </c>
      <c r="AE53" s="20">
        <f t="shared" si="20"/>
        <v>0</v>
      </c>
      <c r="AF53" s="20">
        <f t="shared" si="20"/>
        <v>0</v>
      </c>
      <c r="AG53" s="20">
        <f t="shared" si="20"/>
        <v>0</v>
      </c>
      <c r="AH53" s="20">
        <f t="shared" si="20"/>
        <v>0</v>
      </c>
      <c r="AI53" s="20">
        <f t="shared" si="20"/>
        <v>0</v>
      </c>
      <c r="AJ53" s="20">
        <f t="shared" ref="AJ53:BC53" si="21">+AJ51-AJ52</f>
        <v>0</v>
      </c>
      <c r="AK53" s="20">
        <f t="shared" si="21"/>
        <v>0</v>
      </c>
      <c r="AL53" s="20">
        <f t="shared" si="21"/>
        <v>0</v>
      </c>
      <c r="AM53" s="20">
        <f t="shared" si="21"/>
        <v>0</v>
      </c>
      <c r="AN53" s="20">
        <f t="shared" si="21"/>
        <v>0</v>
      </c>
      <c r="AO53" s="20">
        <f t="shared" si="21"/>
        <v>0</v>
      </c>
      <c r="AP53" s="20">
        <f t="shared" si="21"/>
        <v>0</v>
      </c>
      <c r="AQ53" s="20">
        <f t="shared" si="21"/>
        <v>0</v>
      </c>
      <c r="AR53" s="20">
        <f t="shared" si="21"/>
        <v>0</v>
      </c>
      <c r="AS53" s="20">
        <f t="shared" si="21"/>
        <v>0</v>
      </c>
      <c r="AT53" s="20">
        <f t="shared" si="21"/>
        <v>0</v>
      </c>
      <c r="AU53" s="20">
        <f t="shared" si="21"/>
        <v>0</v>
      </c>
      <c r="AV53" s="20">
        <f t="shared" si="21"/>
        <v>0</v>
      </c>
      <c r="AW53" s="20">
        <f t="shared" si="21"/>
        <v>0</v>
      </c>
      <c r="AX53" s="20">
        <f t="shared" si="21"/>
        <v>0</v>
      </c>
      <c r="AY53" s="20">
        <f t="shared" si="21"/>
        <v>0</v>
      </c>
      <c r="AZ53" s="20">
        <f t="shared" si="21"/>
        <v>0</v>
      </c>
      <c r="BA53" s="20">
        <f t="shared" si="21"/>
        <v>0</v>
      </c>
      <c r="BB53" s="20">
        <f t="shared" si="21"/>
        <v>0</v>
      </c>
      <c r="BC53" s="20">
        <f t="shared" si="21"/>
        <v>0</v>
      </c>
    </row>
    <row r="54" spans="1:55" ht="21.75" customHeight="1" x14ac:dyDescent="0.35">
      <c r="A54" t="s">
        <v>80</v>
      </c>
      <c r="D54" s="68" t="s">
        <v>35</v>
      </c>
      <c r="E54" s="10">
        <f>IF('Infos vor dem Start'!$A17="x",(D4+D6-D7+D8)/(1+USteins)*USteins+D5/(1+UStermeins)*UStermeins-SUM(D10:D13)/(1+VStWEeins)*VStWEeins-(SUM(D19:D21)+SUM(D24:D34)+D37+SUM(D40:D45)+D47)/(1+VSteins)*VSteins-D39/(1+VStermeins)*VStermeins-(IF(Monat&lt;=1,(D55)/(1+VSteins)*VSteins,0)),0)</f>
        <v>0</v>
      </c>
      <c r="F54" s="10">
        <f>IF('Infos vor dem Start'!$A17="x",(E4+E6-E7+E8)/(1+USteins)*USteins+E5/(1+UStermeins)*UStermeins-SUM(E10:E13)/(1+VStWEeins)*VStWEeins-(SUM(E19:E21)+SUM(E24:E34)+E37+SUM(E40:E45)+E47)/(1+VSteins)*VSteins-E39/(1+VStermeins)*VStermeins-(IF(Monat&lt;=1,(E55)/(1+VSteins)*VSteins,0)),0)</f>
        <v>0</v>
      </c>
      <c r="G54" s="10">
        <f>IF('Infos vor dem Start'!$A17="x",(F4+F6-F7+F8)/(1+USteins)*USteins+F5/(1+UStermeins)*UStermeins-SUM(F10:F13)/(1+VStWEeins)*VStWEeins-(SUM(F19:F21)+SUM(F24:F34)+F37+SUM(F40:F45)+F47)/(1+VSteins)*VSteins-F39/(1+VStermeins)*VStermeins-(IF(Monat&lt;=1,(F55)/(1+VSteins)*VSteins,0)),0)</f>
        <v>0</v>
      </c>
      <c r="H54" s="10">
        <f>IF('Infos vor dem Start'!$A17="x",(G4+G6-G7+G8)/(1+USteins)*USteins+G5/(1+UStermeins)*UStermeins-SUM(G10:G13)/(1+VStWEeins)*VStWEeins-(SUM(G19:G21)+SUM(G24:G34)+G37+SUM(G40:G45)+G47)/(1+VSteins)*VSteins-G39/(1+VStermeins)*VStermeins-(IF(Monat&lt;=1,(G55)/(1+VSteins)*VSteins,0)),0)</f>
        <v>0</v>
      </c>
      <c r="I54" s="10">
        <f>IF('Infos vor dem Start'!$A17="x",(H4+H6-H7+H8)/(1+USteins)*USteins+H5/(1+UStermeins)*UStermeins-SUM(H10:H13)/(1+VStWEeins)*VStWEeins-(SUM(H19:H21)+SUM(H24:H34)+H37+SUM(H40:H45)+H47)/(1+VSteins)*VSteins-H39/(1+VStermeins)*VStermeins-(IF(Monat&lt;=1,(H55)/(1+VSteins)*VSteins,0)),0)</f>
        <v>0</v>
      </c>
      <c r="J54" s="10">
        <f>IF('Infos vor dem Start'!$A17="x",(I4+I6-I7+I8)/(1+USteins)*USteins+I5/(1+UStermeins)*UStermeins-SUM(I10:I13)/(1+VStWEeins)*VStWEeins-(SUM(I19:I21)+SUM(I24:I34)+I37+SUM(I40:I45)+I47)/(1+VSteins)*VSteins-I39/(1+VStermeins)*VStermeins-(IF(Monat&lt;=1,(I55)/(1+VSteins)*VSteins,0)),0)</f>
        <v>0</v>
      </c>
      <c r="K54" s="10">
        <f>IF('Infos vor dem Start'!$A17="x",(J4+J6-J7+J8)/(1+USteins)*USteins+J5/(1+UStermeins)*UStermeins-SUM(J10:J13)/(1+VStWEeins)*VStWEeins-(SUM(J19:J21)+SUM(J24:J34)+J37+SUM(J40:J45)+J47)/(1+VSteins)*VSteins-J39/(1+VStermeins)*VStermeins-(IF(Monat&lt;=1,(J55)/(1+VSteins)*VSteins,0)),0)</f>
        <v>0</v>
      </c>
      <c r="L54" s="10">
        <f>IF('Infos vor dem Start'!$A17="x",(K4+K6-K7+K8)/(1+USteins)*USteins+K5/(1+UStermeins)*UStermeins-SUM(K10:K13)/(1+VStWEeins)*VStWEeins-(SUM(K19:K21)+SUM(K24:K34)+K37+SUM(K40:K45)+K47)/(1+VSteins)*VSteins-K39/(1+VStermeins)*VStermeins-(IF(Monat&lt;=1,(K55)/(1+VSteins)*VSteins,0)),0)</f>
        <v>0</v>
      </c>
      <c r="M54" s="10">
        <f>IF('Infos vor dem Start'!$A17="x",(L4+L6-L7+L8)/(1+USteins)*USteins+L5/(1+UStermeins)*UStermeins-SUM(L10:L13)/(1+VStWEeins)*VStWEeins-(SUM(L19:L21)+SUM(L24:L34)+L37+SUM(L40:L45)+L47)/(1+VSteins)*VSteins-L39/(1+VStermeins)*VStermeins-(IF(Monat&lt;=1,(L55)/(1+VSteins)*VSteins,0)),0)</f>
        <v>0</v>
      </c>
      <c r="N54" s="10">
        <f>IF('Infos vor dem Start'!$A17="x",(M4+M6-M7+M8)/(1+USteins)*USteins+M5/(1+UStermeins)*UStermeins-SUM(M10:M13)/(1+VStWEeins)*VStWEeins-(SUM(M19:M21)+SUM(M24:M34)+M37+SUM(M40:M45)+M47)/(1+VSteins)*VSteins-M39/(1+VStermeins)*VStermeins-(IF(Monat&lt;=1,(M55)/(1+VSteins)*VSteins,0)),0)</f>
        <v>-261.7</v>
      </c>
      <c r="O54" s="10">
        <f>IF('Infos vor dem Start'!$A17="x",(N4+N6-N7+N8)/(1+USteins)*USteins+N5/(1+UStermeins)*UStermeins-SUM(N10:N13)/(1+VStWEeins)*VStWEeins-(SUM(N19:N21)+SUM(N24:N34)+N37+SUM(N40:N45)+N47)/(1+VSteins)*VSteins-N39/(1+VStermeins)*VStermeins-(IF(Monat&lt;=1,(N55)/(1+VSteins)*VSteins,0)),0)</f>
        <v>2398.2999999999997</v>
      </c>
      <c r="P54" s="26">
        <f t="shared" ref="P54:P61" si="22">SUM(D54:O54)</f>
        <v>2136.6</v>
      </c>
      <c r="Q54" s="10">
        <f>IF('Infos vor dem Start'!$A17="x",(O4+O6-O7+O8)/(1+USteins)*USteins+O5/(1+UStermeins)*UStermeins-SUM(O10:O13)/(1+VStWEeins)*VStWEeins-(SUM(O19:O21)+SUM(O24:O34)+O37+SUM(O40:O45)+O47)/(1+VSteins)*VSteins-O39/(1+VStermeins)*VStermeins-(IF(Monat=12,(O55)/(1+VSteins)*VSteins,0)),0)</f>
        <v>-261.7</v>
      </c>
      <c r="R54" s="10">
        <f>IF('Infos vor dem Start'!$A17="x",(Q4+Q6-Q7+Q8)/(1+USt)*USt+Q5/(1+USterm)*USterm-SUM(Q10:Q13)/(1+VStWE)*VStWE-(SUM(Q19:Q21)+SUM(Q24:Q34)+Q37+SUM(Q40:Q45)+Q47)/(1+VSt)*VSt-Q39/(1+VSterm)*VSterm,0)</f>
        <v>3158.2999999999997</v>
      </c>
      <c r="S54" s="10">
        <f>IF('Infos vor dem Start'!$A17="x",(R4+R6-R7+R8)/(1+USt)*USt+R5/(1+USterm)*USterm-SUM(R10:R13)/(1+VStWE)*VStWE-(SUM(R19:R21)+SUM(R24:R34)+R37+SUM(R40:R45)+R47)/(1+VSt)*VSt-R39/(1+VSterm)*VSterm,0)</f>
        <v>-261.7</v>
      </c>
      <c r="T54" s="10">
        <f>IF('Infos vor dem Start'!$A17="x",(S4+S6-S7+S8)/(1+USt)*USt+S5/(1+USterm)*USterm-SUM(S10:S13)/(1+VStWE)*VStWE-(SUM(S19:S21)+SUM(S24:S34)+S37+SUM(S40:S45)+S47)/(1+VSt)*VSt-S39/(1+VSterm)*VSterm,0)</f>
        <v>-261.7</v>
      </c>
      <c r="U54" s="10">
        <f>IF('Infos vor dem Start'!$A17="x",(T4+T6-T7+T8)/(1+USt)*USt+T5/(1+USterm)*USterm-SUM(T10:T13)/(1+VStWE)*VStWE-(SUM(T19:T21)+SUM(T24:T34)+T37+SUM(T40:T45)+T47)/(1+VSt)*VSt-T39/(1+VSterm)*VSterm,0)</f>
        <v>-261.7</v>
      </c>
      <c r="V54" s="10">
        <f>IF('Infos vor dem Start'!$A17="x",(U4+U6-U7+U8)/(1+USt)*USt+U5/(1+USterm)*USterm-SUM(U10:U13)/(1+VStWE)*VStWE-(SUM(U19:U21)+SUM(U24:U34)+U37+SUM(U40:U45)+U47)/(1+VSt)*VSt-U39/(1+VSterm)*VSterm,0)</f>
        <v>-261.7</v>
      </c>
      <c r="W54" s="10">
        <f>IF('Infos vor dem Start'!$A17="x",(V4+V6-V7+V8)/(1+USt)*USt+V5/(1+USterm)*USterm-SUM(V10:V13)/(1+VStWE)*VStWE-(SUM(V19:V21)+SUM(V24:V34)+V37+SUM(V40:V45)+V47)/(1+VSt)*VSt-V39/(1+VSterm)*VSterm,0)</f>
        <v>-261.7</v>
      </c>
      <c r="X54" s="10">
        <f>IF('Infos vor dem Start'!$A17="x",(W4+W6-W7+W8)/(1+USt)*USt+W5/(1+USterm)*USterm-SUM(W10:W13)/(1+VStWE)*VStWE-(SUM(W19:W21)+SUM(W24:W34)+W37+SUM(W40:W45)+W47)/(1+VSt)*VSt-W39/(1+VSterm)*VSterm,0)</f>
        <v>-261.7</v>
      </c>
      <c r="Y54" s="10">
        <f>IF('Infos vor dem Start'!$A17="x",(X4+X6-X7+X8)/(1+USt)*USt+X5/(1+USterm)*USterm-SUM(X10:X13)/(1+VStWE)*VStWE-(SUM(X19:X21)+SUM(X24:X34)+X37+SUM(X40:X45)+X47)/(1+VSt)*VSt-X39/(1+VSterm)*VSterm,0)</f>
        <v>-261.7</v>
      </c>
      <c r="Z54" s="10">
        <f>IF('Infos vor dem Start'!$A17="x",(Y4+Y6-Y7+Y8)/(1+USt)*USt+Y5/(1+USterm)*USterm-SUM(Y10:Y13)/(1+VStWE)*VStWE-(SUM(Y19:Y21)+SUM(Y24:Y34)+Y37+SUM(Y40:Y45)+Y47)/(1+VSt)*VSt-Y39/(1+VSterm)*VSterm,0)</f>
        <v>-261.7</v>
      </c>
      <c r="AA54" s="10">
        <f>IF('Infos vor dem Start'!$A17="x",(Z4+Z6-Z7+Z8)/(1+USt)*USt+Z5/(1+USterm)*USterm-SUM(Z10:Z13)/(1+VStWE)*VStWE-(SUM(Z19:Z21)+SUM(Z24:Z34)+Z37+SUM(Z40:Z45)+Z47)/(1+VSt)*VSt-Z39/(1+VSterm)*VSterm,0)</f>
        <v>-261.7</v>
      </c>
      <c r="AB54" s="10">
        <f>IF('Infos vor dem Start'!$A17="x",(AA4+AA6-AA7+AA8)/(1+USt)*USt+AA5/(1+USterm)*USterm-SUM(AA10:AA13)/(1+VStWE)*VStWE-(SUM(AA19:AA21)+SUM(AA24:AA34)+AA37+SUM(AA40:AA45)+AA47)/(1+VSt)*VSt-AA39/(1+VSterm)*VSterm,0)</f>
        <v>-261.7</v>
      </c>
      <c r="AC54" s="26">
        <f t="shared" ref="AC54:AC61" si="23">SUM(Q54:AB54)</f>
        <v>279.60000000000019</v>
      </c>
      <c r="AD54" s="10">
        <f>IF('Infos vor dem Start'!$A17="x",(AB4+AB6-AB7+AB8)/(1+USt)*USt+AB5/(1+USterm)*USterm-SUM(AB10:AB13)/(1+VStWE)*VStWE-(SUM(AB19:AB21)+SUM(AB24:AB34)+AB37+SUM(AB40:AB45)+AB47)/(1+VSt)*VSt-AB39/(1+VSterm)*VSterm-(IF(Monat=1,(AB55)/(1+VSt)*VSt,0)),0)</f>
        <v>-261.7</v>
      </c>
      <c r="AE54" s="10">
        <f>IF('Infos vor dem Start'!$A17="x",(AD4+AD6-AD7+AD8)/(1+USt)*USt+AD5/(1+USterm)*USterm-SUM(AD10:AD13)/(1+VStWE)*VStWE-(SUM(AD19:AD21)+SUM(AD24:AD34)+AD37+SUM(AD40:AD45)+AD47)/(1+VSt)*VSt-AD39/(1+VSterm)*VSterm,0)</f>
        <v>0</v>
      </c>
      <c r="AF54" s="10">
        <f>IF('Infos vor dem Start'!$A17="x",(AE4+AE6-AE7+AE8)/(1+USt)*USt+AE5/(1+USterm)*USterm-SUM(AE10:AE13)/(1+VStWE)*VStWE-(SUM(AE19:AE21)+SUM(AE24:AE34)+AE37+SUM(AE40:AE45)+AE47)/(1+VSt)*VSt-AE39/(1+VSterm)*VSterm,0)</f>
        <v>0</v>
      </c>
      <c r="AG54" s="10">
        <f>IF('Infos vor dem Start'!$A17="x",(AF4+AF6-AF7+AF8)/(1+USt)*USt+AF5/(1+USterm)*USterm-SUM(AF10:AF13)/(1+VStWE)*VStWE-(SUM(AF19:AF21)+SUM(AF24:AF34)+AF37+SUM(AF40:AF45)+AF47)/(1+VSt)*VSt-AF39/(1+VSterm)*VSterm,0)</f>
        <v>0</v>
      </c>
      <c r="AH54" s="10">
        <f>IF('Infos vor dem Start'!$A17="x",(AG4+AG6-AG7+AG8)/(1+USt)*USt+AG5/(1+USterm)*USterm-SUM(AG10:AG13)/(1+VStWE)*VStWE-(SUM(AG19:AG21)+SUM(AG24:AG34)+AG37+SUM(AG40:AG45)+AG47)/(1+VSt)*VSt-AG39/(1+VSterm)*VSterm,0)</f>
        <v>0</v>
      </c>
      <c r="AI54" s="10">
        <f>IF('Infos vor dem Start'!$A17="x",(AH4+AH6-AH7+AH8)/(1+USt)*USt+AH5/(1+USterm)*USterm-SUM(AH10:AH13)/(1+VStWE)*VStWE-(SUM(AH19:AH21)+SUM(AH24:AH34)+AH37+SUM(AH40:AH45)+AH47)/(1+VSt)*VSt-AH39/(1+VSterm)*VSterm,0)</f>
        <v>0</v>
      </c>
      <c r="AJ54" s="10">
        <f>IF('Infos vor dem Start'!$A17="x",(AI4+AI6-AI7+AI8)/(1+USt)*USt+AI5/(1+USterm)*USterm-SUM(AI10:AI13)/(1+VStWE)*VStWE-(SUM(AI19:AI21)+SUM(AI24:AI34)+AI37+SUM(AI40:AI45)+AI47)/(1+VSt)*VSt-AI39/(1+VSterm)*VSterm,0)</f>
        <v>0</v>
      </c>
      <c r="AK54" s="10">
        <f>IF('Infos vor dem Start'!$A17="x",(AJ4+AJ6-AJ7+AJ8)/(1+USt)*USt+AJ5/(1+USterm)*USterm-SUM(AJ10:AJ13)/(1+VStWE)*VStWE-(SUM(AJ19:AJ21)+SUM(AJ24:AJ34)+AJ37+SUM(AJ40:AJ45)+AJ47)/(1+VSt)*VSt-AJ39/(1+VSterm)*VSterm,0)</f>
        <v>0</v>
      </c>
      <c r="AL54" s="10">
        <f>IF('Infos vor dem Start'!$A17="x",(AK4+AK6-AK7+AK8)/(1+USt)*USt+AK5/(1+USterm)*USterm-SUM(AK10:AK13)/(1+VStWE)*VStWE-(SUM(AK19:AK21)+SUM(AK24:AK34)+AK37+SUM(AK40:AK45)+AK47)/(1+VSt)*VSt-AK39/(1+VSterm)*VSterm,0)</f>
        <v>0</v>
      </c>
      <c r="AM54" s="10">
        <f>IF('Infos vor dem Start'!$A17="x",(AL4+AL6-AL7+AL8)/(1+USt)*USt+AL5/(1+USterm)*USterm-SUM(AL10:AL13)/(1+VStWE)*VStWE-(SUM(AL19:AL21)+SUM(AL24:AL34)+AL37+SUM(AL40:AL45)+AL47)/(1+VSt)*VSt-AL39/(1+VSterm)*VSterm,0)</f>
        <v>0</v>
      </c>
      <c r="AN54" s="10">
        <f>IF('Infos vor dem Start'!$A17="x",(AM4+AM6-AM7+AM8)/(1+USt)*USt+AM5/(1+USterm)*USterm-SUM(AM10:AM13)/(1+VStWE)*VStWE-(SUM(AM19:AM21)+SUM(AM24:AM34)+AM37+SUM(AM40:AM45)+AM47)/(1+VSt)*VSt-AM39/(1+VSterm)*VSterm,0)</f>
        <v>0</v>
      </c>
      <c r="AO54" s="10">
        <f>IF('Infos vor dem Start'!$A17="x",(AN4+AN6-AN7+AN8)/(1+USt)*USt+AN5/(1+USterm)*USterm-SUM(AN10:AN13)/(1+VStWE)*VStWE-(SUM(AN19:AN21)+SUM(AN24:AN34)+AN37+SUM(AN40:AN45)+AN47)/(1+VSt)*VSt-AN39/(1+VSterm)*VSterm,0)</f>
        <v>0</v>
      </c>
      <c r="AP54" s="26">
        <f t="shared" ref="AP54:AP61" si="24">SUM(AD54:AO54)</f>
        <v>-261.7</v>
      </c>
      <c r="AQ54" s="10">
        <f>IF('Infos vor dem Start'!$A17="x",(AO4+AO6-AO7+AO8)/(1+USt)*USt+AO5/(1+USterm)*USterm-SUM(AO10:AO13)/(1+VStWE)*VStWE-(SUM(AO19:AO21)+SUM(AO24:AO34)+AO37+SUM(AO40:AO45)+AO47)/(1+VSt)*VSt-AO39/(1+VSterm)*VSterm-(IF(Monat=1,(AO55)/(1+VSt)*VSt,0)),0)</f>
        <v>0</v>
      </c>
      <c r="AR54" s="10">
        <f>IF('Infos vor dem Start'!$A17="x",(AQ4+AQ6-AQ7+AQ8)/(1+USt)*USt+AQ5/(1+USterm)*USterm-SUM(AQ10:AQ13)/(1+VStWE)*VStWE-(SUM(AQ19:AQ21)+SUM(AQ24:AQ34)+AQ37+SUM(AQ40:AQ45)+AQ47)/(1+VSt)*VSt-AQ39/(1+VSterm)*VSterm,0)</f>
        <v>0</v>
      </c>
      <c r="AS54" s="10">
        <f>IF('Infos vor dem Start'!$A17="x",(AR4+AR6-AR7+AR8)/(1+USt)*USt+AR5/(1+USterm)*USterm-SUM(AR10:AR13)/(1+VStWE)*VStWE-(SUM(AR19:AR21)+SUM(AR24:AR34)+AR37+SUM(AR40:AR45)+AR47)/(1+VSt)*VSt-AR39/(1+VSterm)*VSterm,0)</f>
        <v>0</v>
      </c>
      <c r="AT54" s="10">
        <f>IF('Infos vor dem Start'!$A17="x",(AS4+AS6-AS7+AS8)/(1+USt)*USt+AS5/(1+USterm)*USterm-SUM(AS10:AS13)/(1+VStWE)*VStWE-(SUM(AS19:AS21)+SUM(AS24:AS34)+AS37+SUM(AS40:AS45)+AS47)/(1+VSt)*VSt-AS39/(1+VSterm)*VSterm,0)</f>
        <v>0</v>
      </c>
      <c r="AU54" s="10">
        <f>IF('Infos vor dem Start'!$A17="x",(AT4+AT6-AT7+AT8)/(1+USt)*USt+AT5/(1+USterm)*USterm-SUM(AT10:AT13)/(1+VStWE)*VStWE-(SUM(AT19:AT21)+SUM(AT24:AT34)+AT37+SUM(AT40:AT45)+AT47)/(1+VSt)*VSt-AT39/(1+VSterm)*VSterm,0)</f>
        <v>0</v>
      </c>
      <c r="AV54" s="10">
        <f>IF('Infos vor dem Start'!$A17="x",(AU4+AU6-AU7+AU8)/(1+USt)*USt+AU5/(1+USterm)*USterm-SUM(AU10:AU13)/(1+VStWE)*VStWE-(SUM(AU19:AU21)+SUM(AU24:AU34)+AU37+SUM(AU40:AU45)+AU47)/(1+VSt)*VSt-AU39/(1+VSterm)*VSterm,0)</f>
        <v>0</v>
      </c>
      <c r="AW54" s="10">
        <f>IF('Infos vor dem Start'!$A17="x",(AV4+AV6-AV7+AV8)/(1+USt)*USt+AV5/(1+USterm)*USterm-SUM(AV10:AV13)/(1+VStWE)*VStWE-(SUM(AV19:AV21)+SUM(AV24:AV34)+AV37+SUM(AV40:AV45)+AV47)/(1+VSt)*VSt-AV39/(1+VSterm)*VSterm,0)</f>
        <v>0</v>
      </c>
      <c r="AX54" s="10">
        <f>IF('Infos vor dem Start'!$A17="x",(AW4+AW6-AW7+AW8)/(1+USt)*USt+AW5/(1+USterm)*USterm-SUM(AW10:AW13)/(1+VStWE)*VStWE-(SUM(AW19:AW21)+SUM(AW24:AW34)+AW37+SUM(AW40:AW45)+AW47)/(1+VSt)*VSt-AW39/(1+VSterm)*VSterm,0)</f>
        <v>0</v>
      </c>
      <c r="AY54" s="10">
        <f>IF('Infos vor dem Start'!$A17="x",(AX4+AX6-AX7+AX8)/(1+USt)*USt+AX5/(1+USterm)*USterm-SUM(AX10:AX13)/(1+VStWE)*VStWE-(SUM(AX19:AX21)+SUM(AX24:AX34)+AX37+SUM(AX40:AX45)+AX47)/(1+VSt)*VSt-AX39/(1+VSterm)*VSterm,0)</f>
        <v>0</v>
      </c>
      <c r="AZ54" s="10">
        <f>IF('Infos vor dem Start'!$A17="x",(AY4+AY6-AY7+AY8)/(1+USt)*USt+AY5/(1+USterm)*USterm-SUM(AY10:AY13)/(1+VStWE)*VStWE-(SUM(AY19:AY21)+SUM(AY24:AY34)+AY37+SUM(AY40:AY45)+AY47)/(1+VSt)*VSt-AY39/(1+VSterm)*VSterm,0)</f>
        <v>0</v>
      </c>
      <c r="BA54" s="10">
        <f>IF('Infos vor dem Start'!$A17="x",(AZ4+AZ6-AZ7+AZ8)/(1+USt)*USt+AZ5/(1+USterm)*USterm-SUM(AZ10:AZ13)/(1+VStWE)*VStWE-(SUM(AZ19:AZ21)+SUM(AZ24:AZ34)+AZ37+SUM(AZ40:AZ45)+AZ47)/(1+VSt)*VSt-AZ39/(1+VSterm)*VSterm,0)</f>
        <v>0</v>
      </c>
      <c r="BB54" s="10">
        <f>IF('Infos vor dem Start'!$A17="x",(BA4+BA6-BA7+BA8)/(1+USt)*USt+BA5/(1+USterm)*USterm-SUM(BA10:BA13)/(1+VStWE)*VStWE-(SUM(BA19:BA21)+SUM(BA24:BA34)+BA37+SUM(BA40:BA45)+BA47)/(1+VSt)*VSt-BA39/(1+VSterm)*VSterm,0)</f>
        <v>0</v>
      </c>
      <c r="BC54" s="26">
        <f t="shared" ref="BC54:BC61" si="25">SUM(AQ54:BB54)</f>
        <v>0</v>
      </c>
    </row>
    <row r="55" spans="1:55" ht="13.15" x14ac:dyDescent="0.4">
      <c r="A55" t="s">
        <v>37</v>
      </c>
      <c r="D55" s="70">
        <f>IF(Monat&lt;=1,(Investitionsplan!$C13+Investitionsplan!$C35)*(1+VSteins),0)</f>
        <v>0</v>
      </c>
      <c r="E55" s="70">
        <f>IF(Monat=2,(Investitionsplan!$C13+Investitionsplan!$C35)*(1+VSteins),0)</f>
        <v>0</v>
      </c>
      <c r="F55" s="70">
        <f>IF(Monat=3,(Investitionsplan!$C13+Investitionsplan!$C35)*(1+VSteins),0)</f>
        <v>0</v>
      </c>
      <c r="G55" s="70">
        <f>IF(Monat=4,(Investitionsplan!$C13+Investitionsplan!$C35)*(1+VSteins),0)</f>
        <v>0</v>
      </c>
      <c r="H55" s="70">
        <f>IF(Monat=5,(Investitionsplan!$C13+Investitionsplan!$C35)*(1+VSteins),0)</f>
        <v>0</v>
      </c>
      <c r="I55" s="70">
        <f>IF(Monat=6,(Investitionsplan!$C13+Investitionsplan!$C35)*(1+VSteins),0)</f>
        <v>0</v>
      </c>
      <c r="J55" s="70">
        <f>IF(Monat=7,(Investitionsplan!$C13+Investitionsplan!$C35)*(1+VSteins),0)</f>
        <v>0</v>
      </c>
      <c r="K55" s="70">
        <f>IF(Monat=8,(Investitionsplan!$C13+Investitionsplan!$C35)*(1+VSteins),0)</f>
        <v>0</v>
      </c>
      <c r="L55" s="70">
        <f>IF(Monat=9,(Investitionsplan!$C13+Investitionsplan!$C35)*(1+VSteins),0)</f>
        <v>0</v>
      </c>
      <c r="M55" s="70">
        <f>IF(Monat=10,(Investitionsplan!$C13+Investitionsplan!$C35)*(1+VSteins),0)</f>
        <v>0</v>
      </c>
      <c r="N55" s="70">
        <f>IF(Monat=11,(Investitionsplan!$C13+Investitionsplan!$C35)*(1+VSteins),0)</f>
        <v>0</v>
      </c>
      <c r="O55" s="70">
        <f>IF(Monat=12,(Investitionsplan!$C13+Investitionsplan!$C35)*(1+VSteins),0)</f>
        <v>0</v>
      </c>
      <c r="P55" s="26">
        <f t="shared" si="22"/>
        <v>0</v>
      </c>
      <c r="Q55" s="70">
        <f>(+Investitionsplan!E13+Investitionsplan!E35)*(1+VSt)</f>
        <v>0</v>
      </c>
      <c r="R55" s="71"/>
      <c r="S55" s="71"/>
      <c r="T55" s="71"/>
      <c r="U55" s="71"/>
      <c r="V55" s="71"/>
      <c r="W55" s="71"/>
      <c r="X55" s="71"/>
      <c r="Y55" s="71"/>
      <c r="Z55" s="71"/>
      <c r="AA55" s="71"/>
      <c r="AB55" s="71"/>
      <c r="AC55" s="26">
        <f t="shared" si="23"/>
        <v>0</v>
      </c>
      <c r="AD55" s="70">
        <f>(+Investitionsplan!G13+Investitionsplan!G35)*(1+VSt)</f>
        <v>0</v>
      </c>
      <c r="AE55" s="71"/>
      <c r="AF55" s="71"/>
      <c r="AG55" s="71"/>
      <c r="AH55" s="71"/>
      <c r="AI55" s="71"/>
      <c r="AJ55" s="71"/>
      <c r="AK55" s="71"/>
      <c r="AL55" s="71"/>
      <c r="AM55" s="71"/>
      <c r="AN55" s="71"/>
      <c r="AO55" s="71"/>
      <c r="AP55" s="26">
        <f t="shared" si="24"/>
        <v>0</v>
      </c>
      <c r="AQ55" s="70">
        <f>(+Investitionsplan!I13+Investitionsplan!I35)*(1+VSt)</f>
        <v>0</v>
      </c>
      <c r="AR55" s="71"/>
      <c r="AS55" s="71"/>
      <c r="AT55" s="71"/>
      <c r="AU55" s="71"/>
      <c r="AV55" s="71"/>
      <c r="AW55" s="71"/>
      <c r="AX55" s="71"/>
      <c r="AY55" s="71"/>
      <c r="AZ55" s="71"/>
      <c r="BA55" s="71"/>
      <c r="BB55" s="71"/>
      <c r="BC55" s="26">
        <f t="shared" si="25"/>
        <v>0</v>
      </c>
    </row>
    <row r="56" spans="1:55" ht="13.15" x14ac:dyDescent="0.4">
      <c r="A56" t="s">
        <v>113</v>
      </c>
      <c r="D56" s="72"/>
      <c r="E56" s="72"/>
      <c r="F56" s="72"/>
      <c r="G56" s="72"/>
      <c r="H56" s="72"/>
      <c r="I56" s="72"/>
      <c r="J56" s="72"/>
      <c r="K56" s="72"/>
      <c r="L56" s="72"/>
      <c r="M56" s="72"/>
      <c r="N56" s="72"/>
      <c r="O56" s="72"/>
      <c r="P56" s="26">
        <f>SUM(D56:O56)</f>
        <v>0</v>
      </c>
      <c r="Q56" s="72"/>
      <c r="R56" s="72"/>
      <c r="S56" s="72"/>
      <c r="T56" s="72"/>
      <c r="U56" s="72"/>
      <c r="V56" s="72"/>
      <c r="W56" s="72"/>
      <c r="X56" s="72"/>
      <c r="Y56" s="72"/>
      <c r="Z56" s="72"/>
      <c r="AA56" s="72"/>
      <c r="AB56" s="72"/>
      <c r="AC56" s="26">
        <f>SUM(Q56:AB56)</f>
        <v>0</v>
      </c>
      <c r="AD56" s="72"/>
      <c r="AE56" s="72"/>
      <c r="AF56" s="72"/>
      <c r="AG56" s="72"/>
      <c r="AH56" s="72"/>
      <c r="AI56" s="72"/>
      <c r="AJ56" s="72"/>
      <c r="AK56" s="72"/>
      <c r="AL56" s="72"/>
      <c r="AM56" s="72"/>
      <c r="AN56" s="72"/>
      <c r="AO56" s="72"/>
      <c r="AP56" s="26">
        <f>SUM(AD56:AO56)</f>
        <v>0</v>
      </c>
      <c r="AQ56" s="72"/>
      <c r="AR56" s="72"/>
      <c r="AS56" s="72"/>
      <c r="AT56" s="72"/>
      <c r="AU56" s="72"/>
      <c r="AV56" s="72"/>
      <c r="AW56" s="72"/>
      <c r="AX56" s="72"/>
      <c r="AY56" s="72"/>
      <c r="AZ56" s="72"/>
      <c r="BA56" s="72"/>
      <c r="BB56" s="72"/>
      <c r="BC56" s="26">
        <f>SUM(AQ56:BB56)</f>
        <v>0</v>
      </c>
    </row>
    <row r="57" spans="1:55" s="1" customFormat="1" ht="13.15" x14ac:dyDescent="0.4">
      <c r="A57" s="1" t="s">
        <v>88</v>
      </c>
      <c r="D57" s="72"/>
      <c r="E57" s="72"/>
      <c r="F57" s="72"/>
      <c r="G57" s="72"/>
      <c r="H57" s="72"/>
      <c r="I57" s="72"/>
      <c r="J57" s="72"/>
      <c r="K57" s="72"/>
      <c r="L57" s="72"/>
      <c r="M57" s="72"/>
      <c r="N57" s="72"/>
      <c r="O57" s="72"/>
      <c r="P57" s="73">
        <f>SUM(D57:O57)</f>
        <v>0</v>
      </c>
      <c r="Q57" s="72"/>
      <c r="R57" s="72"/>
      <c r="S57" s="72"/>
      <c r="T57" s="72"/>
      <c r="U57" s="72"/>
      <c r="V57" s="72"/>
      <c r="W57" s="72"/>
      <c r="X57" s="72"/>
      <c r="Y57" s="72"/>
      <c r="Z57" s="72"/>
      <c r="AA57" s="72"/>
      <c r="AB57" s="72"/>
      <c r="AC57" s="73">
        <f>SUM(Q57:AB57)</f>
        <v>0</v>
      </c>
      <c r="AD57" s="72"/>
      <c r="AE57" s="72"/>
      <c r="AF57" s="72"/>
      <c r="AG57" s="72"/>
      <c r="AH57" s="72"/>
      <c r="AI57" s="72"/>
      <c r="AJ57" s="72"/>
      <c r="AK57" s="72"/>
      <c r="AL57" s="72"/>
      <c r="AM57" s="72"/>
      <c r="AN57" s="72"/>
      <c r="AO57" s="72"/>
      <c r="AP57" s="73">
        <f>SUM(AD57:AO57)</f>
        <v>0</v>
      </c>
      <c r="AQ57" s="72"/>
      <c r="AR57" s="72"/>
      <c r="AS57" s="72"/>
      <c r="AT57" s="72"/>
      <c r="AU57" s="72"/>
      <c r="AV57" s="72"/>
      <c r="AW57" s="72"/>
      <c r="AX57" s="72"/>
      <c r="AY57" s="72"/>
      <c r="AZ57" s="72"/>
      <c r="BA57" s="72"/>
      <c r="BB57" s="72"/>
      <c r="BC57" s="73">
        <f>SUM(AQ57:BB57)</f>
        <v>0</v>
      </c>
    </row>
    <row r="58" spans="1:55" ht="13.15" x14ac:dyDescent="0.4">
      <c r="A58" t="s">
        <v>127</v>
      </c>
      <c r="D58" s="72"/>
      <c r="E58" s="72"/>
      <c r="F58" s="72"/>
      <c r="G58" s="72"/>
      <c r="H58" s="72"/>
      <c r="I58" s="72"/>
      <c r="J58" s="72"/>
      <c r="K58" s="72"/>
      <c r="L58" s="72"/>
      <c r="M58" s="72"/>
      <c r="N58" s="72"/>
      <c r="O58" s="72"/>
      <c r="P58" s="53">
        <f t="shared" si="22"/>
        <v>0</v>
      </c>
      <c r="Q58" s="72"/>
      <c r="R58" s="72"/>
      <c r="S58" s="72"/>
      <c r="T58" s="72"/>
      <c r="U58" s="72"/>
      <c r="V58" s="72"/>
      <c r="W58" s="72"/>
      <c r="X58" s="72"/>
      <c r="Y58" s="72"/>
      <c r="Z58" s="72"/>
      <c r="AA58" s="72"/>
      <c r="AB58" s="72"/>
      <c r="AC58" s="53">
        <f t="shared" si="23"/>
        <v>0</v>
      </c>
      <c r="AD58" s="72"/>
      <c r="AE58" s="72"/>
      <c r="AF58" s="72"/>
      <c r="AG58" s="72"/>
      <c r="AH58" s="72"/>
      <c r="AI58" s="72"/>
      <c r="AJ58" s="72"/>
      <c r="AK58" s="72"/>
      <c r="AL58" s="72"/>
      <c r="AM58" s="72"/>
      <c r="AN58" s="72"/>
      <c r="AO58" s="72"/>
      <c r="AP58" s="53">
        <f t="shared" si="24"/>
        <v>0</v>
      </c>
      <c r="AQ58" s="72"/>
      <c r="AR58" s="72"/>
      <c r="AS58" s="72"/>
      <c r="AT58" s="72"/>
      <c r="AU58" s="72"/>
      <c r="AV58" s="72"/>
      <c r="AW58" s="72"/>
      <c r="AX58" s="72"/>
      <c r="AY58" s="72"/>
      <c r="AZ58" s="72"/>
      <c r="BA58" s="72"/>
      <c r="BB58" s="72"/>
      <c r="BC58" s="53">
        <f t="shared" si="25"/>
        <v>0</v>
      </c>
    </row>
    <row r="59" spans="1:55" ht="13.15" x14ac:dyDescent="0.4">
      <c r="A59" t="s">
        <v>33</v>
      </c>
      <c r="D59" s="72"/>
      <c r="E59" s="72"/>
      <c r="F59" s="72"/>
      <c r="G59" s="72"/>
      <c r="H59" s="72"/>
      <c r="I59" s="72"/>
      <c r="J59" s="72"/>
      <c r="K59" s="72"/>
      <c r="L59" s="72"/>
      <c r="M59" s="72"/>
      <c r="N59" s="72"/>
      <c r="O59" s="72"/>
      <c r="P59" s="53">
        <f>SUM(D59:O59)</f>
        <v>0</v>
      </c>
      <c r="Q59" s="72"/>
      <c r="R59" s="72"/>
      <c r="S59" s="72"/>
      <c r="T59" s="72"/>
      <c r="U59" s="72"/>
      <c r="V59" s="72"/>
      <c r="W59" s="72"/>
      <c r="X59" s="72"/>
      <c r="Y59" s="72"/>
      <c r="Z59" s="72"/>
      <c r="AA59" s="72"/>
      <c r="AB59" s="72"/>
      <c r="AC59" s="53">
        <f>SUM(Q59:AB59)</f>
        <v>0</v>
      </c>
      <c r="AD59" s="72"/>
      <c r="AE59" s="72"/>
      <c r="AF59" s="72"/>
      <c r="AG59" s="72"/>
      <c r="AH59" s="72"/>
      <c r="AI59" s="72"/>
      <c r="AJ59" s="72"/>
      <c r="AK59" s="72"/>
      <c r="AL59" s="72"/>
      <c r="AM59" s="72"/>
      <c r="AN59" s="72"/>
      <c r="AO59" s="72"/>
      <c r="AP59" s="53">
        <f>SUM(AD59:AO59)</f>
        <v>0</v>
      </c>
      <c r="AQ59" s="72"/>
      <c r="AR59" s="72"/>
      <c r="AS59" s="72"/>
      <c r="AT59" s="72"/>
      <c r="AU59" s="72"/>
      <c r="AV59" s="72"/>
      <c r="AW59" s="72"/>
      <c r="AX59" s="72"/>
      <c r="AY59" s="72"/>
      <c r="AZ59" s="72"/>
      <c r="BA59" s="72"/>
      <c r="BB59" s="72"/>
      <c r="BC59" s="53">
        <f>SUM(AQ59:BB59)</f>
        <v>0</v>
      </c>
    </row>
    <row r="60" spans="1:55" ht="13.15" x14ac:dyDescent="0.4">
      <c r="A60" s="8" t="str">
        <f>IF(kapges=0,"Gründungszusschuss/Einstiegsgeld","nicht belegt")</f>
        <v>Gründungszusschuss/Einstiegsgeld</v>
      </c>
      <c r="D60" s="72">
        <v>0</v>
      </c>
      <c r="E60" s="72">
        <v>0</v>
      </c>
      <c r="F60" s="72">
        <v>0</v>
      </c>
      <c r="G60" s="72">
        <v>0</v>
      </c>
      <c r="H60" s="72">
        <v>0</v>
      </c>
      <c r="I60" s="72">
        <v>0</v>
      </c>
      <c r="J60" s="72"/>
      <c r="K60" s="72"/>
      <c r="L60" s="72"/>
      <c r="M60" s="72"/>
      <c r="N60" s="72"/>
      <c r="O60" s="72"/>
      <c r="P60" s="26">
        <f t="shared" si="22"/>
        <v>0</v>
      </c>
      <c r="Q60" s="72"/>
      <c r="R60" s="72"/>
      <c r="S60" s="72"/>
      <c r="T60" s="72"/>
      <c r="U60" s="72"/>
      <c r="V60" s="72"/>
      <c r="W60" s="72"/>
      <c r="X60" s="72"/>
      <c r="Y60" s="72"/>
      <c r="Z60" s="72"/>
      <c r="AA60" s="72"/>
      <c r="AB60" s="72"/>
      <c r="AC60" s="26">
        <f t="shared" si="23"/>
        <v>0</v>
      </c>
      <c r="AD60" s="72"/>
      <c r="AE60" s="72"/>
      <c r="AF60" s="10"/>
      <c r="AG60" s="10"/>
      <c r="AH60" s="10"/>
      <c r="AI60" s="10"/>
      <c r="AJ60" s="10"/>
      <c r="AK60" s="10"/>
      <c r="AL60" s="10"/>
      <c r="AM60" s="10"/>
      <c r="AN60" s="10"/>
      <c r="AO60" s="10"/>
      <c r="AP60" s="26">
        <f t="shared" si="24"/>
        <v>0</v>
      </c>
      <c r="AQ60" s="10"/>
      <c r="AR60" s="10"/>
      <c r="AS60" s="10"/>
      <c r="AT60" s="10"/>
      <c r="AU60" s="10"/>
      <c r="AV60" s="10"/>
      <c r="AW60" s="10"/>
      <c r="AX60" s="10"/>
      <c r="AY60" s="10"/>
      <c r="AZ60" s="10"/>
      <c r="BA60" s="10"/>
      <c r="BB60" s="10"/>
      <c r="BC60" s="26">
        <f t="shared" si="25"/>
        <v>0</v>
      </c>
    </row>
    <row r="61" spans="1:55" x14ac:dyDescent="0.35">
      <c r="A61" t="s">
        <v>107</v>
      </c>
      <c r="D61" s="70">
        <f>IF(kapges="x",0,IF(Monat&lt;=1,+'Priv. Finanzbed. Summe'!$C$29,0))</f>
        <v>0</v>
      </c>
      <c r="E61" s="70">
        <f>IF(kapges="x",0,IF(Monat&lt;=2,+'Priv. Finanzbed. Summe'!$C$29,0))</f>
        <v>0</v>
      </c>
      <c r="F61" s="70">
        <f>IF(kapges="x",0,IF(Monat&lt;=3,+'Priv. Finanzbed. Summe'!$C$29,0))</f>
        <v>0</v>
      </c>
      <c r="G61" s="70">
        <f>IF(kapges="x",0,IF(Monat&lt;=4,+'Priv. Finanzbed. Summe'!$C$29,0))</f>
        <v>0</v>
      </c>
      <c r="H61" s="70">
        <f>IF(kapges="x",0,IF(Monat&lt;=5,+'Priv. Finanzbed. Summe'!$C$29,0))</f>
        <v>0</v>
      </c>
      <c r="I61" s="70">
        <f>IF(kapges="x",0,IF(Monat&lt;=6,+'Priv. Finanzbed. Summe'!$C$29,0))</f>
        <v>0</v>
      </c>
      <c r="J61" s="70">
        <f>IF(kapges="x",0,IF(Monat&lt;=7,+'Priv. Finanzbed. Summe'!$C$29,0))</f>
        <v>0</v>
      </c>
      <c r="K61" s="70">
        <f>IF(kapges="x",0,IF(Monat&lt;=8,+'Priv. Finanzbed. Summe'!$C$29,0))</f>
        <v>0</v>
      </c>
      <c r="L61" s="70">
        <f>IF(kapges="x",0,IF(Monat&lt;=9,+'Priv. Finanzbed. Summe'!$C$29,0))</f>
        <v>0</v>
      </c>
      <c r="M61" s="70">
        <f>IF(kapges="x",0,IF(Monat&lt;=10,+'Priv. Finanzbed. Summe'!$C$29,0))</f>
        <v>0</v>
      </c>
      <c r="N61" s="70">
        <f>IF(kapges="x",0,IF(Monat&lt;=11,+'Priv. Finanzbed. Summe'!$C$29,0))</f>
        <v>0</v>
      </c>
      <c r="O61" s="70">
        <f>IF(kapges="x",0,IF(Monat&lt;=12,+'Priv. Finanzbed. Summe'!$C$29,0))</f>
        <v>0</v>
      </c>
      <c r="P61" s="26">
        <f t="shared" si="22"/>
        <v>0</v>
      </c>
      <c r="Q61" s="70">
        <f>IF(kapges="x",0,+'Priv. Finanzbed. Summe'!$D$29)</f>
        <v>0</v>
      </c>
      <c r="R61" s="70">
        <f>+Q61</f>
        <v>0</v>
      </c>
      <c r="S61" s="70">
        <f t="shared" ref="S61:AB61" si="26">+R61</f>
        <v>0</v>
      </c>
      <c r="T61" s="70">
        <f t="shared" si="26"/>
        <v>0</v>
      </c>
      <c r="U61" s="70">
        <f t="shared" si="26"/>
        <v>0</v>
      </c>
      <c r="V61" s="70">
        <f t="shared" si="26"/>
        <v>0</v>
      </c>
      <c r="W61" s="70">
        <f t="shared" si="26"/>
        <v>0</v>
      </c>
      <c r="X61" s="70">
        <f t="shared" si="26"/>
        <v>0</v>
      </c>
      <c r="Y61" s="70">
        <f t="shared" si="26"/>
        <v>0</v>
      </c>
      <c r="Z61" s="70">
        <f t="shared" si="26"/>
        <v>0</v>
      </c>
      <c r="AA61" s="70">
        <f t="shared" si="26"/>
        <v>0</v>
      </c>
      <c r="AB61" s="70">
        <f t="shared" si="26"/>
        <v>0</v>
      </c>
      <c r="AC61" s="26">
        <f t="shared" si="23"/>
        <v>0</v>
      </c>
      <c r="AD61" s="70">
        <f>IF(kapges="x",0,+'Priv. Finanzbed. Summe'!$E$29)</f>
        <v>0</v>
      </c>
      <c r="AE61" s="70">
        <f t="shared" ref="AE61:AO61" si="27">+AD61</f>
        <v>0</v>
      </c>
      <c r="AF61" s="70">
        <f t="shared" si="27"/>
        <v>0</v>
      </c>
      <c r="AG61" s="70">
        <f t="shared" si="27"/>
        <v>0</v>
      </c>
      <c r="AH61" s="70">
        <f t="shared" si="27"/>
        <v>0</v>
      </c>
      <c r="AI61" s="70">
        <f t="shared" si="27"/>
        <v>0</v>
      </c>
      <c r="AJ61" s="70">
        <f t="shared" si="27"/>
        <v>0</v>
      </c>
      <c r="AK61" s="70">
        <f t="shared" si="27"/>
        <v>0</v>
      </c>
      <c r="AL61" s="70">
        <f t="shared" si="27"/>
        <v>0</v>
      </c>
      <c r="AM61" s="70">
        <f t="shared" si="27"/>
        <v>0</v>
      </c>
      <c r="AN61" s="70">
        <f t="shared" si="27"/>
        <v>0</v>
      </c>
      <c r="AO61" s="70">
        <f t="shared" si="27"/>
        <v>0</v>
      </c>
      <c r="AP61" s="26">
        <f t="shared" si="24"/>
        <v>0</v>
      </c>
      <c r="AQ61" s="70">
        <f>IF(kapges="x",0,+'Priv. Finanzbed. Summe'!$F$29)</f>
        <v>0</v>
      </c>
      <c r="AR61" s="70">
        <f t="shared" ref="AR61:BB61" si="28">+AQ61</f>
        <v>0</v>
      </c>
      <c r="AS61" s="70">
        <f t="shared" si="28"/>
        <v>0</v>
      </c>
      <c r="AT61" s="70">
        <f t="shared" si="28"/>
        <v>0</v>
      </c>
      <c r="AU61" s="70">
        <f t="shared" si="28"/>
        <v>0</v>
      </c>
      <c r="AV61" s="70">
        <f t="shared" si="28"/>
        <v>0</v>
      </c>
      <c r="AW61" s="70">
        <f t="shared" si="28"/>
        <v>0</v>
      </c>
      <c r="AX61" s="70">
        <f t="shared" si="28"/>
        <v>0</v>
      </c>
      <c r="AY61" s="70">
        <f t="shared" si="28"/>
        <v>0</v>
      </c>
      <c r="AZ61" s="70">
        <f t="shared" si="28"/>
        <v>0</v>
      </c>
      <c r="BA61" s="70">
        <f t="shared" si="28"/>
        <v>0</v>
      </c>
      <c r="BB61" s="70">
        <f t="shared" si="28"/>
        <v>0</v>
      </c>
      <c r="BC61" s="26">
        <f t="shared" si="25"/>
        <v>0</v>
      </c>
    </row>
    <row r="62" spans="1:55" x14ac:dyDescent="0.35">
      <c r="A62" s="9" t="s">
        <v>117</v>
      </c>
      <c r="B62" s="9"/>
      <c r="C62" s="9"/>
      <c r="D62" s="20">
        <f t="shared" ref="D62:AI62" si="29">-D55+D56-D57-D58-D59+D60-D61</f>
        <v>0</v>
      </c>
      <c r="E62" s="20">
        <f t="shared" si="29"/>
        <v>0</v>
      </c>
      <c r="F62" s="20">
        <f t="shared" si="29"/>
        <v>0</v>
      </c>
      <c r="G62" s="20">
        <f t="shared" si="29"/>
        <v>0</v>
      </c>
      <c r="H62" s="20">
        <f t="shared" si="29"/>
        <v>0</v>
      </c>
      <c r="I62" s="20">
        <f t="shared" si="29"/>
        <v>0</v>
      </c>
      <c r="J62" s="20">
        <f t="shared" si="29"/>
        <v>0</v>
      </c>
      <c r="K62" s="20">
        <f t="shared" si="29"/>
        <v>0</v>
      </c>
      <c r="L62" s="20">
        <f t="shared" si="29"/>
        <v>0</v>
      </c>
      <c r="M62" s="20">
        <f t="shared" si="29"/>
        <v>0</v>
      </c>
      <c r="N62" s="20">
        <f t="shared" si="29"/>
        <v>0</v>
      </c>
      <c r="O62" s="20">
        <f t="shared" si="29"/>
        <v>0</v>
      </c>
      <c r="P62" s="20">
        <f t="shared" si="29"/>
        <v>0</v>
      </c>
      <c r="Q62" s="20">
        <f t="shared" si="29"/>
        <v>0</v>
      </c>
      <c r="R62" s="20">
        <f t="shared" si="29"/>
        <v>0</v>
      </c>
      <c r="S62" s="20">
        <f t="shared" si="29"/>
        <v>0</v>
      </c>
      <c r="T62" s="20">
        <f t="shared" si="29"/>
        <v>0</v>
      </c>
      <c r="U62" s="20">
        <f t="shared" si="29"/>
        <v>0</v>
      </c>
      <c r="V62" s="20">
        <f t="shared" si="29"/>
        <v>0</v>
      </c>
      <c r="W62" s="20">
        <f t="shared" si="29"/>
        <v>0</v>
      </c>
      <c r="X62" s="20">
        <f t="shared" si="29"/>
        <v>0</v>
      </c>
      <c r="Y62" s="20">
        <f t="shared" si="29"/>
        <v>0</v>
      </c>
      <c r="Z62" s="20">
        <f t="shared" si="29"/>
        <v>0</v>
      </c>
      <c r="AA62" s="20">
        <f t="shared" si="29"/>
        <v>0</v>
      </c>
      <c r="AB62" s="20">
        <f t="shared" si="29"/>
        <v>0</v>
      </c>
      <c r="AC62" s="20">
        <f t="shared" si="29"/>
        <v>0</v>
      </c>
      <c r="AD62" s="20">
        <f t="shared" si="29"/>
        <v>0</v>
      </c>
      <c r="AE62" s="20">
        <f t="shared" si="29"/>
        <v>0</v>
      </c>
      <c r="AF62" s="20">
        <f t="shared" si="29"/>
        <v>0</v>
      </c>
      <c r="AG62" s="20">
        <f t="shared" si="29"/>
        <v>0</v>
      </c>
      <c r="AH62" s="20">
        <f t="shared" si="29"/>
        <v>0</v>
      </c>
      <c r="AI62" s="20">
        <f t="shared" si="29"/>
        <v>0</v>
      </c>
      <c r="AJ62" s="20">
        <f t="shared" ref="AJ62:BC62" si="30">-AJ55+AJ56-AJ57-AJ58-AJ59+AJ60-AJ61</f>
        <v>0</v>
      </c>
      <c r="AK62" s="20">
        <f t="shared" si="30"/>
        <v>0</v>
      </c>
      <c r="AL62" s="20">
        <f t="shared" si="30"/>
        <v>0</v>
      </c>
      <c r="AM62" s="20">
        <f t="shared" si="30"/>
        <v>0</v>
      </c>
      <c r="AN62" s="20">
        <f t="shared" si="30"/>
        <v>0</v>
      </c>
      <c r="AO62" s="20">
        <f t="shared" si="30"/>
        <v>0</v>
      </c>
      <c r="AP62" s="20">
        <f t="shared" si="30"/>
        <v>0</v>
      </c>
      <c r="AQ62" s="20">
        <f t="shared" si="30"/>
        <v>0</v>
      </c>
      <c r="AR62" s="20">
        <f t="shared" si="30"/>
        <v>0</v>
      </c>
      <c r="AS62" s="20">
        <f t="shared" si="30"/>
        <v>0</v>
      </c>
      <c r="AT62" s="20">
        <f t="shared" si="30"/>
        <v>0</v>
      </c>
      <c r="AU62" s="20">
        <f t="shared" si="30"/>
        <v>0</v>
      </c>
      <c r="AV62" s="20">
        <f t="shared" si="30"/>
        <v>0</v>
      </c>
      <c r="AW62" s="20">
        <f t="shared" si="30"/>
        <v>0</v>
      </c>
      <c r="AX62" s="20">
        <f t="shared" si="30"/>
        <v>0</v>
      </c>
      <c r="AY62" s="20">
        <f t="shared" si="30"/>
        <v>0</v>
      </c>
      <c r="AZ62" s="20">
        <f t="shared" si="30"/>
        <v>0</v>
      </c>
      <c r="BA62" s="20">
        <f t="shared" si="30"/>
        <v>0</v>
      </c>
      <c r="BB62" s="20">
        <f t="shared" si="30"/>
        <v>0</v>
      </c>
      <c r="BC62" s="20">
        <f t="shared" si="30"/>
        <v>0</v>
      </c>
    </row>
    <row r="63" spans="1:55" x14ac:dyDescent="0.35">
      <c r="A63" s="9" t="s">
        <v>118</v>
      </c>
      <c r="B63" s="9"/>
      <c r="C63" s="9"/>
      <c r="D63" s="20">
        <f t="shared" ref="D63:AI63" si="31">+D53+D62</f>
        <v>0</v>
      </c>
      <c r="E63" s="20">
        <f t="shared" si="31"/>
        <v>0</v>
      </c>
      <c r="F63" s="20">
        <f t="shared" si="31"/>
        <v>0</v>
      </c>
      <c r="G63" s="20">
        <f t="shared" si="31"/>
        <v>0</v>
      </c>
      <c r="H63" s="20">
        <f t="shared" si="31"/>
        <v>0</v>
      </c>
      <c r="I63" s="20">
        <f t="shared" si="31"/>
        <v>0</v>
      </c>
      <c r="J63" s="20">
        <f t="shared" si="31"/>
        <v>0</v>
      </c>
      <c r="K63" s="20">
        <f t="shared" si="31"/>
        <v>0</v>
      </c>
      <c r="L63" s="20">
        <f t="shared" si="31"/>
        <v>0</v>
      </c>
      <c r="M63" s="20">
        <f t="shared" si="31"/>
        <v>-1736.7</v>
      </c>
      <c r="N63" s="20">
        <f t="shared" si="31"/>
        <v>14923.3</v>
      </c>
      <c r="O63" s="20">
        <f t="shared" si="31"/>
        <v>-1736.7</v>
      </c>
      <c r="P63" s="26">
        <f t="shared" si="31"/>
        <v>11449.9</v>
      </c>
      <c r="Q63" s="20">
        <f t="shared" si="31"/>
        <v>18963.3</v>
      </c>
      <c r="R63" s="20">
        <f t="shared" si="31"/>
        <v>-2456.6999999999998</v>
      </c>
      <c r="S63" s="20">
        <f t="shared" si="31"/>
        <v>-2456.6999999999998</v>
      </c>
      <c r="T63" s="20">
        <f t="shared" si="31"/>
        <v>-2456.6999999999998</v>
      </c>
      <c r="U63" s="20">
        <f t="shared" si="31"/>
        <v>-2456.6999999999998</v>
      </c>
      <c r="V63" s="20">
        <f t="shared" si="31"/>
        <v>-2456.6999999999998</v>
      </c>
      <c r="W63" s="20">
        <f t="shared" si="31"/>
        <v>-2456.6999999999998</v>
      </c>
      <c r="X63" s="20">
        <f t="shared" si="31"/>
        <v>-2456.6999999999998</v>
      </c>
      <c r="Y63" s="20">
        <f t="shared" si="31"/>
        <v>-2456.6999999999998</v>
      </c>
      <c r="Z63" s="20">
        <f t="shared" si="31"/>
        <v>-2456.6999999999998</v>
      </c>
      <c r="AA63" s="20">
        <f t="shared" si="31"/>
        <v>-2456.6999999999998</v>
      </c>
      <c r="AB63" s="20">
        <f t="shared" si="31"/>
        <v>-2456.6999999999998</v>
      </c>
      <c r="AC63" s="26">
        <f t="shared" si="31"/>
        <v>-8060.4000000000015</v>
      </c>
      <c r="AD63" s="20">
        <f t="shared" si="31"/>
        <v>0</v>
      </c>
      <c r="AE63" s="20">
        <f t="shared" si="31"/>
        <v>0</v>
      </c>
      <c r="AF63" s="20">
        <f t="shared" si="31"/>
        <v>0</v>
      </c>
      <c r="AG63" s="20">
        <f t="shared" si="31"/>
        <v>0</v>
      </c>
      <c r="AH63" s="20">
        <f t="shared" si="31"/>
        <v>0</v>
      </c>
      <c r="AI63" s="20">
        <f t="shared" si="31"/>
        <v>0</v>
      </c>
      <c r="AJ63" s="20">
        <f t="shared" ref="AJ63:BC63" si="32">+AJ53+AJ62</f>
        <v>0</v>
      </c>
      <c r="AK63" s="20">
        <f t="shared" si="32"/>
        <v>0</v>
      </c>
      <c r="AL63" s="20">
        <f t="shared" si="32"/>
        <v>0</v>
      </c>
      <c r="AM63" s="20">
        <f t="shared" si="32"/>
        <v>0</v>
      </c>
      <c r="AN63" s="20">
        <f t="shared" si="32"/>
        <v>0</v>
      </c>
      <c r="AO63" s="20">
        <f t="shared" si="32"/>
        <v>0</v>
      </c>
      <c r="AP63" s="26">
        <f t="shared" si="32"/>
        <v>0</v>
      </c>
      <c r="AQ63" s="20">
        <f t="shared" si="32"/>
        <v>0</v>
      </c>
      <c r="AR63" s="20">
        <f t="shared" si="32"/>
        <v>0</v>
      </c>
      <c r="AS63" s="20">
        <f t="shared" si="32"/>
        <v>0</v>
      </c>
      <c r="AT63" s="20">
        <f t="shared" si="32"/>
        <v>0</v>
      </c>
      <c r="AU63" s="20">
        <f t="shared" si="32"/>
        <v>0</v>
      </c>
      <c r="AV63" s="20">
        <f t="shared" si="32"/>
        <v>0</v>
      </c>
      <c r="AW63" s="20">
        <f t="shared" si="32"/>
        <v>0</v>
      </c>
      <c r="AX63" s="20">
        <f t="shared" si="32"/>
        <v>0</v>
      </c>
      <c r="AY63" s="20">
        <f t="shared" si="32"/>
        <v>0</v>
      </c>
      <c r="AZ63" s="20">
        <f t="shared" si="32"/>
        <v>0</v>
      </c>
      <c r="BA63" s="20">
        <f t="shared" si="32"/>
        <v>0</v>
      </c>
      <c r="BB63" s="20">
        <f t="shared" si="32"/>
        <v>0</v>
      </c>
      <c r="BC63" s="26">
        <f t="shared" si="32"/>
        <v>0</v>
      </c>
    </row>
    <row r="64" spans="1:55" ht="13.15" x14ac:dyDescent="0.4">
      <c r="A64" t="s">
        <v>38</v>
      </c>
      <c r="D64" s="70">
        <f>IF(Monat=1,+Finanzierungsplan!$D16,0)</f>
        <v>0</v>
      </c>
      <c r="E64" s="70">
        <f>IF(Monat=2,+Finanzierungsplan!$D16,0)</f>
        <v>0</v>
      </c>
      <c r="F64" s="70">
        <f>IF(Monat=3,+Finanzierungsplan!$D16,0)</f>
        <v>0</v>
      </c>
      <c r="G64" s="70">
        <f>IF(Monat=4,+Finanzierungsplan!$D16,0)</f>
        <v>0</v>
      </c>
      <c r="H64" s="70">
        <f>IF(Monat=5,+Finanzierungsplan!$D16,0)</f>
        <v>0</v>
      </c>
      <c r="I64" s="70">
        <f>IF(Monat=6,+Finanzierungsplan!$D16,0)</f>
        <v>0</v>
      </c>
      <c r="J64" s="70">
        <f>IF(Monat=7,+Finanzierungsplan!$D16,0)</f>
        <v>0</v>
      </c>
      <c r="K64" s="70">
        <f>IF(Monat=8,+Finanzierungsplan!$D16,0)</f>
        <v>0</v>
      </c>
      <c r="L64" s="70">
        <f>IF(Monat=9,+Finanzierungsplan!$D16,0)</f>
        <v>3000</v>
      </c>
      <c r="M64" s="70">
        <f>IF(Monat=10,+Finanzierungsplan!$D16,0)</f>
        <v>0</v>
      </c>
      <c r="N64" s="70">
        <f>IF(Monat=11,+Finanzierungsplan!$D16,0)</f>
        <v>0</v>
      </c>
      <c r="O64" s="70">
        <f>IF(Monat=12,+Finanzierungsplan!$D16,0)</f>
        <v>0</v>
      </c>
      <c r="P64" s="10"/>
      <c r="Q64" s="71"/>
      <c r="R64" s="71"/>
      <c r="S64" s="71"/>
      <c r="T64" s="71"/>
      <c r="U64" s="71"/>
      <c r="V64" s="71"/>
      <c r="W64" s="71"/>
      <c r="X64" s="71"/>
      <c r="Y64" s="71"/>
      <c r="Z64" s="71"/>
      <c r="AA64" s="71"/>
      <c r="AB64" s="71"/>
      <c r="AC64" s="10"/>
      <c r="AD64" s="71"/>
      <c r="AE64" s="71"/>
      <c r="AF64" s="71"/>
      <c r="AG64" s="71"/>
      <c r="AH64" s="71"/>
      <c r="AI64" s="71"/>
      <c r="AJ64" s="71"/>
      <c r="AK64" s="71"/>
      <c r="AL64" s="71"/>
      <c r="AM64" s="71"/>
      <c r="AN64" s="71"/>
      <c r="AO64" s="71"/>
      <c r="AP64" s="10"/>
      <c r="AQ64" s="71"/>
      <c r="AR64" s="71"/>
      <c r="AS64" s="71"/>
      <c r="AT64" s="71"/>
      <c r="AU64" s="71"/>
      <c r="AV64" s="71"/>
      <c r="AW64" s="71"/>
      <c r="AX64" s="71"/>
      <c r="AY64" s="71"/>
      <c r="AZ64" s="71"/>
      <c r="BA64" s="71"/>
      <c r="BB64" s="71"/>
      <c r="BC64" s="10"/>
    </row>
    <row r="65" spans="1:54" s="10" customFormat="1" x14ac:dyDescent="0.35">
      <c r="A65" s="10" t="s">
        <v>39</v>
      </c>
      <c r="D65" s="10">
        <f>+D63+D64</f>
        <v>0</v>
      </c>
      <c r="E65" s="10">
        <f>+D65+E63+E64</f>
        <v>0</v>
      </c>
      <c r="F65" s="10">
        <f t="shared" ref="F65:O65" si="33">+E65+F63+F64</f>
        <v>0</v>
      </c>
      <c r="G65" s="10">
        <f t="shared" si="33"/>
        <v>0</v>
      </c>
      <c r="H65" s="10">
        <f t="shared" si="33"/>
        <v>0</v>
      </c>
      <c r="I65" s="10">
        <f t="shared" si="33"/>
        <v>0</v>
      </c>
      <c r="J65" s="10">
        <f t="shared" si="33"/>
        <v>0</v>
      </c>
      <c r="K65" s="10">
        <f t="shared" si="33"/>
        <v>0</v>
      </c>
      <c r="L65" s="10">
        <f t="shared" si="33"/>
        <v>3000</v>
      </c>
      <c r="M65" s="10">
        <f t="shared" si="33"/>
        <v>1263.3</v>
      </c>
      <c r="N65" s="10">
        <f t="shared" si="33"/>
        <v>16186.599999999999</v>
      </c>
      <c r="O65" s="10">
        <f t="shared" si="33"/>
        <v>14449.899999999998</v>
      </c>
      <c r="Q65" s="10">
        <f>+O65+Q63</f>
        <v>33413.199999999997</v>
      </c>
      <c r="R65" s="10">
        <f>+Q65+R63</f>
        <v>30956.499999999996</v>
      </c>
      <c r="S65" s="10">
        <f t="shared" ref="S65:AB65" si="34">+R65+S63</f>
        <v>28499.799999999996</v>
      </c>
      <c r="T65" s="10">
        <f t="shared" si="34"/>
        <v>26043.099999999995</v>
      </c>
      <c r="U65" s="10">
        <f t="shared" si="34"/>
        <v>23586.399999999994</v>
      </c>
      <c r="V65" s="10">
        <f t="shared" si="34"/>
        <v>21129.699999999993</v>
      </c>
      <c r="W65" s="10">
        <f t="shared" si="34"/>
        <v>18672.999999999993</v>
      </c>
      <c r="X65" s="10">
        <f t="shared" si="34"/>
        <v>16216.299999999992</v>
      </c>
      <c r="Y65" s="10">
        <f t="shared" si="34"/>
        <v>13759.599999999991</v>
      </c>
      <c r="Z65" s="10">
        <f t="shared" si="34"/>
        <v>11302.899999999991</v>
      </c>
      <c r="AA65" s="10">
        <f t="shared" si="34"/>
        <v>8846.1999999999898</v>
      </c>
      <c r="AB65" s="10">
        <f t="shared" si="34"/>
        <v>6389.49999999999</v>
      </c>
      <c r="AD65" s="10">
        <f>+AB65+AD63</f>
        <v>6389.49999999999</v>
      </c>
      <c r="AE65" s="10">
        <f>+AD65+AE63</f>
        <v>6389.49999999999</v>
      </c>
      <c r="AF65" s="10">
        <f t="shared" ref="AF65:AO65" si="35">+AE65+AF63</f>
        <v>6389.49999999999</v>
      </c>
      <c r="AG65" s="10">
        <f t="shared" si="35"/>
        <v>6389.49999999999</v>
      </c>
      <c r="AH65" s="10">
        <f t="shared" si="35"/>
        <v>6389.49999999999</v>
      </c>
      <c r="AI65" s="10">
        <f t="shared" si="35"/>
        <v>6389.49999999999</v>
      </c>
      <c r="AJ65" s="10">
        <f t="shared" si="35"/>
        <v>6389.49999999999</v>
      </c>
      <c r="AK65" s="10">
        <f t="shared" si="35"/>
        <v>6389.49999999999</v>
      </c>
      <c r="AL65" s="10">
        <f t="shared" si="35"/>
        <v>6389.49999999999</v>
      </c>
      <c r="AM65" s="10">
        <f t="shared" si="35"/>
        <v>6389.49999999999</v>
      </c>
      <c r="AN65" s="10">
        <f t="shared" si="35"/>
        <v>6389.49999999999</v>
      </c>
      <c r="AO65" s="10">
        <f t="shared" si="35"/>
        <v>6389.49999999999</v>
      </c>
      <c r="AQ65" s="10">
        <f>+AO65+AQ63</f>
        <v>6389.49999999999</v>
      </c>
      <c r="AR65" s="10">
        <f>+AQ65+AR63</f>
        <v>6389.49999999999</v>
      </c>
      <c r="AS65" s="10">
        <f t="shared" ref="AS65:BB65" si="36">+AR65+AS63</f>
        <v>6389.49999999999</v>
      </c>
      <c r="AT65" s="10">
        <f t="shared" si="36"/>
        <v>6389.49999999999</v>
      </c>
      <c r="AU65" s="10">
        <f t="shared" si="36"/>
        <v>6389.49999999999</v>
      </c>
      <c r="AV65" s="10">
        <f t="shared" si="36"/>
        <v>6389.49999999999</v>
      </c>
      <c r="AW65" s="10">
        <f t="shared" si="36"/>
        <v>6389.49999999999</v>
      </c>
      <c r="AX65" s="10">
        <f t="shared" si="36"/>
        <v>6389.49999999999</v>
      </c>
      <c r="AY65" s="10">
        <f t="shared" si="36"/>
        <v>6389.49999999999</v>
      </c>
      <c r="AZ65" s="10">
        <f t="shared" si="36"/>
        <v>6389.49999999999</v>
      </c>
      <c r="BA65" s="10">
        <f t="shared" si="36"/>
        <v>6389.49999999999</v>
      </c>
      <c r="BB65" s="10">
        <f t="shared" si="36"/>
        <v>6389.49999999999</v>
      </c>
    </row>
  </sheetData>
  <sheetProtection algorithmName="SHA-512" hashValue="0k66hV1gT7p5mcTDt6mCxkT9Bxxd+V8iHZJWXo1BGeywAV4y+ClhGh+GGJPj/FrwmDX2Z84cFwJP0hAiDvm4jQ==" saltValue="g7Of4uVg27uiOYQ2kfI62Q==" spinCount="100000" sheet="1" formatColumns="0"/>
  <pageMargins left="0.70866141732283472" right="0.70866141732283472" top="1.1811023622047245" bottom="0.78740157480314965" header="0.31496062992125984" footer="0.31496062992125984"/>
  <pageSetup paperSize="9" scale="54" fitToWidth="4" orientation="landscape" r:id="rId1"/>
  <headerFooter>
    <oddHeader>&amp;L&amp;G&amp;R&amp;"Arial,Fett"&amp;12IHK Köln - das Finanztool&amp;"Arial,Standard"&amp;10
&amp;A</oddHeader>
    <oddFooter>&amp;L&amp;8&amp;Z&amp;F\&amp;A\&amp;D\&amp;T&amp;RRelease 3.10</oddFooter>
  </headerFooter>
  <colBreaks count="3" manualBreakCount="3">
    <brk id="16" max="1048575" man="1"/>
    <brk id="29" max="1048575" man="1"/>
    <brk id="42" max="1048575" man="1"/>
  </colBreaks>
  <legacyDrawing r:id="rId2"/>
  <legacyDrawingHF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L74"/>
  <sheetViews>
    <sheetView zoomScale="85" zoomScaleNormal="85" workbookViewId="0">
      <pane ySplit="2" topLeftCell="A3" activePane="bottomLeft" state="frozen"/>
      <selection activeCell="A14" sqref="A14"/>
      <selection pane="bottomLeft" activeCell="B8" sqref="B8"/>
    </sheetView>
  </sheetViews>
  <sheetFormatPr baseColWidth="10" defaultRowHeight="12.75" x14ac:dyDescent="0.35"/>
  <cols>
    <col min="1" max="1" width="26.86328125" customWidth="1"/>
    <col min="2" max="2" width="14.86328125" customWidth="1"/>
    <col min="3" max="3" width="14.73046875" customWidth="1"/>
    <col min="4" max="4" width="15.73046875" customWidth="1"/>
    <col min="5" max="5" width="14.73046875" customWidth="1"/>
    <col min="6" max="6" width="15.73046875" customWidth="1"/>
    <col min="7" max="7" width="14.73046875" customWidth="1"/>
    <col min="8" max="8" width="15.73046875" customWidth="1"/>
    <col min="9" max="9" width="14.73046875" customWidth="1"/>
    <col min="10" max="10" width="15.73046875" customWidth="1"/>
    <col min="11" max="253" width="11.3984375"/>
    <col min="254" max="254" width="22" customWidth="1"/>
    <col min="255" max="255" width="11.3984375"/>
    <col min="256" max="256" width="12.265625" customWidth="1"/>
    <col min="257" max="257" width="12.3984375" customWidth="1"/>
    <col min="258" max="258" width="17.86328125" customWidth="1"/>
    <col min="259" max="259" width="21.1328125" customWidth="1"/>
    <col min="260" max="260" width="17.86328125" customWidth="1"/>
    <col min="261" max="261" width="12.86328125" customWidth="1"/>
    <col min="262" max="509" width="11.3984375"/>
    <col min="510" max="510" width="22" customWidth="1"/>
    <col min="511" max="511" width="11.3984375"/>
    <col min="512" max="512" width="12.265625" customWidth="1"/>
    <col min="513" max="513" width="12.3984375" customWidth="1"/>
    <col min="514" max="514" width="17.86328125" customWidth="1"/>
    <col min="515" max="515" width="21.1328125" customWidth="1"/>
    <col min="516" max="516" width="17.86328125" customWidth="1"/>
    <col min="517" max="517" width="12.86328125" customWidth="1"/>
    <col min="518" max="765" width="11.3984375"/>
    <col min="766" max="766" width="22" customWidth="1"/>
    <col min="767" max="767" width="11.3984375"/>
    <col min="768" max="768" width="12.265625" customWidth="1"/>
    <col min="769" max="769" width="12.3984375" customWidth="1"/>
    <col min="770" max="770" width="17.86328125" customWidth="1"/>
    <col min="771" max="771" width="21.1328125" customWidth="1"/>
    <col min="772" max="772" width="17.86328125" customWidth="1"/>
    <col min="773" max="773" width="12.86328125" customWidth="1"/>
    <col min="774" max="1021" width="11.3984375"/>
    <col min="1022" max="1022" width="22" customWidth="1"/>
    <col min="1023" max="1023" width="11.3984375"/>
    <col min="1024" max="1024" width="12.265625" customWidth="1"/>
    <col min="1025" max="1025" width="12.3984375" customWidth="1"/>
    <col min="1026" max="1026" width="17.86328125" customWidth="1"/>
    <col min="1027" max="1027" width="21.1328125" customWidth="1"/>
    <col min="1028" max="1028" width="17.86328125" customWidth="1"/>
    <col min="1029" max="1029" width="12.86328125" customWidth="1"/>
    <col min="1030" max="1277" width="11.3984375"/>
    <col min="1278" max="1278" width="22" customWidth="1"/>
    <col min="1279" max="1279" width="11.3984375"/>
    <col min="1280" max="1280" width="12.265625" customWidth="1"/>
    <col min="1281" max="1281" width="12.3984375" customWidth="1"/>
    <col min="1282" max="1282" width="17.86328125" customWidth="1"/>
    <col min="1283" max="1283" width="21.1328125" customWidth="1"/>
    <col min="1284" max="1284" width="17.86328125" customWidth="1"/>
    <col min="1285" max="1285" width="12.86328125" customWidth="1"/>
    <col min="1286" max="1533" width="11.3984375"/>
    <col min="1534" max="1534" width="22" customWidth="1"/>
    <col min="1535" max="1535" width="11.3984375"/>
    <col min="1536" max="1536" width="12.265625" customWidth="1"/>
    <col min="1537" max="1537" width="12.3984375" customWidth="1"/>
    <col min="1538" max="1538" width="17.86328125" customWidth="1"/>
    <col min="1539" max="1539" width="21.1328125" customWidth="1"/>
    <col min="1540" max="1540" width="17.86328125" customWidth="1"/>
    <col min="1541" max="1541" width="12.86328125" customWidth="1"/>
    <col min="1542" max="1789" width="11.3984375"/>
    <col min="1790" max="1790" width="22" customWidth="1"/>
    <col min="1791" max="1791" width="11.3984375"/>
    <col min="1792" max="1792" width="12.265625" customWidth="1"/>
    <col min="1793" max="1793" width="12.3984375" customWidth="1"/>
    <col min="1794" max="1794" width="17.86328125" customWidth="1"/>
    <col min="1795" max="1795" width="21.1328125" customWidth="1"/>
    <col min="1796" max="1796" width="17.86328125" customWidth="1"/>
    <col min="1797" max="1797" width="12.86328125" customWidth="1"/>
    <col min="1798" max="2045" width="11.3984375"/>
    <col min="2046" max="2046" width="22" customWidth="1"/>
    <col min="2047" max="2047" width="11.3984375"/>
    <col min="2048" max="2048" width="12.265625" customWidth="1"/>
    <col min="2049" max="2049" width="12.3984375" customWidth="1"/>
    <col min="2050" max="2050" width="17.86328125" customWidth="1"/>
    <col min="2051" max="2051" width="21.1328125" customWidth="1"/>
    <col min="2052" max="2052" width="17.86328125" customWidth="1"/>
    <col min="2053" max="2053" width="12.86328125" customWidth="1"/>
    <col min="2054" max="2301" width="11.3984375"/>
    <col min="2302" max="2302" width="22" customWidth="1"/>
    <col min="2303" max="2303" width="11.3984375"/>
    <col min="2304" max="2304" width="12.265625" customWidth="1"/>
    <col min="2305" max="2305" width="12.3984375" customWidth="1"/>
    <col min="2306" max="2306" width="17.86328125" customWidth="1"/>
    <col min="2307" max="2307" width="21.1328125" customWidth="1"/>
    <col min="2308" max="2308" width="17.86328125" customWidth="1"/>
    <col min="2309" max="2309" width="12.86328125" customWidth="1"/>
    <col min="2310" max="2557" width="11.3984375"/>
    <col min="2558" max="2558" width="22" customWidth="1"/>
    <col min="2559" max="2559" width="11.3984375"/>
    <col min="2560" max="2560" width="12.265625" customWidth="1"/>
    <col min="2561" max="2561" width="12.3984375" customWidth="1"/>
    <col min="2562" max="2562" width="17.86328125" customWidth="1"/>
    <col min="2563" max="2563" width="21.1328125" customWidth="1"/>
    <col min="2564" max="2564" width="17.86328125" customWidth="1"/>
    <col min="2565" max="2565" width="12.86328125" customWidth="1"/>
    <col min="2566" max="2813" width="11.3984375"/>
    <col min="2814" max="2814" width="22" customWidth="1"/>
    <col min="2815" max="2815" width="11.3984375"/>
    <col min="2816" max="2816" width="12.265625" customWidth="1"/>
    <col min="2817" max="2817" width="12.3984375" customWidth="1"/>
    <col min="2818" max="2818" width="17.86328125" customWidth="1"/>
    <col min="2819" max="2819" width="21.1328125" customWidth="1"/>
    <col min="2820" max="2820" width="17.86328125" customWidth="1"/>
    <col min="2821" max="2821" width="12.86328125" customWidth="1"/>
    <col min="2822" max="3069" width="11.3984375"/>
    <col min="3070" max="3070" width="22" customWidth="1"/>
    <col min="3071" max="3071" width="11.3984375"/>
    <col min="3072" max="3072" width="12.265625" customWidth="1"/>
    <col min="3073" max="3073" width="12.3984375" customWidth="1"/>
    <col min="3074" max="3074" width="17.86328125" customWidth="1"/>
    <col min="3075" max="3075" width="21.1328125" customWidth="1"/>
    <col min="3076" max="3076" width="17.86328125" customWidth="1"/>
    <col min="3077" max="3077" width="12.86328125" customWidth="1"/>
    <col min="3078" max="3325" width="11.3984375"/>
    <col min="3326" max="3326" width="22" customWidth="1"/>
    <col min="3327" max="3327" width="11.3984375"/>
    <col min="3328" max="3328" width="12.265625" customWidth="1"/>
    <col min="3329" max="3329" width="12.3984375" customWidth="1"/>
    <col min="3330" max="3330" width="17.86328125" customWidth="1"/>
    <col min="3331" max="3331" width="21.1328125" customWidth="1"/>
    <col min="3332" max="3332" width="17.86328125" customWidth="1"/>
    <col min="3333" max="3333" width="12.86328125" customWidth="1"/>
    <col min="3334" max="3581" width="11.3984375"/>
    <col min="3582" max="3582" width="22" customWidth="1"/>
    <col min="3583" max="3583" width="11.3984375"/>
    <col min="3584" max="3584" width="12.265625" customWidth="1"/>
    <col min="3585" max="3585" width="12.3984375" customWidth="1"/>
    <col min="3586" max="3586" width="17.86328125" customWidth="1"/>
    <col min="3587" max="3587" width="21.1328125" customWidth="1"/>
    <col min="3588" max="3588" width="17.86328125" customWidth="1"/>
    <col min="3589" max="3589" width="12.86328125" customWidth="1"/>
    <col min="3590" max="3837" width="11.3984375"/>
    <col min="3838" max="3838" width="22" customWidth="1"/>
    <col min="3839" max="3839" width="11.3984375"/>
    <col min="3840" max="3840" width="12.265625" customWidth="1"/>
    <col min="3841" max="3841" width="12.3984375" customWidth="1"/>
    <col min="3842" max="3842" width="17.86328125" customWidth="1"/>
    <col min="3843" max="3843" width="21.1328125" customWidth="1"/>
    <col min="3844" max="3844" width="17.86328125" customWidth="1"/>
    <col min="3845" max="3845" width="12.86328125" customWidth="1"/>
    <col min="3846" max="4093" width="11.3984375"/>
    <col min="4094" max="4094" width="22" customWidth="1"/>
    <col min="4095" max="4095" width="11.3984375"/>
    <col min="4096" max="4096" width="12.265625" customWidth="1"/>
    <col min="4097" max="4097" width="12.3984375" customWidth="1"/>
    <col min="4098" max="4098" width="17.86328125" customWidth="1"/>
    <col min="4099" max="4099" width="21.1328125" customWidth="1"/>
    <col min="4100" max="4100" width="17.86328125" customWidth="1"/>
    <col min="4101" max="4101" width="12.86328125" customWidth="1"/>
    <col min="4102" max="4349" width="11.3984375"/>
    <col min="4350" max="4350" width="22" customWidth="1"/>
    <col min="4351" max="4351" width="11.3984375"/>
    <col min="4352" max="4352" width="12.265625" customWidth="1"/>
    <col min="4353" max="4353" width="12.3984375" customWidth="1"/>
    <col min="4354" max="4354" width="17.86328125" customWidth="1"/>
    <col min="4355" max="4355" width="21.1328125" customWidth="1"/>
    <col min="4356" max="4356" width="17.86328125" customWidth="1"/>
    <col min="4357" max="4357" width="12.86328125" customWidth="1"/>
    <col min="4358" max="4605" width="11.3984375"/>
    <col min="4606" max="4606" width="22" customWidth="1"/>
    <col min="4607" max="4607" width="11.3984375"/>
    <col min="4608" max="4608" width="12.265625" customWidth="1"/>
    <col min="4609" max="4609" width="12.3984375" customWidth="1"/>
    <col min="4610" max="4610" width="17.86328125" customWidth="1"/>
    <col min="4611" max="4611" width="21.1328125" customWidth="1"/>
    <col min="4612" max="4612" width="17.86328125" customWidth="1"/>
    <col min="4613" max="4613" width="12.86328125" customWidth="1"/>
    <col min="4614" max="4861" width="11.3984375"/>
    <col min="4862" max="4862" width="22" customWidth="1"/>
    <col min="4863" max="4863" width="11.3984375"/>
    <col min="4864" max="4864" width="12.265625" customWidth="1"/>
    <col min="4865" max="4865" width="12.3984375" customWidth="1"/>
    <col min="4866" max="4866" width="17.86328125" customWidth="1"/>
    <col min="4867" max="4867" width="21.1328125" customWidth="1"/>
    <col min="4868" max="4868" width="17.86328125" customWidth="1"/>
    <col min="4869" max="4869" width="12.86328125" customWidth="1"/>
    <col min="4870" max="5117" width="11.3984375"/>
    <col min="5118" max="5118" width="22" customWidth="1"/>
    <col min="5119" max="5119" width="11.3984375"/>
    <col min="5120" max="5120" width="12.265625" customWidth="1"/>
    <col min="5121" max="5121" width="12.3984375" customWidth="1"/>
    <col min="5122" max="5122" width="17.86328125" customWidth="1"/>
    <col min="5123" max="5123" width="21.1328125" customWidth="1"/>
    <col min="5124" max="5124" width="17.86328125" customWidth="1"/>
    <col min="5125" max="5125" width="12.86328125" customWidth="1"/>
    <col min="5126" max="5373" width="11.3984375"/>
    <col min="5374" max="5374" width="22" customWidth="1"/>
    <col min="5375" max="5375" width="11.3984375"/>
    <col min="5376" max="5376" width="12.265625" customWidth="1"/>
    <col min="5377" max="5377" width="12.3984375" customWidth="1"/>
    <col min="5378" max="5378" width="17.86328125" customWidth="1"/>
    <col min="5379" max="5379" width="21.1328125" customWidth="1"/>
    <col min="5380" max="5380" width="17.86328125" customWidth="1"/>
    <col min="5381" max="5381" width="12.86328125" customWidth="1"/>
    <col min="5382" max="5629" width="11.3984375"/>
    <col min="5630" max="5630" width="22" customWidth="1"/>
    <col min="5631" max="5631" width="11.3984375"/>
    <col min="5632" max="5632" width="12.265625" customWidth="1"/>
    <col min="5633" max="5633" width="12.3984375" customWidth="1"/>
    <col min="5634" max="5634" width="17.86328125" customWidth="1"/>
    <col min="5635" max="5635" width="21.1328125" customWidth="1"/>
    <col min="5636" max="5636" width="17.86328125" customWidth="1"/>
    <col min="5637" max="5637" width="12.86328125" customWidth="1"/>
    <col min="5638" max="5885" width="11.3984375"/>
    <col min="5886" max="5886" width="22" customWidth="1"/>
    <col min="5887" max="5887" width="11.3984375"/>
    <col min="5888" max="5888" width="12.265625" customWidth="1"/>
    <col min="5889" max="5889" width="12.3984375" customWidth="1"/>
    <col min="5890" max="5890" width="17.86328125" customWidth="1"/>
    <col min="5891" max="5891" width="21.1328125" customWidth="1"/>
    <col min="5892" max="5892" width="17.86328125" customWidth="1"/>
    <col min="5893" max="5893" width="12.86328125" customWidth="1"/>
    <col min="5894" max="6141" width="11.3984375"/>
    <col min="6142" max="6142" width="22" customWidth="1"/>
    <col min="6143" max="6143" width="11.3984375"/>
    <col min="6144" max="6144" width="12.265625" customWidth="1"/>
    <col min="6145" max="6145" width="12.3984375" customWidth="1"/>
    <col min="6146" max="6146" width="17.86328125" customWidth="1"/>
    <col min="6147" max="6147" width="21.1328125" customWidth="1"/>
    <col min="6148" max="6148" width="17.86328125" customWidth="1"/>
    <col min="6149" max="6149" width="12.86328125" customWidth="1"/>
    <col min="6150" max="6397" width="11.3984375"/>
    <col min="6398" max="6398" width="22" customWidth="1"/>
    <col min="6399" max="6399" width="11.3984375"/>
    <col min="6400" max="6400" width="12.265625" customWidth="1"/>
    <col min="6401" max="6401" width="12.3984375" customWidth="1"/>
    <col min="6402" max="6402" width="17.86328125" customWidth="1"/>
    <col min="6403" max="6403" width="21.1328125" customWidth="1"/>
    <col min="6404" max="6404" width="17.86328125" customWidth="1"/>
    <col min="6405" max="6405" width="12.86328125" customWidth="1"/>
    <col min="6406" max="6653" width="11.3984375"/>
    <col min="6654" max="6654" width="22" customWidth="1"/>
    <col min="6655" max="6655" width="11.3984375"/>
    <col min="6656" max="6656" width="12.265625" customWidth="1"/>
    <col min="6657" max="6657" width="12.3984375" customWidth="1"/>
    <col min="6658" max="6658" width="17.86328125" customWidth="1"/>
    <col min="6659" max="6659" width="21.1328125" customWidth="1"/>
    <col min="6660" max="6660" width="17.86328125" customWidth="1"/>
    <col min="6661" max="6661" width="12.86328125" customWidth="1"/>
    <col min="6662" max="6909" width="11.3984375"/>
    <col min="6910" max="6910" width="22" customWidth="1"/>
    <col min="6911" max="6911" width="11.3984375"/>
    <col min="6912" max="6912" width="12.265625" customWidth="1"/>
    <col min="6913" max="6913" width="12.3984375" customWidth="1"/>
    <col min="6914" max="6914" width="17.86328125" customWidth="1"/>
    <col min="6915" max="6915" width="21.1328125" customWidth="1"/>
    <col min="6916" max="6916" width="17.86328125" customWidth="1"/>
    <col min="6917" max="6917" width="12.86328125" customWidth="1"/>
    <col min="6918" max="7165" width="11.3984375"/>
    <col min="7166" max="7166" width="22" customWidth="1"/>
    <col min="7167" max="7167" width="11.3984375"/>
    <col min="7168" max="7168" width="12.265625" customWidth="1"/>
    <col min="7169" max="7169" width="12.3984375" customWidth="1"/>
    <col min="7170" max="7170" width="17.86328125" customWidth="1"/>
    <col min="7171" max="7171" width="21.1328125" customWidth="1"/>
    <col min="7172" max="7172" width="17.86328125" customWidth="1"/>
    <col min="7173" max="7173" width="12.86328125" customWidth="1"/>
    <col min="7174" max="7421" width="11.3984375"/>
    <col min="7422" max="7422" width="22" customWidth="1"/>
    <col min="7423" max="7423" width="11.3984375"/>
    <col min="7424" max="7424" width="12.265625" customWidth="1"/>
    <col min="7425" max="7425" width="12.3984375" customWidth="1"/>
    <col min="7426" max="7426" width="17.86328125" customWidth="1"/>
    <col min="7427" max="7427" width="21.1328125" customWidth="1"/>
    <col min="7428" max="7428" width="17.86328125" customWidth="1"/>
    <col min="7429" max="7429" width="12.86328125" customWidth="1"/>
    <col min="7430" max="7677" width="11.3984375"/>
    <col min="7678" max="7678" width="22" customWidth="1"/>
    <col min="7679" max="7679" width="11.3984375"/>
    <col min="7680" max="7680" width="12.265625" customWidth="1"/>
    <col min="7681" max="7681" width="12.3984375" customWidth="1"/>
    <col min="7682" max="7682" width="17.86328125" customWidth="1"/>
    <col min="7683" max="7683" width="21.1328125" customWidth="1"/>
    <col min="7684" max="7684" width="17.86328125" customWidth="1"/>
    <col min="7685" max="7685" width="12.86328125" customWidth="1"/>
    <col min="7686" max="7933" width="11.3984375"/>
    <col min="7934" max="7934" width="22" customWidth="1"/>
    <col min="7935" max="7935" width="11.3984375"/>
    <col min="7936" max="7936" width="12.265625" customWidth="1"/>
    <col min="7937" max="7937" width="12.3984375" customWidth="1"/>
    <col min="7938" max="7938" width="17.86328125" customWidth="1"/>
    <col min="7939" max="7939" width="21.1328125" customWidth="1"/>
    <col min="7940" max="7940" width="17.86328125" customWidth="1"/>
    <col min="7941" max="7941" width="12.86328125" customWidth="1"/>
    <col min="7942" max="8189" width="11.3984375"/>
    <col min="8190" max="8190" width="22" customWidth="1"/>
    <col min="8191" max="8191" width="11.3984375"/>
    <col min="8192" max="8192" width="12.265625" customWidth="1"/>
    <col min="8193" max="8193" width="12.3984375" customWidth="1"/>
    <col min="8194" max="8194" width="17.86328125" customWidth="1"/>
    <col min="8195" max="8195" width="21.1328125" customWidth="1"/>
    <col min="8196" max="8196" width="17.86328125" customWidth="1"/>
    <col min="8197" max="8197" width="12.86328125" customWidth="1"/>
    <col min="8198" max="8445" width="11.3984375"/>
    <col min="8446" max="8446" width="22" customWidth="1"/>
    <col min="8447" max="8447" width="11.3984375"/>
    <col min="8448" max="8448" width="12.265625" customWidth="1"/>
    <col min="8449" max="8449" width="12.3984375" customWidth="1"/>
    <col min="8450" max="8450" width="17.86328125" customWidth="1"/>
    <col min="8451" max="8451" width="21.1328125" customWidth="1"/>
    <col min="8452" max="8452" width="17.86328125" customWidth="1"/>
    <col min="8453" max="8453" width="12.86328125" customWidth="1"/>
    <col min="8454" max="8701" width="11.3984375"/>
    <col min="8702" max="8702" width="22" customWidth="1"/>
    <col min="8703" max="8703" width="11.3984375"/>
    <col min="8704" max="8704" width="12.265625" customWidth="1"/>
    <col min="8705" max="8705" width="12.3984375" customWidth="1"/>
    <col min="8706" max="8706" width="17.86328125" customWidth="1"/>
    <col min="8707" max="8707" width="21.1328125" customWidth="1"/>
    <col min="8708" max="8708" width="17.86328125" customWidth="1"/>
    <col min="8709" max="8709" width="12.86328125" customWidth="1"/>
    <col min="8710" max="8957" width="11.3984375"/>
    <col min="8958" max="8958" width="22" customWidth="1"/>
    <col min="8959" max="8959" width="11.3984375"/>
    <col min="8960" max="8960" width="12.265625" customWidth="1"/>
    <col min="8961" max="8961" width="12.3984375" customWidth="1"/>
    <col min="8962" max="8962" width="17.86328125" customWidth="1"/>
    <col min="8963" max="8963" width="21.1328125" customWidth="1"/>
    <col min="8964" max="8964" width="17.86328125" customWidth="1"/>
    <col min="8965" max="8965" width="12.86328125" customWidth="1"/>
    <col min="8966" max="9213" width="11.3984375"/>
    <col min="9214" max="9214" width="22" customWidth="1"/>
    <col min="9215" max="9215" width="11.3984375"/>
    <col min="9216" max="9216" width="12.265625" customWidth="1"/>
    <col min="9217" max="9217" width="12.3984375" customWidth="1"/>
    <col min="9218" max="9218" width="17.86328125" customWidth="1"/>
    <col min="9219" max="9219" width="21.1328125" customWidth="1"/>
    <col min="9220" max="9220" width="17.86328125" customWidth="1"/>
    <col min="9221" max="9221" width="12.86328125" customWidth="1"/>
    <col min="9222" max="9469" width="11.3984375"/>
    <col min="9470" max="9470" width="22" customWidth="1"/>
    <col min="9471" max="9471" width="11.3984375"/>
    <col min="9472" max="9472" width="12.265625" customWidth="1"/>
    <col min="9473" max="9473" width="12.3984375" customWidth="1"/>
    <col min="9474" max="9474" width="17.86328125" customWidth="1"/>
    <col min="9475" max="9475" width="21.1328125" customWidth="1"/>
    <col min="9476" max="9476" width="17.86328125" customWidth="1"/>
    <col min="9477" max="9477" width="12.86328125" customWidth="1"/>
    <col min="9478" max="9725" width="11.3984375"/>
    <col min="9726" max="9726" width="22" customWidth="1"/>
    <col min="9727" max="9727" width="11.3984375"/>
    <col min="9728" max="9728" width="12.265625" customWidth="1"/>
    <col min="9729" max="9729" width="12.3984375" customWidth="1"/>
    <col min="9730" max="9730" width="17.86328125" customWidth="1"/>
    <col min="9731" max="9731" width="21.1328125" customWidth="1"/>
    <col min="9732" max="9732" width="17.86328125" customWidth="1"/>
    <col min="9733" max="9733" width="12.86328125" customWidth="1"/>
    <col min="9734" max="9981" width="11.3984375"/>
    <col min="9982" max="9982" width="22" customWidth="1"/>
    <col min="9983" max="9983" width="11.3984375"/>
    <col min="9984" max="9984" width="12.265625" customWidth="1"/>
    <col min="9985" max="9985" width="12.3984375" customWidth="1"/>
    <col min="9986" max="9986" width="17.86328125" customWidth="1"/>
    <col min="9987" max="9987" width="21.1328125" customWidth="1"/>
    <col min="9988" max="9988" width="17.86328125" customWidth="1"/>
    <col min="9989" max="9989" width="12.86328125" customWidth="1"/>
    <col min="9990" max="10237" width="11.3984375"/>
    <col min="10238" max="10238" width="22" customWidth="1"/>
    <col min="10239" max="10239" width="11.3984375"/>
    <col min="10240" max="10240" width="12.265625" customWidth="1"/>
    <col min="10241" max="10241" width="12.3984375" customWidth="1"/>
    <col min="10242" max="10242" width="17.86328125" customWidth="1"/>
    <col min="10243" max="10243" width="21.1328125" customWidth="1"/>
    <col min="10244" max="10244" width="17.86328125" customWidth="1"/>
    <col min="10245" max="10245" width="12.86328125" customWidth="1"/>
    <col min="10246" max="10493" width="11.3984375"/>
    <col min="10494" max="10494" width="22" customWidth="1"/>
    <col min="10495" max="10495" width="11.3984375"/>
    <col min="10496" max="10496" width="12.265625" customWidth="1"/>
    <col min="10497" max="10497" width="12.3984375" customWidth="1"/>
    <col min="10498" max="10498" width="17.86328125" customWidth="1"/>
    <col min="10499" max="10499" width="21.1328125" customWidth="1"/>
    <col min="10500" max="10500" width="17.86328125" customWidth="1"/>
    <col min="10501" max="10501" width="12.86328125" customWidth="1"/>
    <col min="10502" max="10749" width="11.3984375"/>
    <col min="10750" max="10750" width="22" customWidth="1"/>
    <col min="10751" max="10751" width="11.3984375"/>
    <col min="10752" max="10752" width="12.265625" customWidth="1"/>
    <col min="10753" max="10753" width="12.3984375" customWidth="1"/>
    <col min="10754" max="10754" width="17.86328125" customWidth="1"/>
    <col min="10755" max="10755" width="21.1328125" customWidth="1"/>
    <col min="10756" max="10756" width="17.86328125" customWidth="1"/>
    <col min="10757" max="10757" width="12.86328125" customWidth="1"/>
    <col min="10758" max="11005" width="11.3984375"/>
    <col min="11006" max="11006" width="22" customWidth="1"/>
    <col min="11007" max="11007" width="11.3984375"/>
    <col min="11008" max="11008" width="12.265625" customWidth="1"/>
    <col min="11009" max="11009" width="12.3984375" customWidth="1"/>
    <col min="11010" max="11010" width="17.86328125" customWidth="1"/>
    <col min="11011" max="11011" width="21.1328125" customWidth="1"/>
    <col min="11012" max="11012" width="17.86328125" customWidth="1"/>
    <col min="11013" max="11013" width="12.86328125" customWidth="1"/>
    <col min="11014" max="11261" width="11.3984375"/>
    <col min="11262" max="11262" width="22" customWidth="1"/>
    <col min="11263" max="11263" width="11.3984375"/>
    <col min="11264" max="11264" width="12.265625" customWidth="1"/>
    <col min="11265" max="11265" width="12.3984375" customWidth="1"/>
    <col min="11266" max="11266" width="17.86328125" customWidth="1"/>
    <col min="11267" max="11267" width="21.1328125" customWidth="1"/>
    <col min="11268" max="11268" width="17.86328125" customWidth="1"/>
    <col min="11269" max="11269" width="12.86328125" customWidth="1"/>
    <col min="11270" max="11517" width="11.3984375"/>
    <col min="11518" max="11518" width="22" customWidth="1"/>
    <col min="11519" max="11519" width="11.3984375"/>
    <col min="11520" max="11520" width="12.265625" customWidth="1"/>
    <col min="11521" max="11521" width="12.3984375" customWidth="1"/>
    <col min="11522" max="11522" width="17.86328125" customWidth="1"/>
    <col min="11523" max="11523" width="21.1328125" customWidth="1"/>
    <col min="11524" max="11524" width="17.86328125" customWidth="1"/>
    <col min="11525" max="11525" width="12.86328125" customWidth="1"/>
    <col min="11526" max="11773" width="11.3984375"/>
    <col min="11774" max="11774" width="22" customWidth="1"/>
    <col min="11775" max="11775" width="11.3984375"/>
    <col min="11776" max="11776" width="12.265625" customWidth="1"/>
    <col min="11777" max="11777" width="12.3984375" customWidth="1"/>
    <col min="11778" max="11778" width="17.86328125" customWidth="1"/>
    <col min="11779" max="11779" width="21.1328125" customWidth="1"/>
    <col min="11780" max="11780" width="17.86328125" customWidth="1"/>
    <col min="11781" max="11781" width="12.86328125" customWidth="1"/>
    <col min="11782" max="12029" width="11.3984375"/>
    <col min="12030" max="12030" width="22" customWidth="1"/>
    <col min="12031" max="12031" width="11.3984375"/>
    <col min="12032" max="12032" width="12.265625" customWidth="1"/>
    <col min="12033" max="12033" width="12.3984375" customWidth="1"/>
    <col min="12034" max="12034" width="17.86328125" customWidth="1"/>
    <col min="12035" max="12035" width="21.1328125" customWidth="1"/>
    <col min="12036" max="12036" width="17.86328125" customWidth="1"/>
    <col min="12037" max="12037" width="12.86328125" customWidth="1"/>
    <col min="12038" max="12285" width="11.3984375"/>
    <col min="12286" max="12286" width="22" customWidth="1"/>
    <col min="12287" max="12287" width="11.3984375"/>
    <col min="12288" max="12288" width="12.265625" customWidth="1"/>
    <col min="12289" max="12289" width="12.3984375" customWidth="1"/>
    <col min="12290" max="12290" width="17.86328125" customWidth="1"/>
    <col min="12291" max="12291" width="21.1328125" customWidth="1"/>
    <col min="12292" max="12292" width="17.86328125" customWidth="1"/>
    <col min="12293" max="12293" width="12.86328125" customWidth="1"/>
    <col min="12294" max="12541" width="11.3984375"/>
    <col min="12542" max="12542" width="22" customWidth="1"/>
    <col min="12543" max="12543" width="11.3984375"/>
    <col min="12544" max="12544" width="12.265625" customWidth="1"/>
    <col min="12545" max="12545" width="12.3984375" customWidth="1"/>
    <col min="12546" max="12546" width="17.86328125" customWidth="1"/>
    <col min="12547" max="12547" width="21.1328125" customWidth="1"/>
    <col min="12548" max="12548" width="17.86328125" customWidth="1"/>
    <col min="12549" max="12549" width="12.86328125" customWidth="1"/>
    <col min="12550" max="12797" width="11.3984375"/>
    <col min="12798" max="12798" width="22" customWidth="1"/>
    <col min="12799" max="12799" width="11.3984375"/>
    <col min="12800" max="12800" width="12.265625" customWidth="1"/>
    <col min="12801" max="12801" width="12.3984375" customWidth="1"/>
    <col min="12802" max="12802" width="17.86328125" customWidth="1"/>
    <col min="12803" max="12803" width="21.1328125" customWidth="1"/>
    <col min="12804" max="12804" width="17.86328125" customWidth="1"/>
    <col min="12805" max="12805" width="12.86328125" customWidth="1"/>
    <col min="12806" max="13053" width="11.3984375"/>
    <col min="13054" max="13054" width="22" customWidth="1"/>
    <col min="13055" max="13055" width="11.3984375"/>
    <col min="13056" max="13056" width="12.265625" customWidth="1"/>
    <col min="13057" max="13057" width="12.3984375" customWidth="1"/>
    <col min="13058" max="13058" width="17.86328125" customWidth="1"/>
    <col min="13059" max="13059" width="21.1328125" customWidth="1"/>
    <col min="13060" max="13060" width="17.86328125" customWidth="1"/>
    <col min="13061" max="13061" width="12.86328125" customWidth="1"/>
    <col min="13062" max="13309" width="11.3984375"/>
    <col min="13310" max="13310" width="22" customWidth="1"/>
    <col min="13311" max="13311" width="11.3984375"/>
    <col min="13312" max="13312" width="12.265625" customWidth="1"/>
    <col min="13313" max="13313" width="12.3984375" customWidth="1"/>
    <col min="13314" max="13314" width="17.86328125" customWidth="1"/>
    <col min="13315" max="13315" width="21.1328125" customWidth="1"/>
    <col min="13316" max="13316" width="17.86328125" customWidth="1"/>
    <col min="13317" max="13317" width="12.86328125" customWidth="1"/>
    <col min="13318" max="13565" width="11.3984375"/>
    <col min="13566" max="13566" width="22" customWidth="1"/>
    <col min="13567" max="13567" width="11.3984375"/>
    <col min="13568" max="13568" width="12.265625" customWidth="1"/>
    <col min="13569" max="13569" width="12.3984375" customWidth="1"/>
    <col min="13570" max="13570" width="17.86328125" customWidth="1"/>
    <col min="13571" max="13571" width="21.1328125" customWidth="1"/>
    <col min="13572" max="13572" width="17.86328125" customWidth="1"/>
    <col min="13573" max="13573" width="12.86328125" customWidth="1"/>
    <col min="13574" max="13821" width="11.3984375"/>
    <col min="13822" max="13822" width="22" customWidth="1"/>
    <col min="13823" max="13823" width="11.3984375"/>
    <col min="13824" max="13824" width="12.265625" customWidth="1"/>
    <col min="13825" max="13825" width="12.3984375" customWidth="1"/>
    <col min="13826" max="13826" width="17.86328125" customWidth="1"/>
    <col min="13827" max="13827" width="21.1328125" customWidth="1"/>
    <col min="13828" max="13828" width="17.86328125" customWidth="1"/>
    <col min="13829" max="13829" width="12.86328125" customWidth="1"/>
    <col min="13830" max="14077" width="11.3984375"/>
    <col min="14078" max="14078" width="22" customWidth="1"/>
    <col min="14079" max="14079" width="11.3984375"/>
    <col min="14080" max="14080" width="12.265625" customWidth="1"/>
    <col min="14081" max="14081" width="12.3984375" customWidth="1"/>
    <col min="14082" max="14082" width="17.86328125" customWidth="1"/>
    <col min="14083" max="14083" width="21.1328125" customWidth="1"/>
    <col min="14084" max="14084" width="17.86328125" customWidth="1"/>
    <col min="14085" max="14085" width="12.86328125" customWidth="1"/>
    <col min="14086" max="14333" width="11.3984375"/>
    <col min="14334" max="14334" width="22" customWidth="1"/>
    <col min="14335" max="14335" width="11.3984375"/>
    <col min="14336" max="14336" width="12.265625" customWidth="1"/>
    <col min="14337" max="14337" width="12.3984375" customWidth="1"/>
    <col min="14338" max="14338" width="17.86328125" customWidth="1"/>
    <col min="14339" max="14339" width="21.1328125" customWidth="1"/>
    <col min="14340" max="14340" width="17.86328125" customWidth="1"/>
    <col min="14341" max="14341" width="12.86328125" customWidth="1"/>
    <col min="14342" max="14589" width="11.3984375"/>
    <col min="14590" max="14590" width="22" customWidth="1"/>
    <col min="14591" max="14591" width="11.3984375"/>
    <col min="14592" max="14592" width="12.265625" customWidth="1"/>
    <col min="14593" max="14593" width="12.3984375" customWidth="1"/>
    <col min="14594" max="14594" width="17.86328125" customWidth="1"/>
    <col min="14595" max="14595" width="21.1328125" customWidth="1"/>
    <col min="14596" max="14596" width="17.86328125" customWidth="1"/>
    <col min="14597" max="14597" width="12.86328125" customWidth="1"/>
    <col min="14598" max="14845" width="11.3984375"/>
    <col min="14846" max="14846" width="22" customWidth="1"/>
    <col min="14847" max="14847" width="11.3984375"/>
    <col min="14848" max="14848" width="12.265625" customWidth="1"/>
    <col min="14849" max="14849" width="12.3984375" customWidth="1"/>
    <col min="14850" max="14850" width="17.86328125" customWidth="1"/>
    <col min="14851" max="14851" width="21.1328125" customWidth="1"/>
    <col min="14852" max="14852" width="17.86328125" customWidth="1"/>
    <col min="14853" max="14853" width="12.86328125" customWidth="1"/>
    <col min="14854" max="15101" width="11.3984375"/>
    <col min="15102" max="15102" width="22" customWidth="1"/>
    <col min="15103" max="15103" width="11.3984375"/>
    <col min="15104" max="15104" width="12.265625" customWidth="1"/>
    <col min="15105" max="15105" width="12.3984375" customWidth="1"/>
    <col min="15106" max="15106" width="17.86328125" customWidth="1"/>
    <col min="15107" max="15107" width="21.1328125" customWidth="1"/>
    <col min="15108" max="15108" width="17.86328125" customWidth="1"/>
    <col min="15109" max="15109" width="12.86328125" customWidth="1"/>
    <col min="15110" max="15357" width="11.3984375"/>
    <col min="15358" max="15358" width="22" customWidth="1"/>
    <col min="15359" max="15359" width="11.3984375"/>
    <col min="15360" max="15360" width="12.265625" customWidth="1"/>
    <col min="15361" max="15361" width="12.3984375" customWidth="1"/>
    <col min="15362" max="15362" width="17.86328125" customWidth="1"/>
    <col min="15363" max="15363" width="21.1328125" customWidth="1"/>
    <col min="15364" max="15364" width="17.86328125" customWidth="1"/>
    <col min="15365" max="15365" width="12.86328125" customWidth="1"/>
    <col min="15366" max="15613" width="11.3984375"/>
    <col min="15614" max="15614" width="22" customWidth="1"/>
    <col min="15615" max="15615" width="11.3984375"/>
    <col min="15616" max="15616" width="12.265625" customWidth="1"/>
    <col min="15617" max="15617" width="12.3984375" customWidth="1"/>
    <col min="15618" max="15618" width="17.86328125" customWidth="1"/>
    <col min="15619" max="15619" width="21.1328125" customWidth="1"/>
    <col min="15620" max="15620" width="17.86328125" customWidth="1"/>
    <col min="15621" max="15621" width="12.86328125" customWidth="1"/>
    <col min="15622" max="15869" width="11.3984375"/>
    <col min="15870" max="15870" width="22" customWidth="1"/>
    <col min="15871" max="15871" width="11.3984375"/>
    <col min="15872" max="15872" width="12.265625" customWidth="1"/>
    <col min="15873" max="15873" width="12.3984375" customWidth="1"/>
    <col min="15874" max="15874" width="17.86328125" customWidth="1"/>
    <col min="15875" max="15875" width="21.1328125" customWidth="1"/>
    <col min="15876" max="15876" width="17.86328125" customWidth="1"/>
    <col min="15877" max="15877" width="12.86328125" customWidth="1"/>
    <col min="15878" max="16125" width="11.3984375"/>
    <col min="16126" max="16126" width="22" customWidth="1"/>
    <col min="16127" max="16127" width="11.3984375"/>
    <col min="16128" max="16128" width="12.265625" customWidth="1"/>
    <col min="16129" max="16129" width="12.3984375" customWidth="1"/>
    <col min="16130" max="16130" width="17.86328125" customWidth="1"/>
    <col min="16131" max="16131" width="21.1328125" customWidth="1"/>
    <col min="16132" max="16132" width="17.86328125" customWidth="1"/>
    <col min="16133" max="16133" width="12.86328125" customWidth="1"/>
    <col min="16134" max="16384" width="11.3984375"/>
  </cols>
  <sheetData>
    <row r="1" spans="1:12" ht="15.75" customHeight="1" x14ac:dyDescent="0.35">
      <c r="A1" s="155" t="s">
        <v>40</v>
      </c>
      <c r="B1" s="156" t="s">
        <v>172</v>
      </c>
      <c r="C1" s="149">
        <f>+gj</f>
        <v>2026</v>
      </c>
      <c r="D1" s="150"/>
      <c r="E1" s="149">
        <f>+gj+1</f>
        <v>2027</v>
      </c>
      <c r="F1" s="150"/>
      <c r="G1" s="149">
        <f>+gj+2</f>
        <v>2028</v>
      </c>
      <c r="H1" s="150"/>
      <c r="I1" s="149">
        <f>+gj+3</f>
        <v>2029</v>
      </c>
      <c r="J1" s="150"/>
    </row>
    <row r="2" spans="1:12" ht="51" x14ac:dyDescent="0.35">
      <c r="A2" s="155"/>
      <c r="B2" s="157"/>
      <c r="C2" s="11" t="str">
        <f>IF('Infos vor dem Start'!A17="x","Anschaffungs-kosten (netto)","Anschaffungs-kosten (brutto)")</f>
        <v>Anschaffungs-kosten (netto)</v>
      </c>
      <c r="D2" s="11" t="s">
        <v>114</v>
      </c>
      <c r="E2" s="11" t="str">
        <f>+C2</f>
        <v>Anschaffungs-kosten (netto)</v>
      </c>
      <c r="F2" s="11" t="s">
        <v>114</v>
      </c>
      <c r="G2" s="11" t="str">
        <f>+C2</f>
        <v>Anschaffungs-kosten (netto)</v>
      </c>
      <c r="H2" s="11" t="s">
        <v>114</v>
      </c>
      <c r="I2" s="11" t="str">
        <f>+C2</f>
        <v>Anschaffungs-kosten (netto)</v>
      </c>
      <c r="J2" s="11" t="s">
        <v>114</v>
      </c>
    </row>
    <row r="3" spans="1:12" ht="27" customHeight="1" x14ac:dyDescent="0.35">
      <c r="A3" s="154" t="s">
        <v>167</v>
      </c>
      <c r="B3" s="154"/>
      <c r="C3" s="154"/>
      <c r="D3" s="12"/>
      <c r="E3" s="12"/>
      <c r="F3" s="12"/>
      <c r="H3" s="12"/>
      <c r="J3" s="12"/>
    </row>
    <row r="4" spans="1:12" ht="13.15" x14ac:dyDescent="0.4">
      <c r="A4" s="39" t="s">
        <v>237</v>
      </c>
      <c r="B4" s="44"/>
      <c r="C4" s="41">
        <v>0</v>
      </c>
      <c r="D4" s="8">
        <f t="shared" ref="D4:D12" si="0">ROUND(IF($B4=0,0,C4/$B4/12*(12+1-Monat)),0)</f>
        <v>0</v>
      </c>
      <c r="E4" s="41"/>
      <c r="F4" s="8">
        <f>ROUND(IF(B4=0,0,IF(AND(C4=0,E4=0),0,(C4+E4)/B4)),0)</f>
        <v>0</v>
      </c>
      <c r="G4" s="41"/>
      <c r="H4" s="8">
        <f t="shared" ref="H4:H12" si="1">ROUND(IF(AND($C4=0,$E4=0,$G4=0),0,($C4+$E4+$G4)/$B4),0)</f>
        <v>0</v>
      </c>
      <c r="I4" s="41"/>
      <c r="J4" s="135">
        <f t="shared" ref="J4:J12" si="2">ROUND(IF(AND($C4=0,$E4=0,$G4=0,$I4=0),0,IF(AND(B4=3,Monat&gt;=1),+$C4/$B4-$D4,($C4+$E4+$G4+$I4)/$B4)),0)</f>
        <v>0</v>
      </c>
      <c r="K4" s="136"/>
    </row>
    <row r="5" spans="1:12" ht="13.15" x14ac:dyDescent="0.4">
      <c r="A5" s="39">
        <v>0</v>
      </c>
      <c r="B5" s="44"/>
      <c r="C5" s="41">
        <v>0</v>
      </c>
      <c r="D5" s="8">
        <f t="shared" si="0"/>
        <v>0</v>
      </c>
      <c r="E5" s="41"/>
      <c r="F5" s="8">
        <f t="shared" ref="F5:F12" si="3">ROUND(IF(B5=0,0,IF(AND(C5=0,E5=0),0,(C5+E5)/B5)),0)</f>
        <v>0</v>
      </c>
      <c r="G5" s="41"/>
      <c r="H5" s="8">
        <f t="shared" si="1"/>
        <v>0</v>
      </c>
      <c r="I5" s="41"/>
      <c r="J5" s="135">
        <f t="shared" si="2"/>
        <v>0</v>
      </c>
    </row>
    <row r="6" spans="1:12" ht="13.15" x14ac:dyDescent="0.4">
      <c r="A6" s="39">
        <v>0</v>
      </c>
      <c r="B6" s="44"/>
      <c r="C6" s="41">
        <v>0</v>
      </c>
      <c r="D6" s="8">
        <f t="shared" si="0"/>
        <v>0</v>
      </c>
      <c r="E6" s="41"/>
      <c r="F6" s="8">
        <f t="shared" si="3"/>
        <v>0</v>
      </c>
      <c r="G6" s="41"/>
      <c r="H6" s="8">
        <f t="shared" si="1"/>
        <v>0</v>
      </c>
      <c r="I6" s="41"/>
      <c r="J6" s="135">
        <f t="shared" si="2"/>
        <v>0</v>
      </c>
    </row>
    <row r="7" spans="1:12" ht="13.15" x14ac:dyDescent="0.4">
      <c r="A7" s="39">
        <v>0</v>
      </c>
      <c r="B7" s="44"/>
      <c r="C7" s="41">
        <v>0</v>
      </c>
      <c r="D7" s="8">
        <f t="shared" si="0"/>
        <v>0</v>
      </c>
      <c r="E7" s="41"/>
      <c r="F7" s="8">
        <f t="shared" si="3"/>
        <v>0</v>
      </c>
      <c r="G7" s="41"/>
      <c r="H7" s="8">
        <f t="shared" si="1"/>
        <v>0</v>
      </c>
      <c r="I7" s="41"/>
      <c r="J7" s="135">
        <f t="shared" si="2"/>
        <v>0</v>
      </c>
    </row>
    <row r="8" spans="1:12" ht="13.15" x14ac:dyDescent="0.4">
      <c r="A8" s="39"/>
      <c r="B8" s="44"/>
      <c r="C8" s="41"/>
      <c r="D8" s="8">
        <f t="shared" si="0"/>
        <v>0</v>
      </c>
      <c r="E8" s="41"/>
      <c r="F8" s="8">
        <f t="shared" si="3"/>
        <v>0</v>
      </c>
      <c r="G8" s="41"/>
      <c r="H8" s="8">
        <f t="shared" si="1"/>
        <v>0</v>
      </c>
      <c r="I8" s="41"/>
      <c r="J8" s="135">
        <f t="shared" si="2"/>
        <v>0</v>
      </c>
    </row>
    <row r="9" spans="1:12" ht="13.15" x14ac:dyDescent="0.4">
      <c r="A9" s="39"/>
      <c r="B9" s="44"/>
      <c r="C9" s="41"/>
      <c r="D9" s="8">
        <f t="shared" si="0"/>
        <v>0</v>
      </c>
      <c r="E9" s="41"/>
      <c r="F9" s="8">
        <f t="shared" si="3"/>
        <v>0</v>
      </c>
      <c r="G9" s="41"/>
      <c r="H9" s="8">
        <f t="shared" si="1"/>
        <v>0</v>
      </c>
      <c r="I9" s="41"/>
      <c r="J9" s="135">
        <f t="shared" si="2"/>
        <v>0</v>
      </c>
      <c r="L9" s="137"/>
    </row>
    <row r="10" spans="1:12" ht="13.15" x14ac:dyDescent="0.4">
      <c r="A10" s="39"/>
      <c r="B10" s="44"/>
      <c r="C10" s="41"/>
      <c r="D10" s="8">
        <f t="shared" si="0"/>
        <v>0</v>
      </c>
      <c r="E10" s="41"/>
      <c r="F10" s="8">
        <f t="shared" si="3"/>
        <v>0</v>
      </c>
      <c r="G10" s="41"/>
      <c r="H10" s="8">
        <f t="shared" si="1"/>
        <v>0</v>
      </c>
      <c r="I10" s="41"/>
      <c r="J10" s="135">
        <f t="shared" si="2"/>
        <v>0</v>
      </c>
    </row>
    <row r="11" spans="1:12" ht="13.15" x14ac:dyDescent="0.4">
      <c r="A11" s="39"/>
      <c r="B11" s="44"/>
      <c r="C11" s="41"/>
      <c r="D11" s="8">
        <f t="shared" si="0"/>
        <v>0</v>
      </c>
      <c r="E11" s="41"/>
      <c r="F11" s="8">
        <f t="shared" si="3"/>
        <v>0</v>
      </c>
      <c r="G11" s="41"/>
      <c r="H11" s="8">
        <f t="shared" si="1"/>
        <v>0</v>
      </c>
      <c r="I11" s="41"/>
      <c r="J11" s="135">
        <f t="shared" si="2"/>
        <v>0</v>
      </c>
    </row>
    <row r="12" spans="1:12" ht="13.15" x14ac:dyDescent="0.4">
      <c r="A12" s="39"/>
      <c r="B12" s="44"/>
      <c r="C12" s="41"/>
      <c r="D12" s="8">
        <f t="shared" si="0"/>
        <v>0</v>
      </c>
      <c r="E12" s="41"/>
      <c r="F12" s="8">
        <f t="shared" si="3"/>
        <v>0</v>
      </c>
      <c r="G12" s="41"/>
      <c r="H12" s="8">
        <f t="shared" si="1"/>
        <v>0</v>
      </c>
      <c r="I12" s="41"/>
      <c r="J12" s="135">
        <f t="shared" si="2"/>
        <v>0</v>
      </c>
    </row>
    <row r="13" spans="1:12" ht="13.15" x14ac:dyDescent="0.4">
      <c r="A13" s="28"/>
      <c r="B13" s="15"/>
      <c r="C13" s="35">
        <f>SUM(C4:C12)</f>
        <v>0</v>
      </c>
      <c r="D13" s="35">
        <f>SUM(D4:D12)</f>
        <v>0</v>
      </c>
      <c r="E13" s="35">
        <f t="shared" ref="E13:J13" si="4">SUM(E4:E12)</f>
        <v>0</v>
      </c>
      <c r="F13" s="35">
        <f t="shared" si="4"/>
        <v>0</v>
      </c>
      <c r="G13" s="35">
        <f t="shared" si="4"/>
        <v>0</v>
      </c>
      <c r="H13" s="35">
        <f t="shared" si="4"/>
        <v>0</v>
      </c>
      <c r="I13" s="35">
        <f t="shared" si="4"/>
        <v>0</v>
      </c>
      <c r="J13" s="35">
        <f t="shared" si="4"/>
        <v>0</v>
      </c>
    </row>
    <row r="14" spans="1:12" ht="27" customHeight="1" x14ac:dyDescent="0.4">
      <c r="A14" s="14" t="s">
        <v>42</v>
      </c>
      <c r="B14" s="15"/>
      <c r="C14" s="29"/>
      <c r="D14" s="8"/>
      <c r="E14" s="29"/>
      <c r="F14" s="8"/>
      <c r="G14" s="29"/>
      <c r="H14" s="8"/>
      <c r="I14" s="29"/>
      <c r="J14" s="8"/>
    </row>
    <row r="15" spans="1:12" ht="13.15" x14ac:dyDescent="0.4">
      <c r="A15" s="39"/>
      <c r="B15" s="44"/>
      <c r="C15" s="41"/>
      <c r="D15" s="8">
        <f t="shared" ref="D15:D21" si="5">ROUND(IF($B15=0,0,C15/$B15/12*(12+1-Monat)),0)</f>
        <v>0</v>
      </c>
      <c r="E15" s="41"/>
      <c r="F15" s="8">
        <f>ROUND(IF(B15=0,0,IF(AND(C15=0,E15=0),0,(C15+E15)/B15)),0)</f>
        <v>0</v>
      </c>
      <c r="G15" s="41"/>
      <c r="H15" s="8">
        <f>ROUND(IF(AND($C15=0,$E15=0,$G15=0),0,($C15+$E15+$G15)/$B15),0)</f>
        <v>0</v>
      </c>
      <c r="I15" s="41"/>
      <c r="J15" s="135">
        <f t="shared" ref="J15:J21" si="6">ROUND(IF(AND($C15=0,$E15=0,$G15=0,$I15=0),0,IF(AND(B15=3,Monat&gt;=1),+$C15/$B15-$D15,($C15+$E15+$G15+$I15)/$B15)),0)</f>
        <v>0</v>
      </c>
    </row>
    <row r="16" spans="1:12" ht="13.15" x14ac:dyDescent="0.4">
      <c r="A16" s="39"/>
      <c r="B16" s="44"/>
      <c r="C16" s="41"/>
      <c r="D16" s="8">
        <f t="shared" si="5"/>
        <v>0</v>
      </c>
      <c r="E16" s="41"/>
      <c r="F16" s="8">
        <f t="shared" ref="F16:F21" si="7">ROUND(IF(B16=0,0,IF(AND(C16=0,E16=0),0,(C16+E16)/B16)),0)</f>
        <v>0</v>
      </c>
      <c r="G16" s="41"/>
      <c r="H16" s="8">
        <f t="shared" ref="H16:H21" si="8">ROUND(IF(AND($C16=0,$E16=0,$G16=0),0,($C16+$E16+$G16)/$B16),0)</f>
        <v>0</v>
      </c>
      <c r="I16" s="41"/>
      <c r="J16" s="135">
        <f t="shared" si="6"/>
        <v>0</v>
      </c>
    </row>
    <row r="17" spans="1:10" ht="13.15" x14ac:dyDescent="0.4">
      <c r="A17" s="39"/>
      <c r="B17" s="44"/>
      <c r="C17" s="41"/>
      <c r="D17" s="8">
        <f t="shared" si="5"/>
        <v>0</v>
      </c>
      <c r="E17" s="41"/>
      <c r="F17" s="8">
        <f t="shared" si="7"/>
        <v>0</v>
      </c>
      <c r="G17" s="41"/>
      <c r="H17" s="8">
        <f t="shared" si="8"/>
        <v>0</v>
      </c>
      <c r="I17" s="41"/>
      <c r="J17" s="135">
        <f t="shared" si="6"/>
        <v>0</v>
      </c>
    </row>
    <row r="18" spans="1:10" ht="13.15" x14ac:dyDescent="0.4">
      <c r="A18" s="39"/>
      <c r="B18" s="44"/>
      <c r="C18" s="41"/>
      <c r="D18" s="8">
        <f t="shared" si="5"/>
        <v>0</v>
      </c>
      <c r="E18" s="41"/>
      <c r="F18" s="8">
        <f t="shared" si="7"/>
        <v>0</v>
      </c>
      <c r="G18" s="41"/>
      <c r="H18" s="8">
        <f t="shared" si="8"/>
        <v>0</v>
      </c>
      <c r="I18" s="41"/>
      <c r="J18" s="135">
        <f t="shared" si="6"/>
        <v>0</v>
      </c>
    </row>
    <row r="19" spans="1:10" ht="13.15" x14ac:dyDescent="0.4">
      <c r="A19" s="39"/>
      <c r="B19" s="44"/>
      <c r="C19" s="41"/>
      <c r="D19" s="8">
        <f t="shared" si="5"/>
        <v>0</v>
      </c>
      <c r="E19" s="41"/>
      <c r="F19" s="8">
        <f t="shared" si="7"/>
        <v>0</v>
      </c>
      <c r="G19" s="41"/>
      <c r="H19" s="8">
        <f t="shared" si="8"/>
        <v>0</v>
      </c>
      <c r="I19" s="41"/>
      <c r="J19" s="135">
        <f t="shared" si="6"/>
        <v>0</v>
      </c>
    </row>
    <row r="20" spans="1:10" ht="13.15" x14ac:dyDescent="0.4">
      <c r="A20" s="39"/>
      <c r="B20" s="44"/>
      <c r="C20" s="41"/>
      <c r="D20" s="8">
        <f t="shared" si="5"/>
        <v>0</v>
      </c>
      <c r="E20" s="41"/>
      <c r="F20" s="8">
        <f t="shared" si="7"/>
        <v>0</v>
      </c>
      <c r="G20" s="41"/>
      <c r="H20" s="8">
        <f t="shared" si="8"/>
        <v>0</v>
      </c>
      <c r="I20" s="41"/>
      <c r="J20" s="135">
        <f t="shared" si="6"/>
        <v>0</v>
      </c>
    </row>
    <row r="21" spans="1:10" ht="13.15" x14ac:dyDescent="0.4">
      <c r="A21" s="39"/>
      <c r="B21" s="44"/>
      <c r="C21" s="41"/>
      <c r="D21" s="8">
        <f t="shared" si="5"/>
        <v>0</v>
      </c>
      <c r="E21" s="41"/>
      <c r="F21" s="8">
        <f t="shared" si="7"/>
        <v>0</v>
      </c>
      <c r="G21" s="41"/>
      <c r="H21" s="8">
        <f t="shared" si="8"/>
        <v>0</v>
      </c>
      <c r="I21" s="41"/>
      <c r="J21" s="135">
        <f t="shared" si="6"/>
        <v>0</v>
      </c>
    </row>
    <row r="22" spans="1:10" ht="13.15" x14ac:dyDescent="0.4">
      <c r="A22" s="28"/>
      <c r="B22" s="15"/>
      <c r="C22" s="35">
        <f>SUM(C15:C21)</f>
        <v>0</v>
      </c>
      <c r="D22" s="35">
        <f>SUM(D15:D21)</f>
        <v>0</v>
      </c>
      <c r="E22" s="35">
        <f t="shared" ref="E22:J22" si="9">SUM(E15:E21)</f>
        <v>0</v>
      </c>
      <c r="F22" s="35">
        <f t="shared" si="9"/>
        <v>0</v>
      </c>
      <c r="G22" s="35">
        <f t="shared" si="9"/>
        <v>0</v>
      </c>
      <c r="H22" s="35">
        <f t="shared" si="9"/>
        <v>0</v>
      </c>
      <c r="I22" s="35">
        <f t="shared" si="9"/>
        <v>0</v>
      </c>
      <c r="J22" s="35">
        <f t="shared" si="9"/>
        <v>0</v>
      </c>
    </row>
    <row r="23" spans="1:10" ht="27" customHeight="1" x14ac:dyDescent="0.4">
      <c r="A23" s="14" t="s">
        <v>166</v>
      </c>
      <c r="B23" s="15"/>
      <c r="C23" s="29"/>
      <c r="D23" s="8"/>
      <c r="E23" s="29"/>
      <c r="F23" s="8"/>
      <c r="G23" s="29"/>
      <c r="H23" s="8"/>
      <c r="I23" s="29"/>
      <c r="J23" s="8"/>
    </row>
    <row r="24" spans="1:10" ht="13.15" x14ac:dyDescent="0.4">
      <c r="A24" s="39"/>
      <c r="B24" s="5"/>
      <c r="C24" s="41"/>
      <c r="D24" s="8">
        <f t="shared" ref="D24:F34" si="10">IF(C24=0,0,IF(+C24&gt;gwg,"Anschaffungskosten zu hoch für ein Geringwertiges Wirtschaftsgut - Ansatz unter Investitionen",C24))</f>
        <v>0</v>
      </c>
      <c r="E24" s="41"/>
      <c r="F24" s="8">
        <f t="shared" si="10"/>
        <v>0</v>
      </c>
      <c r="G24" s="41"/>
      <c r="H24" s="8">
        <f t="shared" ref="H24:H34" si="11">IF(G24=0,0,IF(+G24&gt;gwg,"Anschaffungskosten zu hoch für ein Geringwertiges Wirtschaftsgut - Ansatz unter Investitionen",G24))</f>
        <v>0</v>
      </c>
      <c r="I24" s="41"/>
      <c r="J24" s="8">
        <f t="shared" ref="J24:J34" si="12">IF(I24=0,0,IF(+I24&gt;gwg,"Anschaffungskosten zu hoch für ein Geringwertiges Wirtschaftsgut - Ansatz unter Investitionen",I24))</f>
        <v>0</v>
      </c>
    </row>
    <row r="25" spans="1:10" ht="13.15" x14ac:dyDescent="0.4">
      <c r="A25" s="39"/>
      <c r="B25" s="5"/>
      <c r="C25" s="41"/>
      <c r="D25" s="8">
        <f t="shared" si="10"/>
        <v>0</v>
      </c>
      <c r="E25" s="41"/>
      <c r="F25" s="8">
        <f t="shared" si="10"/>
        <v>0</v>
      </c>
      <c r="G25" s="41"/>
      <c r="H25" s="8">
        <f t="shared" si="11"/>
        <v>0</v>
      </c>
      <c r="I25" s="41"/>
      <c r="J25" s="8">
        <f t="shared" si="12"/>
        <v>0</v>
      </c>
    </row>
    <row r="26" spans="1:10" ht="13.15" x14ac:dyDescent="0.4">
      <c r="A26" s="39"/>
      <c r="B26" s="5"/>
      <c r="C26" s="41"/>
      <c r="D26" s="8">
        <f t="shared" ref="D26:D30" si="13">IF(C26=0,0,IF(+C26&gt;gwg,"Anschaffungskosten zu hoch für ein Geringwertiges Wirtschaftsgut - Ansatz unter Investitionen",C26))</f>
        <v>0</v>
      </c>
      <c r="E26" s="41"/>
      <c r="F26" s="8">
        <f t="shared" ref="F26:F30" si="14">IF(E26=0,0,IF(+E26&gt;gwg,"Anschaffungskosten zu hoch für ein Geringwertiges Wirtschaftsgut - Ansatz unter Investitionen",E26))</f>
        <v>0</v>
      </c>
      <c r="G26" s="41"/>
      <c r="H26" s="8">
        <f t="shared" ref="H26:H30" si="15">IF(G26=0,0,IF(+G26&gt;gwg,"Anschaffungskosten zu hoch für ein Geringwertiges Wirtschaftsgut - Ansatz unter Investitionen",G26))</f>
        <v>0</v>
      </c>
      <c r="I26" s="41"/>
      <c r="J26" s="8">
        <f t="shared" ref="J26:J30" si="16">IF(I26=0,0,IF(+I26&gt;gwg,"Anschaffungskosten zu hoch für ein Geringwertiges Wirtschaftsgut - Ansatz unter Investitionen",I26))</f>
        <v>0</v>
      </c>
    </row>
    <row r="27" spans="1:10" ht="13.15" x14ac:dyDescent="0.4">
      <c r="A27" s="39"/>
      <c r="B27" s="5"/>
      <c r="C27" s="41"/>
      <c r="D27" s="8">
        <f t="shared" si="13"/>
        <v>0</v>
      </c>
      <c r="E27" s="41"/>
      <c r="F27" s="8">
        <f t="shared" si="14"/>
        <v>0</v>
      </c>
      <c r="G27" s="41"/>
      <c r="H27" s="8">
        <f t="shared" si="15"/>
        <v>0</v>
      </c>
      <c r="I27" s="41"/>
      <c r="J27" s="8">
        <f t="shared" si="16"/>
        <v>0</v>
      </c>
    </row>
    <row r="28" spans="1:10" ht="13.15" x14ac:dyDescent="0.4">
      <c r="A28" s="39"/>
      <c r="B28" s="5"/>
      <c r="C28" s="41"/>
      <c r="D28" s="8">
        <f t="shared" si="13"/>
        <v>0</v>
      </c>
      <c r="E28" s="41"/>
      <c r="F28" s="8">
        <f t="shared" si="14"/>
        <v>0</v>
      </c>
      <c r="G28" s="41"/>
      <c r="H28" s="8">
        <f t="shared" si="15"/>
        <v>0</v>
      </c>
      <c r="I28" s="41"/>
      <c r="J28" s="8">
        <f t="shared" si="16"/>
        <v>0</v>
      </c>
    </row>
    <row r="29" spans="1:10" ht="13.15" x14ac:dyDescent="0.4">
      <c r="A29" s="39"/>
      <c r="B29" s="5"/>
      <c r="C29" s="41"/>
      <c r="D29" s="8">
        <f t="shared" si="13"/>
        <v>0</v>
      </c>
      <c r="E29" s="41"/>
      <c r="F29" s="8">
        <f t="shared" si="14"/>
        <v>0</v>
      </c>
      <c r="G29" s="41"/>
      <c r="H29" s="8">
        <f t="shared" si="15"/>
        <v>0</v>
      </c>
      <c r="I29" s="41"/>
      <c r="J29" s="8">
        <f t="shared" si="16"/>
        <v>0</v>
      </c>
    </row>
    <row r="30" spans="1:10" ht="13.15" x14ac:dyDescent="0.4">
      <c r="A30" s="39"/>
      <c r="B30" s="5"/>
      <c r="C30" s="41"/>
      <c r="D30" s="8">
        <f t="shared" si="13"/>
        <v>0</v>
      </c>
      <c r="E30" s="41"/>
      <c r="F30" s="8">
        <f t="shared" si="14"/>
        <v>0</v>
      </c>
      <c r="G30" s="41"/>
      <c r="H30" s="8">
        <f t="shared" si="15"/>
        <v>0</v>
      </c>
      <c r="I30" s="41"/>
      <c r="J30" s="8">
        <f t="shared" si="16"/>
        <v>0</v>
      </c>
    </row>
    <row r="31" spans="1:10" ht="13.15" x14ac:dyDescent="0.4">
      <c r="A31" s="39"/>
      <c r="B31" s="5"/>
      <c r="C31" s="41"/>
      <c r="D31" s="8">
        <f t="shared" si="10"/>
        <v>0</v>
      </c>
      <c r="E31" s="41"/>
      <c r="F31" s="8">
        <f t="shared" si="10"/>
        <v>0</v>
      </c>
      <c r="G31" s="41"/>
      <c r="H31" s="8">
        <f t="shared" si="11"/>
        <v>0</v>
      </c>
      <c r="I31" s="41"/>
      <c r="J31" s="8">
        <f t="shared" si="12"/>
        <v>0</v>
      </c>
    </row>
    <row r="32" spans="1:10" ht="13.15" x14ac:dyDescent="0.4">
      <c r="A32" s="39"/>
      <c r="B32" s="5"/>
      <c r="C32" s="41"/>
      <c r="D32" s="8">
        <f t="shared" si="10"/>
        <v>0</v>
      </c>
      <c r="E32" s="41"/>
      <c r="F32" s="8">
        <f t="shared" si="10"/>
        <v>0</v>
      </c>
      <c r="G32" s="41"/>
      <c r="H32" s="8">
        <f t="shared" si="11"/>
        <v>0</v>
      </c>
      <c r="I32" s="41"/>
      <c r="J32" s="8">
        <f t="shared" si="12"/>
        <v>0</v>
      </c>
    </row>
    <row r="33" spans="1:10" ht="13.15" x14ac:dyDescent="0.4">
      <c r="A33" s="39"/>
      <c r="B33" s="5"/>
      <c r="C33" s="41"/>
      <c r="D33" s="8">
        <f t="shared" si="10"/>
        <v>0</v>
      </c>
      <c r="E33" s="41"/>
      <c r="F33" s="8">
        <f t="shared" si="10"/>
        <v>0</v>
      </c>
      <c r="G33" s="41"/>
      <c r="H33" s="8">
        <f t="shared" si="11"/>
        <v>0</v>
      </c>
      <c r="I33" s="41"/>
      <c r="J33" s="8">
        <f t="shared" si="12"/>
        <v>0</v>
      </c>
    </row>
    <row r="34" spans="1:10" ht="13.15" x14ac:dyDescent="0.4">
      <c r="A34" s="39"/>
      <c r="B34" s="5"/>
      <c r="C34" s="41"/>
      <c r="D34" s="8">
        <f t="shared" si="10"/>
        <v>0</v>
      </c>
      <c r="E34" s="41"/>
      <c r="F34" s="8">
        <f t="shared" si="10"/>
        <v>0</v>
      </c>
      <c r="G34" s="41"/>
      <c r="H34" s="8">
        <f t="shared" si="11"/>
        <v>0</v>
      </c>
      <c r="I34" s="41"/>
      <c r="J34" s="8">
        <f t="shared" si="12"/>
        <v>0</v>
      </c>
    </row>
    <row r="35" spans="1:10" ht="13.15" x14ac:dyDescent="0.4">
      <c r="A35" s="28"/>
      <c r="B35" s="15"/>
      <c r="C35" s="35">
        <f>SUM(C24:C34)</f>
        <v>0</v>
      </c>
      <c r="D35" s="35">
        <f>SUM(D24:D34)</f>
        <v>0</v>
      </c>
      <c r="E35" s="35">
        <f t="shared" ref="E35:J35" si="17">SUM(E24:E34)</f>
        <v>0</v>
      </c>
      <c r="F35" s="35">
        <f t="shared" si="17"/>
        <v>0</v>
      </c>
      <c r="G35" s="35">
        <f t="shared" si="17"/>
        <v>0</v>
      </c>
      <c r="H35" s="35">
        <f t="shared" si="17"/>
        <v>0</v>
      </c>
      <c r="I35" s="35">
        <f t="shared" si="17"/>
        <v>0</v>
      </c>
      <c r="J35" s="35">
        <f t="shared" si="17"/>
        <v>0</v>
      </c>
    </row>
    <row r="36" spans="1:10" ht="3.75" customHeight="1" x14ac:dyDescent="0.4">
      <c r="A36" s="28"/>
      <c r="B36" s="15"/>
      <c r="C36" s="3"/>
      <c r="D36" s="3"/>
      <c r="E36" s="3"/>
      <c r="F36" s="3"/>
      <c r="G36" s="3"/>
      <c r="H36" s="3"/>
      <c r="I36" s="3"/>
      <c r="J36" s="3"/>
    </row>
    <row r="37" spans="1:10" ht="13.5" thickBot="1" x14ac:dyDescent="0.45">
      <c r="A37" s="1" t="s">
        <v>43</v>
      </c>
      <c r="B37" s="15"/>
      <c r="C37" s="34">
        <f>+C13+C22+C35</f>
        <v>0</v>
      </c>
      <c r="D37" s="34">
        <f>+D13+D22+D35</f>
        <v>0</v>
      </c>
      <c r="E37" s="34">
        <f t="shared" ref="E37:J37" si="18">+E13+E22+E35</f>
        <v>0</v>
      </c>
      <c r="F37" s="34">
        <f t="shared" si="18"/>
        <v>0</v>
      </c>
      <c r="G37" s="34">
        <f t="shared" si="18"/>
        <v>0</v>
      </c>
      <c r="H37" s="34">
        <f t="shared" si="18"/>
        <v>0</v>
      </c>
      <c r="I37" s="34">
        <f t="shared" si="18"/>
        <v>0</v>
      </c>
      <c r="J37" s="34">
        <f t="shared" si="18"/>
        <v>0</v>
      </c>
    </row>
    <row r="38" spans="1:10" ht="13.15" thickTop="1" x14ac:dyDescent="0.35">
      <c r="A38" t="s">
        <v>162</v>
      </c>
      <c r="C38" s="13"/>
      <c r="D38" s="8">
        <f>ROUND((+D13+D22+gwgeins)/(12+1-Monat),0)</f>
        <v>0</v>
      </c>
      <c r="E38" s="13"/>
      <c r="F38" s="8">
        <f>ROUND((F13+F22+F35)/12,0)</f>
        <v>0</v>
      </c>
      <c r="G38" s="13"/>
      <c r="H38" s="8">
        <f>ROUND((H13+H22+H35)/12,0)</f>
        <v>0</v>
      </c>
      <c r="I38" s="13"/>
      <c r="J38" s="8">
        <f>ROUND((J13+J22+J35)/12,0)</f>
        <v>0</v>
      </c>
    </row>
    <row r="39" spans="1:10" x14ac:dyDescent="0.35">
      <c r="C39" s="13"/>
      <c r="D39" s="13"/>
      <c r="E39" s="13"/>
      <c r="F39" s="13"/>
      <c r="G39" s="13"/>
      <c r="H39" s="13"/>
      <c r="I39" s="13"/>
      <c r="J39" s="13"/>
    </row>
    <row r="40" spans="1:10" ht="36" customHeight="1" x14ac:dyDescent="0.4">
      <c r="A40" s="151" t="s">
        <v>173</v>
      </c>
      <c r="B40" s="152"/>
      <c r="C40" s="153"/>
      <c r="D40" s="138"/>
      <c r="E40" s="15"/>
      <c r="F40" s="13"/>
      <c r="G40" s="8"/>
      <c r="H40" s="13"/>
      <c r="J40" s="13"/>
    </row>
    <row r="41" spans="1:10" ht="13.15" x14ac:dyDescent="0.4">
      <c r="A41" s="39"/>
      <c r="B41" s="15"/>
      <c r="C41" s="41"/>
      <c r="D41" s="8"/>
      <c r="E41" s="41"/>
      <c r="F41" s="8"/>
      <c r="G41" s="41"/>
      <c r="H41" s="8"/>
      <c r="I41" s="41"/>
      <c r="J41" s="13"/>
    </row>
    <row r="42" spans="1:10" ht="13.15" x14ac:dyDescent="0.4">
      <c r="A42" s="39"/>
      <c r="B42" s="15"/>
      <c r="C42" s="41"/>
      <c r="D42" s="8"/>
      <c r="E42" s="41"/>
      <c r="F42" s="8"/>
      <c r="G42" s="41"/>
      <c r="H42" s="8"/>
      <c r="I42" s="41"/>
      <c r="J42" s="13"/>
    </row>
    <row r="43" spans="1:10" ht="13.15" x14ac:dyDescent="0.4">
      <c r="A43" s="39"/>
      <c r="B43" s="15"/>
      <c r="C43" s="41"/>
      <c r="D43" s="8"/>
      <c r="E43" s="41"/>
      <c r="F43" s="8"/>
      <c r="G43" s="41"/>
      <c r="H43" s="8"/>
      <c r="I43" s="41"/>
      <c r="J43" s="13"/>
    </row>
    <row r="44" spans="1:10" ht="13.15" x14ac:dyDescent="0.4">
      <c r="A44" s="39"/>
      <c r="B44" s="15"/>
      <c r="C44" s="41"/>
      <c r="D44" s="8"/>
      <c r="E44" s="41"/>
      <c r="F44" s="8"/>
      <c r="G44" s="41"/>
      <c r="H44" s="8"/>
      <c r="I44" s="41"/>
      <c r="J44" s="13"/>
    </row>
    <row r="45" spans="1:10" ht="13.15" x14ac:dyDescent="0.4">
      <c r="A45" s="39"/>
      <c r="B45" s="15"/>
      <c r="C45" s="41"/>
      <c r="D45" s="8"/>
      <c r="E45" s="41"/>
      <c r="F45" s="8"/>
      <c r="G45" s="41"/>
      <c r="H45" s="8"/>
      <c r="I45" s="41"/>
      <c r="J45" s="13"/>
    </row>
    <row r="46" spans="1:10" ht="13.5" thickBot="1" x14ac:dyDescent="0.45">
      <c r="A46" s="28"/>
      <c r="B46" s="15"/>
      <c r="C46" s="34">
        <f>SUM(C41:C45)</f>
        <v>0</v>
      </c>
      <c r="D46" s="13"/>
      <c r="E46" s="34">
        <f>SUM(E41:E45)</f>
        <v>0</v>
      </c>
      <c r="F46" s="13"/>
      <c r="G46" s="34">
        <f>SUM(G41:G45)</f>
        <v>0</v>
      </c>
      <c r="H46" s="13"/>
      <c r="I46" s="34">
        <f>SUM(I41:I45)</f>
        <v>0</v>
      </c>
      <c r="J46" s="13"/>
    </row>
    <row r="47" spans="1:10" ht="13.5" thickTop="1" x14ac:dyDescent="0.4">
      <c r="A47" s="28"/>
      <c r="B47" s="15"/>
      <c r="C47" s="8"/>
      <c r="D47" s="13"/>
      <c r="E47" s="8"/>
      <c r="F47" s="13"/>
      <c r="G47" s="8"/>
      <c r="H47" s="13"/>
      <c r="I47" s="8"/>
      <c r="J47" s="13"/>
    </row>
    <row r="48" spans="1:10" ht="13.15" x14ac:dyDescent="0.4">
      <c r="A48" s="28"/>
      <c r="B48" s="15"/>
      <c r="C48" s="29"/>
      <c r="D48" s="13"/>
      <c r="E48" s="29"/>
      <c r="F48" s="13"/>
      <c r="G48" s="29"/>
      <c r="H48" s="13"/>
      <c r="I48" s="29"/>
      <c r="J48" s="33"/>
    </row>
    <row r="49" spans="1:11" ht="13.15" x14ac:dyDescent="0.4">
      <c r="A49" s="1"/>
      <c r="B49" s="5"/>
      <c r="C49" s="92"/>
      <c r="D49" s="13"/>
      <c r="E49" s="92"/>
      <c r="F49" s="13"/>
      <c r="G49" s="92"/>
      <c r="H49" s="13"/>
      <c r="I49" s="92"/>
      <c r="J49" s="13"/>
      <c r="K49" s="29"/>
    </row>
    <row r="50" spans="1:11" ht="13.15" x14ac:dyDescent="0.4">
      <c r="A50" s="1"/>
      <c r="B50" s="5"/>
      <c r="C50" s="92"/>
      <c r="D50" s="13"/>
      <c r="E50" s="92"/>
      <c r="F50" s="13"/>
      <c r="G50" s="92"/>
      <c r="H50" s="13"/>
      <c r="I50" s="92"/>
      <c r="J50" s="13"/>
      <c r="K50" s="29"/>
    </row>
    <row r="51" spans="1:11" ht="13.15" x14ac:dyDescent="0.4">
      <c r="A51" s="1"/>
      <c r="B51" s="5"/>
      <c r="C51" s="92"/>
      <c r="D51" s="13"/>
      <c r="E51" s="92"/>
      <c r="F51" s="13"/>
      <c r="G51" s="92"/>
      <c r="H51" s="13"/>
      <c r="I51" s="92"/>
      <c r="J51" s="13"/>
      <c r="K51" s="29"/>
    </row>
    <row r="52" spans="1:11" x14ac:dyDescent="0.35">
      <c r="A52" s="1"/>
      <c r="B52" s="5"/>
      <c r="C52" s="92"/>
      <c r="D52" s="13"/>
      <c r="E52" s="92"/>
      <c r="F52" s="13"/>
      <c r="G52" s="92"/>
      <c r="H52" s="13"/>
      <c r="I52" s="92"/>
      <c r="J52" s="13"/>
    </row>
    <row r="53" spans="1:11" x14ac:dyDescent="0.35">
      <c r="A53" s="1"/>
      <c r="B53" s="5"/>
      <c r="C53" s="92"/>
      <c r="D53" s="13"/>
      <c r="E53" s="92"/>
      <c r="F53" s="13"/>
      <c r="G53" s="92"/>
      <c r="H53" s="13"/>
      <c r="I53" s="92"/>
      <c r="J53" s="13"/>
    </row>
    <row r="54" spans="1:11" x14ac:dyDescent="0.35">
      <c r="A54" s="1"/>
      <c r="B54" s="5"/>
      <c r="C54" s="92"/>
      <c r="D54" s="13"/>
      <c r="E54" s="92"/>
      <c r="F54" s="13"/>
      <c r="G54" s="92"/>
      <c r="H54" s="13"/>
      <c r="I54" s="92"/>
      <c r="J54" s="13"/>
    </row>
    <row r="55" spans="1:11" x14ac:dyDescent="0.35">
      <c r="A55" s="1"/>
      <c r="B55" s="5"/>
      <c r="D55" s="13"/>
      <c r="F55" s="13"/>
      <c r="H55" s="13"/>
      <c r="J55" s="13"/>
    </row>
    <row r="56" spans="1:11" x14ac:dyDescent="0.35">
      <c r="A56" s="1"/>
      <c r="B56" s="5"/>
      <c r="C56" s="92"/>
      <c r="D56" s="13"/>
      <c r="E56" s="92"/>
      <c r="F56" s="13"/>
      <c r="G56" s="92"/>
      <c r="H56" s="13"/>
      <c r="I56" s="92"/>
      <c r="J56" s="13"/>
    </row>
    <row r="57" spans="1:11" x14ac:dyDescent="0.35">
      <c r="A57" s="1"/>
    </row>
    <row r="59" spans="1:11" x14ac:dyDescent="0.35">
      <c r="C59" s="13"/>
      <c r="D59" s="13"/>
      <c r="E59" s="13"/>
      <c r="F59" s="13"/>
      <c r="G59" s="13"/>
      <c r="H59" s="13"/>
      <c r="I59" s="13"/>
      <c r="J59" s="13"/>
    </row>
    <row r="60" spans="1:11" x14ac:dyDescent="0.35">
      <c r="C60" s="13"/>
      <c r="D60" s="13"/>
      <c r="E60" s="13"/>
      <c r="F60" s="13"/>
      <c r="G60" s="13"/>
      <c r="H60" s="13"/>
      <c r="I60" s="13"/>
      <c r="J60" s="13"/>
    </row>
    <row r="61" spans="1:11" x14ac:dyDescent="0.35">
      <c r="C61" s="13"/>
      <c r="D61" s="13"/>
      <c r="E61" s="13"/>
      <c r="F61" s="13"/>
      <c r="G61" s="13"/>
      <c r="H61" s="13"/>
      <c r="I61" s="13"/>
      <c r="J61" s="13"/>
    </row>
    <row r="62" spans="1:11" x14ac:dyDescent="0.35">
      <c r="C62" s="13"/>
      <c r="D62" s="13"/>
      <c r="E62" s="13"/>
      <c r="F62" s="13"/>
      <c r="G62" s="13"/>
      <c r="H62" s="13"/>
      <c r="I62" s="13"/>
      <c r="J62" s="13"/>
    </row>
    <row r="63" spans="1:11" x14ac:dyDescent="0.35">
      <c r="C63" s="13"/>
      <c r="D63" s="13"/>
      <c r="E63" s="13"/>
      <c r="F63" s="13"/>
      <c r="G63" s="13"/>
      <c r="H63" s="13"/>
      <c r="I63" s="13"/>
      <c r="J63" s="13"/>
    </row>
    <row r="64" spans="1:11" x14ac:dyDescent="0.35">
      <c r="C64" s="13"/>
      <c r="D64" s="13"/>
      <c r="E64" s="13"/>
      <c r="F64" s="13"/>
      <c r="G64" s="13"/>
      <c r="H64" s="13"/>
      <c r="I64" s="13"/>
      <c r="J64" s="13"/>
    </row>
    <row r="65" spans="3:10" x14ac:dyDescent="0.35">
      <c r="C65" s="13"/>
      <c r="D65" s="13"/>
      <c r="E65" s="13"/>
      <c r="F65" s="13"/>
      <c r="G65" s="13"/>
      <c r="H65" s="13"/>
      <c r="I65" s="13"/>
      <c r="J65" s="13"/>
    </row>
    <row r="66" spans="3:10" x14ac:dyDescent="0.35">
      <c r="C66" s="13"/>
      <c r="D66" s="13"/>
      <c r="E66" s="13"/>
      <c r="F66" s="13"/>
      <c r="G66" s="13"/>
      <c r="H66" s="13"/>
      <c r="I66" s="13"/>
      <c r="J66" s="13"/>
    </row>
    <row r="67" spans="3:10" x14ac:dyDescent="0.35">
      <c r="C67" s="13"/>
      <c r="D67" s="13"/>
      <c r="E67" s="13"/>
      <c r="F67" s="13"/>
      <c r="G67" s="13"/>
      <c r="H67" s="13"/>
      <c r="I67" s="13"/>
      <c r="J67" s="13"/>
    </row>
    <row r="68" spans="3:10" x14ac:dyDescent="0.35">
      <c r="C68" s="13"/>
      <c r="D68" s="13"/>
      <c r="E68" s="13"/>
      <c r="F68" s="13"/>
      <c r="G68" s="13"/>
      <c r="H68" s="13"/>
      <c r="I68" s="13"/>
      <c r="J68" s="13"/>
    </row>
    <row r="69" spans="3:10" x14ac:dyDescent="0.35">
      <c r="C69" s="13"/>
      <c r="D69" s="13"/>
      <c r="E69" s="13"/>
      <c r="F69" s="13"/>
      <c r="G69" s="13"/>
      <c r="H69" s="13"/>
      <c r="I69" s="13"/>
      <c r="J69" s="13"/>
    </row>
    <row r="70" spans="3:10" x14ac:dyDescent="0.35">
      <c r="C70" s="13"/>
      <c r="D70" s="13"/>
      <c r="E70" s="13"/>
      <c r="F70" s="13"/>
      <c r="G70" s="13"/>
      <c r="H70" s="13"/>
      <c r="I70" s="13"/>
      <c r="J70" s="13"/>
    </row>
    <row r="71" spans="3:10" x14ac:dyDescent="0.35">
      <c r="C71" s="13"/>
      <c r="D71" s="13"/>
      <c r="E71" s="13"/>
      <c r="F71" s="13"/>
      <c r="G71" s="13"/>
      <c r="H71" s="13"/>
      <c r="I71" s="13"/>
      <c r="J71" s="13"/>
    </row>
    <row r="72" spans="3:10" x14ac:dyDescent="0.35">
      <c r="C72" s="13"/>
      <c r="D72" s="13"/>
      <c r="E72" s="13"/>
      <c r="F72" s="13"/>
      <c r="G72" s="13"/>
      <c r="H72" s="13"/>
      <c r="I72" s="13"/>
      <c r="J72" s="13"/>
    </row>
    <row r="73" spans="3:10" x14ac:dyDescent="0.35">
      <c r="C73" s="13"/>
      <c r="D73" s="13"/>
      <c r="E73" s="13"/>
      <c r="F73" s="13"/>
      <c r="G73" s="13"/>
      <c r="H73" s="13"/>
      <c r="I73" s="13"/>
      <c r="J73" s="13"/>
    </row>
    <row r="74" spans="3:10" x14ac:dyDescent="0.35">
      <c r="C74" s="13"/>
      <c r="D74" s="13"/>
      <c r="E74" s="13"/>
      <c r="F74" s="13"/>
      <c r="G74" s="13"/>
      <c r="H74" s="13"/>
      <c r="I74" s="13"/>
      <c r="J74" s="13"/>
    </row>
  </sheetData>
  <sheetProtection algorithmName="SHA-512" hashValue="VdBRCehnM7Hs56V8KFahulkW/QFKa/qjOGHSsx+HQYvqx/5awfsvEbLCxRdfVhIUH7f4Ax7qLWqPMuZ9ZoJCww==" saltValue="OkRFqh9dqo0sxuDTC4nlFQ==" spinCount="100000" sheet="1" formatColumns="0"/>
  <mergeCells count="8">
    <mergeCell ref="E1:F1"/>
    <mergeCell ref="G1:H1"/>
    <mergeCell ref="I1:J1"/>
    <mergeCell ref="A40:C40"/>
    <mergeCell ref="A3:C3"/>
    <mergeCell ref="A1:A2"/>
    <mergeCell ref="B1:B2"/>
    <mergeCell ref="C1:D1"/>
  </mergeCells>
  <conditionalFormatting sqref="D24:D34">
    <cfRule type="expression" dxfId="3" priority="4">
      <formula>C24&gt;800</formula>
    </cfRule>
  </conditionalFormatting>
  <conditionalFormatting sqref="F24:F34">
    <cfRule type="expression" dxfId="2" priority="3">
      <formula>E24&gt;800</formula>
    </cfRule>
  </conditionalFormatting>
  <conditionalFormatting sqref="H24:H34">
    <cfRule type="expression" dxfId="1" priority="2">
      <formula>G24&gt;800</formula>
    </cfRule>
  </conditionalFormatting>
  <conditionalFormatting sqref="J24:J34">
    <cfRule type="expression" dxfId="0" priority="1">
      <formula>I24&gt;800</formula>
    </cfRule>
  </conditionalFormatting>
  <hyperlinks>
    <hyperlink ref="B1:B2" r:id="rId1" display="betriebs-gewöhnliche Nutzungsdauer" xr:uid="{02AAC1EE-6BA5-4A5D-87B0-554C15B2A94F}"/>
  </hyperlinks>
  <pageMargins left="0.70866141732283472" right="0.70866141732283472" top="1.3779527559055118" bottom="0.78740157480314965" header="0.31496062992125984" footer="0.31496062992125984"/>
  <pageSetup paperSize="9" scale="64" orientation="landscape" r:id="rId2"/>
  <headerFooter>
    <oddHeader>&amp;L&amp;G&amp;R&amp;"Arial,Fett"&amp;12IHK Köln - das Finanztool&amp;"Arial,Standard"&amp;10
&amp;A</oddHeader>
    <oddFooter xml:space="preserve">&amp;L&amp;8&amp;Z&amp;F\&amp;A\&amp;D\&amp;T&amp;RRelease 3.10
</oddFooter>
  </headerFooter>
  <legacyDrawing r:id="rId3"/>
  <legacyDrawingHF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54"/>
  <sheetViews>
    <sheetView zoomScale="85" zoomScaleNormal="130" workbookViewId="0">
      <pane ySplit="1" topLeftCell="A7" activePane="bottomLeft" state="frozen"/>
      <selection pane="bottomLeft" activeCell="G33" sqref="G33"/>
    </sheetView>
  </sheetViews>
  <sheetFormatPr baseColWidth="10" defaultColWidth="11.3984375" defaultRowHeight="12.75" x14ac:dyDescent="0.35"/>
  <cols>
    <col min="1" max="2" width="3.265625" customWidth="1"/>
    <col min="3" max="3" width="44.1328125" customWidth="1"/>
    <col min="5" max="5" width="11.3984375" customWidth="1"/>
  </cols>
  <sheetData>
    <row r="1" spans="1:5" ht="20.65" x14ac:dyDescent="0.6">
      <c r="A1" s="30" t="s">
        <v>140</v>
      </c>
      <c r="B1" s="32"/>
      <c r="C1" s="32"/>
      <c r="D1" s="31"/>
      <c r="E1" s="31"/>
    </row>
    <row r="2" spans="1:5" x14ac:dyDescent="0.35">
      <c r="D2" s="13"/>
      <c r="E2" s="33" t="s">
        <v>58</v>
      </c>
    </row>
    <row r="3" spans="1:5" ht="13.15" x14ac:dyDescent="0.4">
      <c r="A3" s="28" t="s">
        <v>163</v>
      </c>
      <c r="D3" s="13"/>
      <c r="E3" s="13"/>
    </row>
    <row r="4" spans="1:5" x14ac:dyDescent="0.35">
      <c r="B4" t="s">
        <v>41</v>
      </c>
      <c r="D4" s="13"/>
      <c r="E4" s="13"/>
    </row>
    <row r="5" spans="1:5" x14ac:dyDescent="0.35">
      <c r="C5" t="s">
        <v>59</v>
      </c>
      <c r="D5" s="10">
        <f>IF('Infos vor dem Start'!A$17="x",+Investitionsplan!C13,+Investitionsplan!C13*(1+VSt))</f>
        <v>0</v>
      </c>
      <c r="E5" s="13"/>
    </row>
    <row r="6" spans="1:5" x14ac:dyDescent="0.35">
      <c r="C6" t="s">
        <v>42</v>
      </c>
      <c r="D6" s="10">
        <f>+Investitionsplan!C22</f>
        <v>0</v>
      </c>
      <c r="E6" s="13"/>
    </row>
    <row r="7" spans="1:5" x14ac:dyDescent="0.35">
      <c r="B7" t="s">
        <v>60</v>
      </c>
      <c r="D7" s="10">
        <f>IF('Infos vor dem Start'!A$17="x",+Investitionsplan!C35,+Investitionsplan!C35*(1+VSt))</f>
        <v>0</v>
      </c>
      <c r="E7" s="13"/>
    </row>
    <row r="8" spans="1:5" x14ac:dyDescent="0.35">
      <c r="B8" t="s">
        <v>61</v>
      </c>
      <c r="D8" s="10">
        <f>IF('Infos vor dem Start'!A$17="x",+Investitionsplan!C46,+Investitionsplan!C46*(1+VSt))</f>
        <v>0</v>
      </c>
      <c r="E8" s="10">
        <f>SUM(D5:D8)</f>
        <v>0</v>
      </c>
    </row>
    <row r="9" spans="1:5" x14ac:dyDescent="0.35">
      <c r="D9" s="13"/>
      <c r="E9" s="8"/>
    </row>
    <row r="10" spans="1:5" ht="13.15" x14ac:dyDescent="0.4">
      <c r="A10" s="28" t="s">
        <v>62</v>
      </c>
      <c r="D10" s="13"/>
      <c r="E10" s="72"/>
    </row>
    <row r="11" spans="1:5" ht="13.15" thickBot="1" x14ac:dyDescent="0.4">
      <c r="A11" t="s">
        <v>63</v>
      </c>
      <c r="D11" s="13"/>
      <c r="E11" s="76">
        <f>SUM(E4:E10)</f>
        <v>0</v>
      </c>
    </row>
    <row r="12" spans="1:5" ht="13.15" thickTop="1" x14ac:dyDescent="0.35">
      <c r="D12" s="13"/>
      <c r="E12" s="13"/>
    </row>
    <row r="13" spans="1:5" ht="20.65" x14ac:dyDescent="0.6">
      <c r="A13" s="30" t="s">
        <v>141</v>
      </c>
      <c r="B13" s="32"/>
      <c r="C13" s="32"/>
      <c r="D13" s="31"/>
      <c r="E13" s="31"/>
    </row>
    <row r="14" spans="1:5" x14ac:dyDescent="0.35">
      <c r="D14" s="13"/>
      <c r="E14" s="33" t="s">
        <v>58</v>
      </c>
    </row>
    <row r="15" spans="1:5" ht="13.15" x14ac:dyDescent="0.4">
      <c r="A15" s="28" t="s">
        <v>64</v>
      </c>
      <c r="D15" s="13"/>
      <c r="E15" s="13"/>
    </row>
    <row r="16" spans="1:5" ht="13.15" x14ac:dyDescent="0.4">
      <c r="B16" t="s">
        <v>65</v>
      </c>
      <c r="D16" s="72">
        <v>3000</v>
      </c>
      <c r="E16" s="8"/>
    </row>
    <row r="17" spans="1:5" x14ac:dyDescent="0.35">
      <c r="B17" t="s">
        <v>42</v>
      </c>
      <c r="D17" s="77">
        <f>+D6</f>
        <v>0</v>
      </c>
      <c r="E17" s="10">
        <f>SUM(D16:D17)</f>
        <v>3000</v>
      </c>
    </row>
    <row r="18" spans="1:5" x14ac:dyDescent="0.35">
      <c r="D18" s="8"/>
      <c r="E18" s="8"/>
    </row>
    <row r="19" spans="1:5" ht="13.15" x14ac:dyDescent="0.4">
      <c r="A19" s="28" t="s">
        <v>66</v>
      </c>
      <c r="D19" s="8"/>
      <c r="E19" s="8"/>
    </row>
    <row r="20" spans="1:5" ht="13.15" x14ac:dyDescent="0.4">
      <c r="A20" t="s">
        <v>81</v>
      </c>
      <c r="D20" s="72"/>
      <c r="E20" s="8"/>
    </row>
    <row r="21" spans="1:5" ht="13.15" x14ac:dyDescent="0.4">
      <c r="A21" t="s">
        <v>67</v>
      </c>
      <c r="D21" s="74"/>
      <c r="E21" s="8"/>
    </row>
    <row r="22" spans="1:5" ht="13.15" x14ac:dyDescent="0.4">
      <c r="A22" t="s">
        <v>82</v>
      </c>
      <c r="D22" s="72"/>
      <c r="E22" s="8"/>
    </row>
    <row r="23" spans="1:5" ht="13.15" x14ac:dyDescent="0.4">
      <c r="A23" s="158"/>
      <c r="B23" s="158"/>
      <c r="C23" s="158"/>
      <c r="D23" s="72">
        <v>0</v>
      </c>
      <c r="E23" s="8"/>
    </row>
    <row r="24" spans="1:5" ht="13.15" x14ac:dyDescent="0.4">
      <c r="A24" s="158"/>
      <c r="B24" s="158"/>
      <c r="C24" s="158"/>
      <c r="D24" s="74"/>
      <c r="E24" s="8"/>
    </row>
    <row r="25" spans="1:5" ht="13.15" x14ac:dyDescent="0.4">
      <c r="A25" s="158"/>
      <c r="B25" s="158"/>
      <c r="C25" s="158"/>
      <c r="D25" s="72"/>
      <c r="E25" s="8"/>
    </row>
    <row r="26" spans="1:5" ht="13.15" x14ac:dyDescent="0.4">
      <c r="A26" t="s">
        <v>83</v>
      </c>
      <c r="D26" s="78">
        <v>0</v>
      </c>
      <c r="E26" s="10">
        <f>SUM(D20:D26)</f>
        <v>0</v>
      </c>
    </row>
    <row r="27" spans="1:5" ht="13.15" thickBot="1" x14ac:dyDescent="0.4">
      <c r="D27" s="8"/>
      <c r="E27" s="76">
        <f>SUM(E16:E26)</f>
        <v>3000</v>
      </c>
    </row>
    <row r="28" spans="1:5" ht="13.15" thickTop="1" x14ac:dyDescent="0.35">
      <c r="D28" s="8"/>
      <c r="E28" s="8"/>
    </row>
    <row r="29" spans="1:5" x14ac:dyDescent="0.35">
      <c r="A29" s="8" t="str">
        <f>IF(E29&gt;=0,"Überdeckung","Unterdeckung")</f>
        <v>Überdeckung</v>
      </c>
      <c r="E29" s="10">
        <f>+E27-E11</f>
        <v>3000</v>
      </c>
    </row>
    <row r="30" spans="1:5" x14ac:dyDescent="0.35">
      <c r="A30" s="1" t="str">
        <f>IF(MIN(Liquiditätsplan!B65:M65,Liquiditätsplan!O65:Z65,Liquiditätsplan!AB65:AM65,Liquiditätsplan!AO65:AZ65)&lt;0,"Liquiditätsunterdeckung - bitte überprüfen Sie Ihre Finanzierungsstrategie!","")</f>
        <v/>
      </c>
      <c r="B30" s="79"/>
      <c r="E30" s="10" t="str">
        <f>IF(MIN(Liquiditätsplan!D65:O65,Liquiditätsplan!Q65:AB65,Liquiditätsplan!AD65:AO65,Liquiditätsplan!AQ65:BB65)&lt;0,MIN(Liquiditätsplan!D65:O65,Liquiditätsplan!Q65:AB65,Liquiditätsplan!AD65:AO65,Liquiditätsplan!AQ65:BB65),"")</f>
        <v/>
      </c>
    </row>
    <row r="31" spans="1:5" x14ac:dyDescent="0.35">
      <c r="A31" s="79"/>
      <c r="D31" s="13"/>
    </row>
    <row r="32" spans="1:5" x14ac:dyDescent="0.35">
      <c r="E32" s="10"/>
    </row>
    <row r="50" spans="1:5" ht="38.25" customHeight="1" x14ac:dyDescent="0.35">
      <c r="A50" s="141"/>
      <c r="B50" s="141"/>
      <c r="C50" s="141"/>
      <c r="D50" s="141"/>
      <c r="E50" s="141"/>
    </row>
    <row r="52" spans="1:5" ht="13.15" x14ac:dyDescent="0.35">
      <c r="B52" s="126"/>
    </row>
    <row r="54" spans="1:5" ht="13.15" x14ac:dyDescent="0.35">
      <c r="B54" s="126"/>
    </row>
  </sheetData>
  <sheetProtection algorithmName="SHA-512" hashValue="a2+xrn3ZfVF5QrM4WznwDTfT3zwUXaCyWCNS/TuJQw5c5TnWcHNWK/kjcnV6FxnjISXH8r/f6yky6rshFogh9w==" saltValue="avQpN/Kz+qxoMcri6wR3+A==" spinCount="100000" sheet="1" objects="1" scenarios="1"/>
  <mergeCells count="4">
    <mergeCell ref="A23:C23"/>
    <mergeCell ref="A24:C24"/>
    <mergeCell ref="A25:C25"/>
    <mergeCell ref="A50:E50"/>
  </mergeCells>
  <pageMargins left="0.70866141732283472" right="0.70866141732283472" top="1.5748031496062993" bottom="0.78740157480314965" header="0.31496062992125984" footer="0.31496062992125984"/>
  <pageSetup paperSize="9" orientation="portrait" r:id="rId1"/>
  <headerFooter>
    <oddHeader>&amp;L&amp;G&amp;R&amp;"Arial,Fett"&amp;12IHK Köln - das Finanztool&amp;"Arial,Standard"&amp;10
&amp;A</oddHeader>
    <oddFooter xml:space="preserve">&amp;L&amp;8&amp;Z&amp;F\&amp;A\&amp;D\&amp;T&amp;RRelease 3.10
</oddFooter>
  </headerFooter>
  <legacy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V3"/>
  <sheetViews>
    <sheetView topLeftCell="O1" zoomScaleNormal="100" workbookViewId="0">
      <selection activeCell="A2" sqref="A2:AV2"/>
    </sheetView>
  </sheetViews>
  <sheetFormatPr baseColWidth="10" defaultRowHeight="12.75" x14ac:dyDescent="0.35"/>
  <cols>
    <col min="1" max="48" width="4.73046875" customWidth="1"/>
  </cols>
  <sheetData>
    <row r="1" spans="1:48" x14ac:dyDescent="0.35">
      <c r="A1" s="159" t="s">
        <v>57</v>
      </c>
      <c r="B1" s="159"/>
      <c r="C1" s="159"/>
      <c r="D1" s="159"/>
      <c r="E1" s="159"/>
      <c r="F1" s="159"/>
      <c r="G1" s="159"/>
      <c r="H1" s="159"/>
      <c r="I1" s="159"/>
      <c r="J1" s="159"/>
      <c r="K1" s="159"/>
      <c r="L1" s="159"/>
      <c r="M1" s="159" t="s">
        <v>77</v>
      </c>
      <c r="N1" s="159"/>
      <c r="O1" s="159"/>
      <c r="P1" s="159"/>
      <c r="Q1" s="159"/>
      <c r="R1" s="159"/>
      <c r="S1" s="159"/>
      <c r="T1" s="159"/>
      <c r="U1" s="159"/>
      <c r="V1" s="159"/>
      <c r="W1" s="159"/>
      <c r="X1" s="159"/>
      <c r="Y1" s="159" t="s">
        <v>78</v>
      </c>
      <c r="Z1" s="159"/>
      <c r="AA1" s="159"/>
      <c r="AB1" s="159"/>
      <c r="AC1" s="159"/>
      <c r="AD1" s="159"/>
      <c r="AE1" s="159"/>
      <c r="AF1" s="159"/>
      <c r="AG1" s="159"/>
      <c r="AH1" s="159"/>
      <c r="AI1" s="159"/>
      <c r="AJ1" s="159"/>
      <c r="AK1" s="159" t="s">
        <v>79</v>
      </c>
      <c r="AL1" s="159"/>
      <c r="AM1" s="159"/>
      <c r="AN1" s="159"/>
      <c r="AO1" s="159"/>
      <c r="AP1" s="159"/>
      <c r="AQ1" s="159"/>
      <c r="AR1" s="159"/>
      <c r="AS1" s="159"/>
      <c r="AT1" s="159"/>
      <c r="AU1" s="159"/>
      <c r="AV1" s="159"/>
    </row>
    <row r="2" spans="1:48" s="112" customFormat="1" ht="24.4" x14ac:dyDescent="0.35">
      <c r="A2" s="113" t="s">
        <v>219</v>
      </c>
      <c r="B2" s="113" t="s">
        <v>220</v>
      </c>
      <c r="C2" s="113" t="s">
        <v>221</v>
      </c>
      <c r="D2" s="113" t="s">
        <v>222</v>
      </c>
      <c r="E2" s="113" t="s">
        <v>49</v>
      </c>
      <c r="F2" s="113" t="s">
        <v>223</v>
      </c>
      <c r="G2" s="113" t="s">
        <v>224</v>
      </c>
      <c r="H2" s="113" t="s">
        <v>225</v>
      </c>
      <c r="I2" s="113" t="s">
        <v>226</v>
      </c>
      <c r="J2" s="113" t="s">
        <v>227</v>
      </c>
      <c r="K2" s="113" t="s">
        <v>228</v>
      </c>
      <c r="L2" s="113" t="s">
        <v>229</v>
      </c>
      <c r="M2" s="113" t="s">
        <v>219</v>
      </c>
      <c r="N2" s="113" t="s">
        <v>220</v>
      </c>
      <c r="O2" s="113" t="s">
        <v>221</v>
      </c>
      <c r="P2" s="113" t="s">
        <v>222</v>
      </c>
      <c r="Q2" s="113" t="s">
        <v>49</v>
      </c>
      <c r="R2" s="113" t="s">
        <v>223</v>
      </c>
      <c r="S2" s="113" t="s">
        <v>224</v>
      </c>
      <c r="T2" s="113" t="s">
        <v>225</v>
      </c>
      <c r="U2" s="113" t="s">
        <v>226</v>
      </c>
      <c r="V2" s="113" t="s">
        <v>227</v>
      </c>
      <c r="W2" s="113" t="s">
        <v>228</v>
      </c>
      <c r="X2" s="113" t="s">
        <v>229</v>
      </c>
      <c r="Y2" s="113" t="s">
        <v>219</v>
      </c>
      <c r="Z2" s="113" t="s">
        <v>220</v>
      </c>
      <c r="AA2" s="113" t="s">
        <v>221</v>
      </c>
      <c r="AB2" s="113" t="s">
        <v>222</v>
      </c>
      <c r="AC2" s="113" t="s">
        <v>49</v>
      </c>
      <c r="AD2" s="113" t="s">
        <v>223</v>
      </c>
      <c r="AE2" s="113" t="s">
        <v>224</v>
      </c>
      <c r="AF2" s="113" t="s">
        <v>225</v>
      </c>
      <c r="AG2" s="113" t="s">
        <v>226</v>
      </c>
      <c r="AH2" s="113" t="s">
        <v>227</v>
      </c>
      <c r="AI2" s="113" t="s">
        <v>228</v>
      </c>
      <c r="AJ2" s="113" t="s">
        <v>229</v>
      </c>
      <c r="AK2" s="113" t="s">
        <v>219</v>
      </c>
      <c r="AL2" s="113" t="s">
        <v>220</v>
      </c>
      <c r="AM2" s="113" t="s">
        <v>221</v>
      </c>
      <c r="AN2" s="113" t="s">
        <v>222</v>
      </c>
      <c r="AO2" s="113" t="s">
        <v>49</v>
      </c>
      <c r="AP2" s="113" t="s">
        <v>223</v>
      </c>
      <c r="AQ2" s="113" t="s">
        <v>224</v>
      </c>
      <c r="AR2" s="113" t="s">
        <v>225</v>
      </c>
      <c r="AS2" s="113" t="s">
        <v>226</v>
      </c>
      <c r="AT2" s="113" t="s">
        <v>227</v>
      </c>
      <c r="AU2" s="113" t="s">
        <v>228</v>
      </c>
      <c r="AV2" s="113" t="s">
        <v>229</v>
      </c>
    </row>
    <row r="3" spans="1:48" x14ac:dyDescent="0.35">
      <c r="A3" s="10">
        <f>+Liquiditätsplan!D65</f>
        <v>0</v>
      </c>
      <c r="B3" s="10">
        <f>+Liquiditätsplan!E65</f>
        <v>0</v>
      </c>
      <c r="C3" s="10">
        <f>+Liquiditätsplan!F65</f>
        <v>0</v>
      </c>
      <c r="D3" s="10">
        <f>+Liquiditätsplan!G65</f>
        <v>0</v>
      </c>
      <c r="E3" s="10">
        <f>+Liquiditätsplan!H65</f>
        <v>0</v>
      </c>
      <c r="F3" s="10">
        <f>+Liquiditätsplan!I65</f>
        <v>0</v>
      </c>
      <c r="G3" s="10">
        <f>+Liquiditätsplan!J65</f>
        <v>0</v>
      </c>
      <c r="H3" s="10">
        <f>+Liquiditätsplan!K65</f>
        <v>0</v>
      </c>
      <c r="I3" s="10">
        <f>+Liquiditätsplan!L65</f>
        <v>3000</v>
      </c>
      <c r="J3" s="10">
        <f>+Liquiditätsplan!M65</f>
        <v>1263.3</v>
      </c>
      <c r="K3" s="10">
        <f>+Liquiditätsplan!N65</f>
        <v>16186.599999999999</v>
      </c>
      <c r="L3" s="10">
        <f>+Liquiditätsplan!O65</f>
        <v>14449.899999999998</v>
      </c>
      <c r="M3" s="10">
        <f>+Liquiditätsplan!Q65</f>
        <v>33413.199999999997</v>
      </c>
      <c r="N3" s="10">
        <f>+Liquiditätsplan!R65</f>
        <v>30956.499999999996</v>
      </c>
      <c r="O3" s="10">
        <f>+Liquiditätsplan!S65</f>
        <v>28499.799999999996</v>
      </c>
      <c r="P3" s="10">
        <f>+Liquiditätsplan!T65</f>
        <v>26043.099999999995</v>
      </c>
      <c r="Q3" s="10">
        <f>+Liquiditätsplan!U65</f>
        <v>23586.399999999994</v>
      </c>
      <c r="R3" s="10">
        <f>+Liquiditätsplan!V65</f>
        <v>21129.699999999993</v>
      </c>
      <c r="S3" s="10">
        <f>+Liquiditätsplan!W65</f>
        <v>18672.999999999993</v>
      </c>
      <c r="T3" s="10">
        <f>+Liquiditätsplan!X65</f>
        <v>16216.299999999992</v>
      </c>
      <c r="U3" s="10">
        <f>+Liquiditätsplan!Y65</f>
        <v>13759.599999999991</v>
      </c>
      <c r="V3" s="10">
        <f>+Liquiditätsplan!Z65</f>
        <v>11302.899999999991</v>
      </c>
      <c r="W3" s="10">
        <f>+Liquiditätsplan!AA65</f>
        <v>8846.1999999999898</v>
      </c>
      <c r="X3" s="10">
        <f>+Liquiditätsplan!AB65</f>
        <v>6389.49999999999</v>
      </c>
      <c r="Y3" s="10">
        <f>+Liquiditätsplan!AD65</f>
        <v>6389.49999999999</v>
      </c>
      <c r="Z3" s="10">
        <f>+Liquiditätsplan!AE65</f>
        <v>6389.49999999999</v>
      </c>
      <c r="AA3" s="10">
        <f>+Liquiditätsplan!AF65</f>
        <v>6389.49999999999</v>
      </c>
      <c r="AB3" s="10">
        <f>+Liquiditätsplan!AG65</f>
        <v>6389.49999999999</v>
      </c>
      <c r="AC3" s="10">
        <f>+Liquiditätsplan!AH65</f>
        <v>6389.49999999999</v>
      </c>
      <c r="AD3" s="10">
        <f>+Liquiditätsplan!AI65</f>
        <v>6389.49999999999</v>
      </c>
      <c r="AE3" s="10">
        <f>+Liquiditätsplan!AJ65</f>
        <v>6389.49999999999</v>
      </c>
      <c r="AF3" s="10">
        <f>+Liquiditätsplan!AK65</f>
        <v>6389.49999999999</v>
      </c>
      <c r="AG3" s="10">
        <f>+Liquiditätsplan!AL65</f>
        <v>6389.49999999999</v>
      </c>
      <c r="AH3" s="10">
        <f>+Liquiditätsplan!AM65</f>
        <v>6389.49999999999</v>
      </c>
      <c r="AI3" s="10">
        <f>+Liquiditätsplan!AN65</f>
        <v>6389.49999999999</v>
      </c>
      <c r="AJ3" s="10">
        <f>+Liquiditätsplan!AO65</f>
        <v>6389.49999999999</v>
      </c>
      <c r="AK3" s="10">
        <f>+Liquiditätsplan!AQ65</f>
        <v>6389.49999999999</v>
      </c>
      <c r="AL3" s="10">
        <f>+Liquiditätsplan!AR65</f>
        <v>6389.49999999999</v>
      </c>
      <c r="AM3" s="10">
        <f>+Liquiditätsplan!AS65</f>
        <v>6389.49999999999</v>
      </c>
      <c r="AN3" s="10">
        <f>+Liquiditätsplan!AT65</f>
        <v>6389.49999999999</v>
      </c>
      <c r="AO3" s="10">
        <f>+Liquiditätsplan!AU65</f>
        <v>6389.49999999999</v>
      </c>
      <c r="AP3" s="10">
        <f>+Liquiditätsplan!AV65</f>
        <v>6389.49999999999</v>
      </c>
      <c r="AQ3" s="10">
        <f>+Liquiditätsplan!AW65</f>
        <v>6389.49999999999</v>
      </c>
      <c r="AR3" s="10">
        <f>+Liquiditätsplan!AX65</f>
        <v>6389.49999999999</v>
      </c>
      <c r="AS3" s="10">
        <f>+Liquiditätsplan!AY65</f>
        <v>6389.49999999999</v>
      </c>
      <c r="AT3" s="10">
        <f>+Liquiditätsplan!AZ65</f>
        <v>6389.49999999999</v>
      </c>
      <c r="AU3" s="10">
        <f>+Liquiditätsplan!BA65</f>
        <v>6389.49999999999</v>
      </c>
      <c r="AV3" s="10">
        <f>+Liquiditätsplan!BB65</f>
        <v>6389.49999999999</v>
      </c>
    </row>
  </sheetData>
  <mergeCells count="4">
    <mergeCell ref="A1:L1"/>
    <mergeCell ref="M1:X1"/>
    <mergeCell ref="Y1:AJ1"/>
    <mergeCell ref="AK1:AV1"/>
  </mergeCells>
  <phoneticPr fontId="18" type="noConversion"/>
  <pageMargins left="0.7" right="0.7" top="0.78740157499999996" bottom="0.78740157499999996" header="0.3" footer="0.3"/>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F36"/>
  <sheetViews>
    <sheetView topLeftCell="A9" zoomScale="81" zoomScaleNormal="130" workbookViewId="0">
      <selection activeCell="C18" sqref="C18:E26"/>
    </sheetView>
  </sheetViews>
  <sheetFormatPr baseColWidth="10" defaultColWidth="11.3984375" defaultRowHeight="12.75" x14ac:dyDescent="0.35"/>
  <cols>
    <col min="1" max="1" width="11.3984375" customWidth="1"/>
    <col min="2" max="2" width="40.59765625" customWidth="1"/>
    <col min="6" max="6" width="11.3984375" customWidth="1"/>
  </cols>
  <sheetData>
    <row r="1" spans="1:6" ht="25.5" customHeight="1" x14ac:dyDescent="0.35">
      <c r="C1" s="133">
        <f>+gj</f>
        <v>2026</v>
      </c>
      <c r="D1" s="133">
        <f>+gj+1</f>
        <v>2027</v>
      </c>
      <c r="E1" s="133">
        <f>+gj+2</f>
        <v>2028</v>
      </c>
      <c r="F1" s="133">
        <f>+gj+3</f>
        <v>2029</v>
      </c>
    </row>
    <row r="2" spans="1:6" ht="11.25" customHeight="1" x14ac:dyDescent="0.35">
      <c r="C2" s="47" t="s">
        <v>139</v>
      </c>
      <c r="D2" s="47" t="s">
        <v>139</v>
      </c>
      <c r="E2" s="47" t="s">
        <v>139</v>
      </c>
      <c r="F2" s="47" t="s">
        <v>139</v>
      </c>
    </row>
    <row r="3" spans="1:6" ht="24" customHeight="1" x14ac:dyDescent="0.4">
      <c r="A3" s="64" t="s">
        <v>102</v>
      </c>
      <c r="B3" s="64"/>
      <c r="C3" s="8"/>
      <c r="D3" s="8"/>
      <c r="E3" s="8"/>
      <c r="F3" s="8"/>
    </row>
    <row r="4" spans="1:6" ht="13.15" x14ac:dyDescent="0.4">
      <c r="A4" t="s">
        <v>90</v>
      </c>
      <c r="C4" s="43"/>
      <c r="D4" s="43"/>
      <c r="E4" s="43"/>
      <c r="F4" s="43"/>
    </row>
    <row r="5" spans="1:6" ht="13.15" x14ac:dyDescent="0.4">
      <c r="A5" t="s">
        <v>91</v>
      </c>
      <c r="C5" s="43"/>
      <c r="D5" s="43"/>
      <c r="E5" s="43"/>
      <c r="F5" s="43"/>
    </row>
    <row r="6" spans="1:6" ht="13.15" x14ac:dyDescent="0.4">
      <c r="A6" t="s">
        <v>92</v>
      </c>
      <c r="C6" s="43"/>
      <c r="D6" s="43"/>
      <c r="E6" s="43"/>
      <c r="F6" s="43"/>
    </row>
    <row r="7" spans="1:6" ht="13.15" x14ac:dyDescent="0.4">
      <c r="A7" t="s">
        <v>97</v>
      </c>
      <c r="C7" s="43"/>
      <c r="D7" s="43"/>
      <c r="E7" s="43"/>
      <c r="F7" s="43"/>
    </row>
    <row r="8" spans="1:6" ht="13.15" x14ac:dyDescent="0.4">
      <c r="A8" t="s">
        <v>93</v>
      </c>
      <c r="C8" s="43"/>
      <c r="D8" s="43"/>
      <c r="E8" s="43"/>
      <c r="F8" s="43"/>
    </row>
    <row r="9" spans="1:6" ht="13.15" x14ac:dyDescent="0.4">
      <c r="A9" t="s">
        <v>99</v>
      </c>
      <c r="C9" s="43"/>
      <c r="D9" s="43"/>
      <c r="E9" s="43"/>
      <c r="F9" s="43"/>
    </row>
    <row r="10" spans="1:6" ht="13.15" x14ac:dyDescent="0.4">
      <c r="A10" t="s">
        <v>94</v>
      </c>
      <c r="C10" s="43"/>
      <c r="D10" s="43"/>
      <c r="E10" s="43"/>
      <c r="F10" s="43"/>
    </row>
    <row r="11" spans="1:6" ht="13.15" x14ac:dyDescent="0.4">
      <c r="A11" s="43" t="str">
        <f>IF(kapges=0,"","Gründungszuschuss/Einstiegsgeld")</f>
        <v/>
      </c>
      <c r="B11" s="43"/>
      <c r="C11" s="43"/>
      <c r="D11" s="43"/>
      <c r="E11" s="43"/>
      <c r="F11" s="43"/>
    </row>
    <row r="12" spans="1:6" ht="13.15" x14ac:dyDescent="0.4">
      <c r="A12" s="43" t="str">
        <f>IF(kapges=0,"","Gründungszuschuss/Einstiegsgeld")</f>
        <v/>
      </c>
      <c r="B12" s="43"/>
      <c r="C12" s="43"/>
      <c r="D12" s="43"/>
      <c r="E12" s="43"/>
      <c r="F12" s="43"/>
    </row>
    <row r="13" spans="1:6" ht="13.15" x14ac:dyDescent="0.4">
      <c r="A13" s="43" t="str">
        <f>IF(kapges=0,"","Gründungszuschuss/Einstiegsgeld")</f>
        <v/>
      </c>
      <c r="B13" s="43"/>
      <c r="C13" s="43"/>
      <c r="D13" s="43"/>
      <c r="E13" s="43"/>
      <c r="F13" s="43"/>
    </row>
    <row r="14" spans="1:6" ht="13.15" x14ac:dyDescent="0.4">
      <c r="A14" s="43" t="str">
        <f>IF(kapges=0,"","Gründungszuschuss/Einstiegsgeld")</f>
        <v/>
      </c>
      <c r="B14" s="43"/>
      <c r="C14" s="43"/>
      <c r="D14" s="43"/>
      <c r="E14" s="43"/>
      <c r="F14" s="43"/>
    </row>
    <row r="15" spans="1:6" ht="13.15" x14ac:dyDescent="0.4">
      <c r="A15" t="str">
        <f>IF(kapges=0,"","Gründungszuschuss/Einstiegsgeld")</f>
        <v/>
      </c>
      <c r="C15" s="43"/>
      <c r="D15" s="43"/>
      <c r="E15" s="43"/>
      <c r="F15" s="43"/>
    </row>
    <row r="16" spans="1:6" x14ac:dyDescent="0.35">
      <c r="A16" t="s">
        <v>100</v>
      </c>
      <c r="C16" s="65">
        <f>SUM(C4:C15)</f>
        <v>0</v>
      </c>
      <c r="D16" s="65">
        <f>SUM(D4:D15)</f>
        <v>0</v>
      </c>
      <c r="E16" s="65">
        <f>SUM(E4:E15)</f>
        <v>0</v>
      </c>
      <c r="F16" s="65">
        <f>SUM(F4:F15)</f>
        <v>0</v>
      </c>
    </row>
    <row r="17" spans="1:6" ht="24" customHeight="1" x14ac:dyDescent="0.4">
      <c r="A17" s="64" t="s">
        <v>101</v>
      </c>
      <c r="B17" s="64"/>
      <c r="C17" s="8"/>
      <c r="D17" s="8"/>
      <c r="E17" s="8"/>
      <c r="F17" s="8"/>
    </row>
    <row r="18" spans="1:6" ht="13.15" x14ac:dyDescent="0.4">
      <c r="A18" t="s">
        <v>112</v>
      </c>
      <c r="C18" s="43">
        <v>0</v>
      </c>
      <c r="D18" s="43">
        <v>0</v>
      </c>
      <c r="E18" s="43">
        <v>0</v>
      </c>
      <c r="F18" s="43"/>
    </row>
    <row r="19" spans="1:6" ht="13.15" x14ac:dyDescent="0.4">
      <c r="A19" t="s">
        <v>95</v>
      </c>
      <c r="C19" s="43">
        <v>0</v>
      </c>
      <c r="D19" s="43">
        <v>0</v>
      </c>
      <c r="E19" s="43">
        <v>0</v>
      </c>
      <c r="F19" s="43"/>
    </row>
    <row r="20" spans="1:6" ht="13.15" x14ac:dyDescent="0.4">
      <c r="A20" t="s">
        <v>96</v>
      </c>
      <c r="C20" s="43">
        <v>0</v>
      </c>
      <c r="D20" s="43">
        <v>0</v>
      </c>
      <c r="E20" s="43">
        <v>0</v>
      </c>
      <c r="F20" s="43"/>
    </row>
    <row r="21" spans="1:6" ht="13.15" x14ac:dyDescent="0.4">
      <c r="A21" t="s">
        <v>103</v>
      </c>
      <c r="C21" s="43">
        <v>0</v>
      </c>
      <c r="D21" s="43">
        <v>0</v>
      </c>
      <c r="E21" s="43">
        <v>0</v>
      </c>
      <c r="F21" s="43"/>
    </row>
    <row r="22" spans="1:6" ht="13.15" x14ac:dyDescent="0.4">
      <c r="A22" t="s">
        <v>105</v>
      </c>
      <c r="C22" s="43">
        <v>0</v>
      </c>
      <c r="D22" s="43">
        <v>0</v>
      </c>
      <c r="E22" s="43">
        <v>0</v>
      </c>
      <c r="F22" s="43"/>
    </row>
    <row r="23" spans="1:6" ht="13.15" x14ac:dyDescent="0.4">
      <c r="A23" t="s">
        <v>106</v>
      </c>
      <c r="C23" s="43">
        <v>0</v>
      </c>
      <c r="D23" s="43">
        <v>0</v>
      </c>
      <c r="E23" s="43">
        <v>0</v>
      </c>
      <c r="F23" s="43"/>
    </row>
    <row r="24" spans="1:6" ht="13.15" x14ac:dyDescent="0.4">
      <c r="A24" t="s">
        <v>104</v>
      </c>
      <c r="C24" s="43">
        <v>0</v>
      </c>
      <c r="D24" s="43">
        <v>0</v>
      </c>
      <c r="E24" s="43">
        <v>0</v>
      </c>
      <c r="F24" s="43"/>
    </row>
    <row r="25" spans="1:6" ht="13.15" x14ac:dyDescent="0.4">
      <c r="A25" t="s">
        <v>98</v>
      </c>
      <c r="C25" s="43">
        <v>0</v>
      </c>
      <c r="D25" s="43">
        <v>0</v>
      </c>
      <c r="E25" s="43">
        <v>0</v>
      </c>
      <c r="F25" s="43"/>
    </row>
    <row r="26" spans="1:6" ht="14.65" x14ac:dyDescent="0.4">
      <c r="A26" t="s">
        <v>84</v>
      </c>
      <c r="C26" s="43">
        <v>0</v>
      </c>
      <c r="D26" s="43">
        <v>0</v>
      </c>
      <c r="E26" s="43">
        <v>0</v>
      </c>
      <c r="F26" s="43"/>
    </row>
    <row r="27" spans="1:6" x14ac:dyDescent="0.35">
      <c r="A27" t="s">
        <v>138</v>
      </c>
      <c r="C27" s="65">
        <f>SUM(C18:C26)</f>
        <v>0</v>
      </c>
      <c r="D27" s="65">
        <f>SUM(D18:D26)</f>
        <v>0</v>
      </c>
      <c r="E27" s="65">
        <f>SUM(E18:E26)</f>
        <v>0</v>
      </c>
      <c r="F27" s="65">
        <f>SUM(F18:F26)</f>
        <v>0</v>
      </c>
    </row>
    <row r="28" spans="1:6" ht="3.75" customHeight="1" x14ac:dyDescent="0.35">
      <c r="C28" s="8"/>
      <c r="D28" s="8"/>
      <c r="E28" s="8"/>
      <c r="F28" s="8"/>
    </row>
    <row r="29" spans="1:6" ht="13.15" thickBot="1" x14ac:dyDescent="0.4">
      <c r="A29" t="s">
        <v>111</v>
      </c>
      <c r="C29" s="34">
        <f>-C16+C27</f>
        <v>0</v>
      </c>
      <c r="D29" s="34">
        <f>-D16+D27</f>
        <v>0</v>
      </c>
      <c r="E29" s="34">
        <f>-E16+E27</f>
        <v>0</v>
      </c>
      <c r="F29" s="34">
        <f>-F16+F27</f>
        <v>0</v>
      </c>
    </row>
    <row r="30" spans="1:6" ht="13.15" thickTop="1" x14ac:dyDescent="0.35"/>
    <row r="31" spans="1:6" ht="14.25" x14ac:dyDescent="0.35">
      <c r="A31" s="66" t="s">
        <v>137</v>
      </c>
      <c r="B31" s="66"/>
      <c r="C31" s="66"/>
      <c r="D31" s="66"/>
      <c r="E31" s="66"/>
      <c r="F31" s="66"/>
    </row>
    <row r="32" spans="1:6" x14ac:dyDescent="0.35">
      <c r="A32" s="100" t="s">
        <v>214</v>
      </c>
      <c r="B32" t="s">
        <v>86</v>
      </c>
    </row>
    <row r="33" spans="1:6" x14ac:dyDescent="0.35">
      <c r="A33" s="100" t="s">
        <v>215</v>
      </c>
      <c r="B33" t="s">
        <v>85</v>
      </c>
    </row>
    <row r="34" spans="1:6" x14ac:dyDescent="0.35">
      <c r="A34" s="100" t="s">
        <v>87</v>
      </c>
      <c r="B34" t="s">
        <v>89</v>
      </c>
    </row>
    <row r="36" spans="1:6" x14ac:dyDescent="0.35">
      <c r="A36" s="139" t="str">
        <f>IF('Infos vor dem Start'!A19=0,"Ein eventueller Gründungszuschuss oder Einstiegsgeld wird nicht hier, sondern in der Liquiditätsplanung eingetragen.","")</f>
        <v>Ein eventueller Gründungszuschuss oder Einstiegsgeld wird nicht hier, sondern in der Liquiditätsplanung eingetragen.</v>
      </c>
      <c r="B36" s="139"/>
      <c r="C36" s="139"/>
      <c r="D36" s="139"/>
      <c r="E36" s="139"/>
      <c r="F36" s="139"/>
    </row>
  </sheetData>
  <sheetProtection algorithmName="SHA-512" hashValue="Le4L2x79Qtjm73BWTkBePxQqP3r7w2DcR3MjyhiKX9yQi7sdN9SaHyuVkCovNzycevWu9zI1lYObLtEo4LtUjg==" saltValue="P6z8DOz19wLHEnRS6dD2ew==" spinCount="100000" sheet="1" formatColumns="0"/>
  <mergeCells count="1">
    <mergeCell ref="A36:F36"/>
  </mergeCells>
  <pageMargins left="0.70866141732283472" right="0.70866141732283472" top="1.1811023622047245" bottom="0.78740157480314965" header="0.31496062992125984" footer="0.31496062992125984"/>
  <pageSetup paperSize="9" scale="91" orientation="landscape" r:id="rId1"/>
  <headerFooter>
    <oddHeader>&amp;L&amp;G&amp;R&amp;"Arial,Fett"&amp;12IHK Köln - das Finanztool&amp;"Arial,Standard"&amp;10
&amp;A</oddHeader>
    <oddFooter xml:space="preserve">&amp;L&amp;8&amp;Z&amp;F\&amp;A\&amp;D\&amp;T&amp;RRelease 3.10
</oddFooter>
  </headerFooter>
  <legacyDrawing r:id="rId2"/>
  <legacyDrawingHF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F36"/>
  <sheetViews>
    <sheetView workbookViewId="0">
      <selection activeCell="C4" sqref="C4"/>
    </sheetView>
  </sheetViews>
  <sheetFormatPr baseColWidth="10" defaultColWidth="11.3984375" defaultRowHeight="12.75" x14ac:dyDescent="0.35"/>
  <cols>
    <col min="1" max="1" width="11.3984375" customWidth="1"/>
    <col min="2" max="2" width="40.59765625" customWidth="1"/>
    <col min="6" max="6" width="11.3984375" customWidth="1"/>
  </cols>
  <sheetData>
    <row r="1" spans="1:6" ht="25.5" customHeight="1" x14ac:dyDescent="0.35">
      <c r="C1" s="47">
        <f>+Rentabilitätsvorschau!P1</f>
        <v>2026</v>
      </c>
      <c r="D1" s="47">
        <f>+Rentabilitätsvorschau!AC1</f>
        <v>2027</v>
      </c>
      <c r="E1" s="47">
        <f>+Rentabilitätsvorschau!AP1</f>
        <v>2028</v>
      </c>
      <c r="F1" s="47">
        <f>+Rentabilitätsvorschau!BC1</f>
        <v>2029</v>
      </c>
    </row>
    <row r="2" spans="1:6" ht="11.25" customHeight="1" x14ac:dyDescent="0.35">
      <c r="C2" s="47" t="s">
        <v>139</v>
      </c>
      <c r="D2" s="47" t="s">
        <v>139</v>
      </c>
      <c r="E2" s="47" t="s">
        <v>139</v>
      </c>
      <c r="F2" s="47" t="s">
        <v>139</v>
      </c>
    </row>
    <row r="3" spans="1:6" ht="24" customHeight="1" x14ac:dyDescent="0.4">
      <c r="A3" s="64" t="s">
        <v>102</v>
      </c>
      <c r="B3" s="64"/>
      <c r="C3" s="8"/>
      <c r="D3" s="8"/>
      <c r="E3" s="8"/>
      <c r="F3" s="8"/>
    </row>
    <row r="4" spans="1:6" ht="13.15" x14ac:dyDescent="0.4">
      <c r="A4" t="s">
        <v>90</v>
      </c>
      <c r="C4" s="43"/>
      <c r="D4" s="43"/>
      <c r="E4" s="43"/>
      <c r="F4" s="43"/>
    </row>
    <row r="5" spans="1:6" ht="13.15" x14ac:dyDescent="0.4">
      <c r="A5" t="s">
        <v>91</v>
      </c>
      <c r="C5" s="43"/>
      <c r="D5" s="43"/>
      <c r="E5" s="43"/>
      <c r="F5" s="43"/>
    </row>
    <row r="6" spans="1:6" ht="13.15" x14ac:dyDescent="0.4">
      <c r="A6" t="s">
        <v>92</v>
      </c>
      <c r="C6" s="43"/>
      <c r="D6" s="43"/>
      <c r="E6" s="43"/>
      <c r="F6" s="43"/>
    </row>
    <row r="7" spans="1:6" ht="13.15" x14ac:dyDescent="0.4">
      <c r="A7" t="s">
        <v>97</v>
      </c>
      <c r="C7" s="43"/>
      <c r="D7" s="43"/>
      <c r="E7" s="43"/>
      <c r="F7" s="43"/>
    </row>
    <row r="8" spans="1:6" ht="13.15" x14ac:dyDescent="0.4">
      <c r="A8" t="s">
        <v>93</v>
      </c>
      <c r="C8" s="43"/>
      <c r="D8" s="43"/>
      <c r="E8" s="43"/>
      <c r="F8" s="43"/>
    </row>
    <row r="9" spans="1:6" ht="13.15" x14ac:dyDescent="0.4">
      <c r="A9" t="s">
        <v>99</v>
      </c>
      <c r="C9" s="43"/>
      <c r="D9" s="43"/>
      <c r="E9" s="43"/>
      <c r="F9" s="43"/>
    </row>
    <row r="10" spans="1:6" ht="13.15" x14ac:dyDescent="0.4">
      <c r="A10" t="s">
        <v>94</v>
      </c>
      <c r="C10" s="43"/>
      <c r="D10" s="43"/>
      <c r="E10" s="43"/>
      <c r="F10" s="43"/>
    </row>
    <row r="11" spans="1:6" ht="13.15" x14ac:dyDescent="0.4">
      <c r="A11" s="43" t="str">
        <f>IF(kapges=0,"","Gründungszuschuss/Einstiegsgeld")</f>
        <v/>
      </c>
      <c r="B11" s="43"/>
      <c r="C11" s="43"/>
      <c r="D11" s="43"/>
      <c r="E11" s="43"/>
      <c r="F11" s="43"/>
    </row>
    <row r="12" spans="1:6" ht="13.15" x14ac:dyDescent="0.4">
      <c r="A12" s="43" t="str">
        <f>IF(kapges=0,"","Gründungszuschuss/Einstiegsgeld")</f>
        <v/>
      </c>
      <c r="B12" s="43"/>
      <c r="C12" s="43"/>
      <c r="D12" s="43"/>
      <c r="E12" s="43"/>
      <c r="F12" s="43"/>
    </row>
    <row r="13" spans="1:6" ht="13.15" x14ac:dyDescent="0.4">
      <c r="A13" s="43" t="str">
        <f>IF(kapges=0,"","Gründungszuschuss/Einstiegsgeld")</f>
        <v/>
      </c>
      <c r="B13" s="43"/>
      <c r="C13" s="43"/>
      <c r="D13" s="43"/>
      <c r="E13" s="43"/>
      <c r="F13" s="43"/>
    </row>
    <row r="14" spans="1:6" ht="13.15" x14ac:dyDescent="0.4">
      <c r="A14" s="43" t="str">
        <f>IF(kapges=0,"","Gründungszuschuss/Einstiegsgeld")</f>
        <v/>
      </c>
      <c r="B14" s="43"/>
      <c r="C14" s="43"/>
      <c r="D14" s="43"/>
      <c r="E14" s="43"/>
      <c r="F14" s="43"/>
    </row>
    <row r="15" spans="1:6" ht="13.15" x14ac:dyDescent="0.4">
      <c r="A15" t="str">
        <f>IF(kapges=0,"","Gründungszuschuss/Einstiegsgeld")</f>
        <v/>
      </c>
      <c r="C15" s="43"/>
      <c r="D15" s="43"/>
      <c r="E15" s="43"/>
      <c r="F15" s="43"/>
    </row>
    <row r="16" spans="1:6" x14ac:dyDescent="0.35">
      <c r="A16" t="s">
        <v>100</v>
      </c>
      <c r="C16" s="65">
        <f>SUM(C4:C15)</f>
        <v>0</v>
      </c>
      <c r="D16" s="65">
        <f>SUM(D4:D15)</f>
        <v>0</v>
      </c>
      <c r="E16" s="65">
        <f>SUM(E4:E15)</f>
        <v>0</v>
      </c>
      <c r="F16" s="65">
        <f>SUM(F4:F15)</f>
        <v>0</v>
      </c>
    </row>
    <row r="17" spans="1:6" ht="24" customHeight="1" x14ac:dyDescent="0.4">
      <c r="A17" s="64" t="s">
        <v>101</v>
      </c>
      <c r="B17" s="64"/>
      <c r="C17" s="8"/>
      <c r="D17" s="8"/>
      <c r="E17" s="8"/>
      <c r="F17" s="8"/>
    </row>
    <row r="18" spans="1:6" ht="13.15" x14ac:dyDescent="0.4">
      <c r="A18" t="s">
        <v>112</v>
      </c>
      <c r="C18" s="43"/>
      <c r="D18" s="43"/>
      <c r="E18" s="43"/>
      <c r="F18" s="43"/>
    </row>
    <row r="19" spans="1:6" ht="13.15" x14ac:dyDescent="0.4">
      <c r="A19" t="s">
        <v>95</v>
      </c>
      <c r="C19" s="43"/>
      <c r="D19" s="43"/>
      <c r="E19" s="43"/>
      <c r="F19" s="43"/>
    </row>
    <row r="20" spans="1:6" ht="13.15" x14ac:dyDescent="0.4">
      <c r="A20" t="s">
        <v>96</v>
      </c>
      <c r="C20" s="43"/>
      <c r="D20" s="43"/>
      <c r="E20" s="43"/>
      <c r="F20" s="43"/>
    </row>
    <row r="21" spans="1:6" ht="13.15" x14ac:dyDescent="0.4">
      <c r="A21" t="s">
        <v>103</v>
      </c>
      <c r="C21" s="43"/>
      <c r="D21" s="43"/>
      <c r="E21" s="43"/>
      <c r="F21" s="43"/>
    </row>
    <row r="22" spans="1:6" ht="13.15" x14ac:dyDescent="0.4">
      <c r="A22" t="s">
        <v>105</v>
      </c>
      <c r="C22" s="43"/>
      <c r="D22" s="43"/>
      <c r="E22" s="43"/>
      <c r="F22" s="43"/>
    </row>
    <row r="23" spans="1:6" ht="13.15" x14ac:dyDescent="0.4">
      <c r="A23" t="s">
        <v>106</v>
      </c>
      <c r="C23" s="43"/>
      <c r="D23" s="43"/>
      <c r="E23" s="43"/>
      <c r="F23" s="43"/>
    </row>
    <row r="24" spans="1:6" ht="13.15" x14ac:dyDescent="0.4">
      <c r="A24" t="s">
        <v>104</v>
      </c>
      <c r="C24" s="43"/>
      <c r="D24" s="43"/>
      <c r="E24" s="43"/>
      <c r="F24" s="43"/>
    </row>
    <row r="25" spans="1:6" ht="13.15" x14ac:dyDescent="0.4">
      <c r="A25" t="s">
        <v>98</v>
      </c>
      <c r="C25" s="43"/>
      <c r="D25" s="43"/>
      <c r="E25" s="43"/>
      <c r="F25" s="43"/>
    </row>
    <row r="26" spans="1:6" ht="14.65" x14ac:dyDescent="0.4">
      <c r="A26" t="s">
        <v>84</v>
      </c>
      <c r="C26" s="43"/>
      <c r="D26" s="43"/>
      <c r="E26" s="43"/>
      <c r="F26" s="43"/>
    </row>
    <row r="27" spans="1:6" x14ac:dyDescent="0.35">
      <c r="A27" t="s">
        <v>138</v>
      </c>
      <c r="C27" s="65">
        <f>SUM(C18:C26)</f>
        <v>0</v>
      </c>
      <c r="D27" s="65">
        <f>SUM(D18:D26)</f>
        <v>0</v>
      </c>
      <c r="E27" s="65">
        <f>SUM(E18:E26)</f>
        <v>0</v>
      </c>
      <c r="F27" s="65">
        <f>SUM(F18:F26)</f>
        <v>0</v>
      </c>
    </row>
    <row r="28" spans="1:6" ht="3.75" customHeight="1" x14ac:dyDescent="0.35">
      <c r="C28" s="8"/>
      <c r="D28" s="8"/>
      <c r="E28" s="8"/>
      <c r="F28" s="8"/>
    </row>
    <row r="29" spans="1:6" ht="13.15" thickBot="1" x14ac:dyDescent="0.4">
      <c r="A29" t="s">
        <v>111</v>
      </c>
      <c r="C29" s="34">
        <f>-C16+C27</f>
        <v>0</v>
      </c>
      <c r="D29" s="34">
        <f>-D16+D27</f>
        <v>0</v>
      </c>
      <c r="E29" s="34">
        <f>-E16+E27</f>
        <v>0</v>
      </c>
      <c r="F29" s="34">
        <f>-F16+F27</f>
        <v>0</v>
      </c>
    </row>
    <row r="30" spans="1:6" ht="13.15" thickTop="1" x14ac:dyDescent="0.35"/>
    <row r="31" spans="1:6" ht="14.25" x14ac:dyDescent="0.35">
      <c r="A31" s="66" t="s">
        <v>137</v>
      </c>
      <c r="B31" s="66"/>
      <c r="C31" s="66"/>
      <c r="D31" s="66"/>
      <c r="E31" s="66"/>
      <c r="F31" s="66"/>
    </row>
    <row r="32" spans="1:6" x14ac:dyDescent="0.35">
      <c r="A32" s="100" t="s">
        <v>214</v>
      </c>
      <c r="B32" t="s">
        <v>86</v>
      </c>
    </row>
    <row r="33" spans="1:6" x14ac:dyDescent="0.35">
      <c r="A33" s="100" t="s">
        <v>215</v>
      </c>
      <c r="B33" t="s">
        <v>85</v>
      </c>
    </row>
    <row r="34" spans="1:6" x14ac:dyDescent="0.35">
      <c r="A34" s="100" t="s">
        <v>87</v>
      </c>
      <c r="B34" t="s">
        <v>89</v>
      </c>
    </row>
    <row r="36" spans="1:6" x14ac:dyDescent="0.35">
      <c r="A36" s="139" t="str">
        <f>IF('Infos vor dem Start'!A19=0,"Ein eventueller Gründungszuschuss oder Einstiegsgeld wird nicht hier, sondern in der Liquiditätsplanung eingetragen.","")</f>
        <v>Ein eventueller Gründungszuschuss oder Einstiegsgeld wird nicht hier, sondern in der Liquiditätsplanung eingetragen.</v>
      </c>
      <c r="B36" s="139"/>
      <c r="C36" s="139"/>
      <c r="D36" s="139"/>
      <c r="E36" s="139"/>
      <c r="F36" s="139"/>
    </row>
  </sheetData>
  <mergeCells count="1">
    <mergeCell ref="A36:F36"/>
  </mergeCells>
  <pageMargins left="0.70866141732283472" right="0.70866141732283472" top="1.1811023622047245" bottom="0.78740157480314965" header="0.31496062992125984" footer="0.31496062992125984"/>
  <pageSetup paperSize="9" scale="80" orientation="portrait" r:id="rId1"/>
  <headerFooter>
    <oddHeader>&amp;L&amp;G&amp;R&amp;"Arial,Fett"&amp;12IHK Köln - das Gründungstool&amp;"Arial,Standard"&amp;10
&amp;A</oddHeader>
    <oddFooter>&amp;L&amp;Z\&amp;F\&amp;A\&amp;D\&amp;T</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36"/>
  <sheetViews>
    <sheetView workbookViewId="0">
      <selection activeCell="C4" sqref="C4"/>
    </sheetView>
  </sheetViews>
  <sheetFormatPr baseColWidth="10" defaultColWidth="11.3984375" defaultRowHeight="12.75" x14ac:dyDescent="0.35"/>
  <cols>
    <col min="1" max="1" width="11.3984375" customWidth="1"/>
    <col min="2" max="2" width="40.59765625" customWidth="1"/>
    <col min="6" max="6" width="11.3984375" customWidth="1"/>
  </cols>
  <sheetData>
    <row r="1" spans="1:6" ht="25.5" customHeight="1" x14ac:dyDescent="0.35">
      <c r="C1" s="47">
        <f>+Rentabilitätsvorschau!P1</f>
        <v>2026</v>
      </c>
      <c r="D1" s="47">
        <f>+Rentabilitätsvorschau!AC1</f>
        <v>2027</v>
      </c>
      <c r="E1" s="47">
        <f>+Rentabilitätsvorschau!AP1</f>
        <v>2028</v>
      </c>
      <c r="F1" s="47">
        <f>+Rentabilitätsvorschau!BC1</f>
        <v>2029</v>
      </c>
    </row>
    <row r="2" spans="1:6" ht="11.25" customHeight="1" x14ac:dyDescent="0.35">
      <c r="C2" s="47" t="s">
        <v>139</v>
      </c>
      <c r="D2" s="47" t="s">
        <v>139</v>
      </c>
      <c r="E2" s="47" t="s">
        <v>139</v>
      </c>
      <c r="F2" s="47" t="s">
        <v>139</v>
      </c>
    </row>
    <row r="3" spans="1:6" ht="24" customHeight="1" x14ac:dyDescent="0.4">
      <c r="A3" s="64" t="s">
        <v>102</v>
      </c>
      <c r="B3" s="64"/>
      <c r="C3" s="8"/>
      <c r="D3" s="8"/>
      <c r="E3" s="8"/>
      <c r="F3" s="8"/>
    </row>
    <row r="4" spans="1:6" ht="13.15" x14ac:dyDescent="0.4">
      <c r="A4" t="s">
        <v>90</v>
      </c>
      <c r="C4" s="43"/>
      <c r="D4" s="43"/>
      <c r="E4" s="43"/>
      <c r="F4" s="43"/>
    </row>
    <row r="5" spans="1:6" ht="13.15" x14ac:dyDescent="0.4">
      <c r="A5" t="s">
        <v>91</v>
      </c>
      <c r="C5" s="43"/>
      <c r="D5" s="43"/>
      <c r="E5" s="43"/>
      <c r="F5" s="43"/>
    </row>
    <row r="6" spans="1:6" ht="13.15" x14ac:dyDescent="0.4">
      <c r="A6" t="s">
        <v>92</v>
      </c>
      <c r="C6" s="43"/>
      <c r="D6" s="43"/>
      <c r="E6" s="43"/>
      <c r="F6" s="43"/>
    </row>
    <row r="7" spans="1:6" ht="13.15" x14ac:dyDescent="0.4">
      <c r="A7" t="s">
        <v>97</v>
      </c>
      <c r="C7" s="43"/>
      <c r="D7" s="43"/>
      <c r="E7" s="43"/>
      <c r="F7" s="43"/>
    </row>
    <row r="8" spans="1:6" ht="13.15" x14ac:dyDescent="0.4">
      <c r="A8" t="s">
        <v>93</v>
      </c>
      <c r="C8" s="43"/>
      <c r="D8" s="43"/>
      <c r="E8" s="43"/>
      <c r="F8" s="43"/>
    </row>
    <row r="9" spans="1:6" ht="13.15" x14ac:dyDescent="0.4">
      <c r="A9" t="s">
        <v>99</v>
      </c>
      <c r="C9" s="43"/>
      <c r="D9" s="43"/>
      <c r="E9" s="43"/>
      <c r="F9" s="43"/>
    </row>
    <row r="10" spans="1:6" ht="13.15" x14ac:dyDescent="0.4">
      <c r="A10" t="s">
        <v>94</v>
      </c>
      <c r="C10" s="43"/>
      <c r="D10" s="43"/>
      <c r="E10" s="43"/>
      <c r="F10" s="43"/>
    </row>
    <row r="11" spans="1:6" ht="13.15" x14ac:dyDescent="0.4">
      <c r="A11" s="43" t="str">
        <f>IF(kapges=0,"","Gründungszuschuss/Einstiegsgeld")</f>
        <v/>
      </c>
      <c r="B11" s="43"/>
      <c r="C11" s="43"/>
      <c r="D11" s="43"/>
      <c r="E11" s="43"/>
      <c r="F11" s="43"/>
    </row>
    <row r="12" spans="1:6" ht="13.15" x14ac:dyDescent="0.4">
      <c r="A12" s="43" t="str">
        <f>IF(kapges=0,"","Gründungszuschuss/Einstiegsgeld")</f>
        <v/>
      </c>
      <c r="B12" s="43"/>
      <c r="C12" s="43"/>
      <c r="D12" s="43"/>
      <c r="E12" s="43"/>
      <c r="F12" s="43"/>
    </row>
    <row r="13" spans="1:6" ht="13.15" x14ac:dyDescent="0.4">
      <c r="A13" s="43" t="str">
        <f>IF(kapges=0,"","Gründungszuschuss/Einstiegsgeld")</f>
        <v/>
      </c>
      <c r="B13" s="43"/>
      <c r="C13" s="43"/>
      <c r="D13" s="43"/>
      <c r="E13" s="43"/>
      <c r="F13" s="43"/>
    </row>
    <row r="14" spans="1:6" ht="13.15" x14ac:dyDescent="0.4">
      <c r="A14" s="43" t="str">
        <f>IF(kapges=0,"","Gründungszuschuss/Einstiegsgeld")</f>
        <v/>
      </c>
      <c r="B14" s="43"/>
      <c r="C14" s="43"/>
      <c r="D14" s="43"/>
      <c r="E14" s="43"/>
      <c r="F14" s="43"/>
    </row>
    <row r="15" spans="1:6" ht="13.15" x14ac:dyDescent="0.4">
      <c r="A15" t="str">
        <f>IF(kapges=0,"","Gründungszuschuss/Einstiegsgeld")</f>
        <v/>
      </c>
      <c r="C15" s="43"/>
      <c r="D15" s="43"/>
      <c r="E15" s="43"/>
      <c r="F15" s="43"/>
    </row>
    <row r="16" spans="1:6" x14ac:dyDescent="0.35">
      <c r="A16" t="s">
        <v>100</v>
      </c>
      <c r="C16" s="65">
        <f>SUM(C4:C15)</f>
        <v>0</v>
      </c>
      <c r="D16" s="65">
        <f>SUM(D4:D15)</f>
        <v>0</v>
      </c>
      <c r="E16" s="65">
        <f>SUM(E4:E15)</f>
        <v>0</v>
      </c>
      <c r="F16" s="65">
        <f>SUM(F4:F15)</f>
        <v>0</v>
      </c>
    </row>
    <row r="17" spans="1:6" ht="24" customHeight="1" x14ac:dyDescent="0.4">
      <c r="A17" s="64" t="s">
        <v>101</v>
      </c>
      <c r="B17" s="64"/>
      <c r="C17" s="8"/>
      <c r="D17" s="8"/>
      <c r="E17" s="8"/>
      <c r="F17" s="8"/>
    </row>
    <row r="18" spans="1:6" ht="13.15" x14ac:dyDescent="0.4">
      <c r="A18" t="s">
        <v>112</v>
      </c>
      <c r="C18" s="43"/>
      <c r="D18" s="43"/>
      <c r="E18" s="43"/>
      <c r="F18" s="43"/>
    </row>
    <row r="19" spans="1:6" ht="13.15" x14ac:dyDescent="0.4">
      <c r="A19" t="s">
        <v>95</v>
      </c>
      <c r="C19" s="43"/>
      <c r="D19" s="43"/>
      <c r="E19" s="43"/>
      <c r="F19" s="43"/>
    </row>
    <row r="20" spans="1:6" ht="13.15" x14ac:dyDescent="0.4">
      <c r="A20" t="s">
        <v>96</v>
      </c>
      <c r="C20" s="43"/>
      <c r="D20" s="43"/>
      <c r="E20" s="43"/>
      <c r="F20" s="43"/>
    </row>
    <row r="21" spans="1:6" ht="13.15" x14ac:dyDescent="0.4">
      <c r="A21" t="s">
        <v>103</v>
      </c>
      <c r="C21" s="43"/>
      <c r="D21" s="43"/>
      <c r="E21" s="43"/>
      <c r="F21" s="43"/>
    </row>
    <row r="22" spans="1:6" ht="13.15" x14ac:dyDescent="0.4">
      <c r="A22" t="s">
        <v>105</v>
      </c>
      <c r="C22" s="43"/>
      <c r="D22" s="43"/>
      <c r="E22" s="43"/>
      <c r="F22" s="43"/>
    </row>
    <row r="23" spans="1:6" ht="13.15" x14ac:dyDescent="0.4">
      <c r="A23" t="s">
        <v>106</v>
      </c>
      <c r="C23" s="43"/>
      <c r="D23" s="43"/>
      <c r="E23" s="43"/>
      <c r="F23" s="43"/>
    </row>
    <row r="24" spans="1:6" ht="13.15" x14ac:dyDescent="0.4">
      <c r="A24" t="s">
        <v>104</v>
      </c>
      <c r="C24" s="43"/>
      <c r="D24" s="43"/>
      <c r="E24" s="43"/>
      <c r="F24" s="43"/>
    </row>
    <row r="25" spans="1:6" ht="13.15" x14ac:dyDescent="0.4">
      <c r="A25" t="s">
        <v>98</v>
      </c>
      <c r="C25" s="43"/>
      <c r="D25" s="43"/>
      <c r="E25" s="43"/>
      <c r="F25" s="43"/>
    </row>
    <row r="26" spans="1:6" ht="14.65" x14ac:dyDescent="0.4">
      <c r="A26" t="s">
        <v>84</v>
      </c>
      <c r="C26" s="43"/>
      <c r="D26" s="43"/>
      <c r="E26" s="43"/>
      <c r="F26" s="43"/>
    </row>
    <row r="27" spans="1:6" x14ac:dyDescent="0.35">
      <c r="A27" t="s">
        <v>138</v>
      </c>
      <c r="C27" s="65">
        <f>SUM(C18:C26)</f>
        <v>0</v>
      </c>
      <c r="D27" s="65">
        <f>SUM(D18:D26)</f>
        <v>0</v>
      </c>
      <c r="E27" s="65">
        <f>SUM(E18:E26)</f>
        <v>0</v>
      </c>
      <c r="F27" s="65">
        <f>SUM(F18:F26)</f>
        <v>0</v>
      </c>
    </row>
    <row r="28" spans="1:6" ht="3.75" customHeight="1" x14ac:dyDescent="0.35">
      <c r="C28" s="8"/>
      <c r="D28" s="8"/>
      <c r="E28" s="8"/>
      <c r="F28" s="8"/>
    </row>
    <row r="29" spans="1:6" ht="13.15" thickBot="1" x14ac:dyDescent="0.4">
      <c r="A29" t="s">
        <v>111</v>
      </c>
      <c r="C29" s="34">
        <f>-C16+C27</f>
        <v>0</v>
      </c>
      <c r="D29" s="34">
        <f>-D16+D27</f>
        <v>0</v>
      </c>
      <c r="E29" s="34">
        <f>-E16+E27</f>
        <v>0</v>
      </c>
      <c r="F29" s="34">
        <f>-F16+F27</f>
        <v>0</v>
      </c>
    </row>
    <row r="30" spans="1:6" ht="13.15" thickTop="1" x14ac:dyDescent="0.35"/>
    <row r="31" spans="1:6" ht="14.25" x14ac:dyDescent="0.35">
      <c r="A31" s="66" t="s">
        <v>137</v>
      </c>
      <c r="B31" s="66"/>
      <c r="C31" s="66"/>
      <c r="D31" s="66"/>
      <c r="E31" s="66"/>
      <c r="F31" s="66"/>
    </row>
    <row r="32" spans="1:6" x14ac:dyDescent="0.35">
      <c r="A32" s="100" t="s">
        <v>214</v>
      </c>
      <c r="B32" t="s">
        <v>86</v>
      </c>
    </row>
    <row r="33" spans="1:6" x14ac:dyDescent="0.35">
      <c r="A33" s="100" t="s">
        <v>215</v>
      </c>
      <c r="B33" t="s">
        <v>85</v>
      </c>
    </row>
    <row r="34" spans="1:6" x14ac:dyDescent="0.35">
      <c r="A34" s="100" t="s">
        <v>87</v>
      </c>
      <c r="B34" t="s">
        <v>89</v>
      </c>
    </row>
    <row r="36" spans="1:6" x14ac:dyDescent="0.35">
      <c r="A36" s="139" t="str">
        <f>IF('Infos vor dem Start'!A19=0,"Ein eventueller Gründungszuschuss oder Einstiegsgeld wird nicht hier, sondern in der Liquiditätsplanung eingetragen.","")</f>
        <v>Ein eventueller Gründungszuschuss oder Einstiegsgeld wird nicht hier, sondern in der Liquiditätsplanung eingetragen.</v>
      </c>
      <c r="B36" s="139"/>
      <c r="C36" s="139"/>
      <c r="D36" s="139"/>
      <c r="E36" s="139"/>
      <c r="F36" s="139"/>
    </row>
  </sheetData>
  <mergeCells count="1">
    <mergeCell ref="A36:F36"/>
  </mergeCells>
  <pageMargins left="0.70866141732283472" right="0.70866141732283472" top="1.1811023622047245" bottom="0.78740157480314965" header="0.31496062992125984" footer="0.31496062992125984"/>
  <pageSetup paperSize="9" scale="89" orientation="portrait" r:id="rId1"/>
  <headerFooter>
    <oddHeader>&amp;L&amp;G&amp;R&amp;"Arial,Fett"&amp;12IHK Köln - das Gründungstool&amp;"Arial,Standard"&amp;10
&amp;A</oddHeader>
    <oddFooter>&amp;L&amp;Z\&amp;F\&amp;A\&amp;D\&amp;T</oddFooter>
  </headerFooter>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F36"/>
  <sheetViews>
    <sheetView workbookViewId="0">
      <pane ySplit="2" topLeftCell="A3" activePane="bottomLeft" state="frozen"/>
      <selection pane="bottomLeft" activeCell="A32" sqref="A32"/>
    </sheetView>
  </sheetViews>
  <sheetFormatPr baseColWidth="10" defaultColWidth="11.3984375" defaultRowHeight="12.75" x14ac:dyDescent="0.35"/>
  <cols>
    <col min="1" max="1" width="11.3984375" customWidth="1"/>
    <col min="2" max="2" width="40.59765625" customWidth="1"/>
    <col min="6" max="6" width="11.3984375" customWidth="1"/>
  </cols>
  <sheetData>
    <row r="1" spans="1:6" ht="25.5" customHeight="1" x14ac:dyDescent="0.35">
      <c r="A1" s="8">
        <f>+'Privater Finanzbedarf'!C4+'Priv. Finanzb. 2. Gründ.'!C4+'Priv. Finanzb. 3. Gründ'!C4</f>
        <v>0</v>
      </c>
      <c r="C1" s="47">
        <f>+Rentabilitätsvorschau!P1</f>
        <v>2026</v>
      </c>
      <c r="D1" s="47">
        <f>+Rentabilitätsvorschau!AC1</f>
        <v>2027</v>
      </c>
      <c r="E1" s="47">
        <f>+Rentabilitätsvorschau!AP1</f>
        <v>2028</v>
      </c>
      <c r="F1" s="47">
        <f>+Rentabilitätsvorschau!BC1</f>
        <v>2029</v>
      </c>
    </row>
    <row r="2" spans="1:6" ht="11.25" customHeight="1" x14ac:dyDescent="0.35">
      <c r="C2" s="47" t="s">
        <v>139</v>
      </c>
      <c r="D2" s="47" t="s">
        <v>139</v>
      </c>
      <c r="E2" s="47" t="s">
        <v>139</v>
      </c>
      <c r="F2" s="47" t="s">
        <v>139</v>
      </c>
    </row>
    <row r="3" spans="1:6" ht="24" customHeight="1" x14ac:dyDescent="0.4">
      <c r="A3" s="64" t="s">
        <v>102</v>
      </c>
      <c r="C3" s="8"/>
      <c r="D3" s="8"/>
      <c r="E3" s="8"/>
      <c r="F3" s="8"/>
    </row>
    <row r="4" spans="1:6" x14ac:dyDescent="0.35">
      <c r="A4" t="s">
        <v>90</v>
      </c>
      <c r="C4" s="84">
        <f>+'Privater Finanzbedarf'!C4+'Priv. Finanzb. 2. Gründ.'!C4+'Priv. Finanzb. 3. Gründ'!C4</f>
        <v>0</v>
      </c>
      <c r="D4" s="84">
        <f>+'Privater Finanzbedarf'!D4+'Priv. Finanzb. 2. Gründ.'!D4+'Priv. Finanzb. 3. Gründ'!D4</f>
        <v>0</v>
      </c>
      <c r="E4" s="84">
        <f>+'Privater Finanzbedarf'!E4+'Priv. Finanzb. 2. Gründ.'!E4+'Priv. Finanzb. 3. Gründ'!E4</f>
        <v>0</v>
      </c>
      <c r="F4" s="84">
        <f>+'Privater Finanzbedarf'!F4+'Priv. Finanzb. 2. Gründ.'!F4+'Priv. Finanzb. 3. Gründ'!F4</f>
        <v>0</v>
      </c>
    </row>
    <row r="5" spans="1:6" x14ac:dyDescent="0.35">
      <c r="A5" t="s">
        <v>91</v>
      </c>
      <c r="C5" s="84">
        <f>+'Privater Finanzbedarf'!C5+'Priv. Finanzb. 2. Gründ.'!C5+'Priv. Finanzb. 3. Gründ'!C5</f>
        <v>0</v>
      </c>
      <c r="D5" s="84">
        <f>+'Privater Finanzbedarf'!D5+'Priv. Finanzb. 2. Gründ.'!D5+'Priv. Finanzb. 3. Gründ'!D5</f>
        <v>0</v>
      </c>
      <c r="E5" s="84">
        <f>+'Privater Finanzbedarf'!E5+'Priv. Finanzb. 2. Gründ.'!E5+'Priv. Finanzb. 3. Gründ'!E5</f>
        <v>0</v>
      </c>
      <c r="F5" s="84">
        <f>+'Privater Finanzbedarf'!F5+'Priv. Finanzb. 2. Gründ.'!F5+'Priv. Finanzb. 3. Gründ'!F5</f>
        <v>0</v>
      </c>
    </row>
    <row r="6" spans="1:6" x14ac:dyDescent="0.35">
      <c r="A6" t="s">
        <v>92</v>
      </c>
      <c r="C6" s="84">
        <f>+'Privater Finanzbedarf'!C6+'Priv. Finanzb. 2. Gründ.'!C6+'Priv. Finanzb. 3. Gründ'!C6</f>
        <v>0</v>
      </c>
      <c r="D6" s="84">
        <f>+'Privater Finanzbedarf'!D6+'Priv. Finanzb. 2. Gründ.'!D6+'Priv. Finanzb. 3. Gründ'!D6</f>
        <v>0</v>
      </c>
      <c r="E6" s="84">
        <f>+'Privater Finanzbedarf'!E6+'Priv. Finanzb. 2. Gründ.'!E6+'Priv. Finanzb. 3. Gründ'!E6</f>
        <v>0</v>
      </c>
      <c r="F6" s="84">
        <f>+'Privater Finanzbedarf'!F6+'Priv. Finanzb. 2. Gründ.'!F6+'Priv. Finanzb. 3. Gründ'!F6</f>
        <v>0</v>
      </c>
    </row>
    <row r="7" spans="1:6" x14ac:dyDescent="0.35">
      <c r="A7" t="s">
        <v>97</v>
      </c>
      <c r="C7" s="84">
        <f>+'Privater Finanzbedarf'!C7+'Priv. Finanzb. 2. Gründ.'!C7+'Priv. Finanzb. 3. Gründ'!C7</f>
        <v>0</v>
      </c>
      <c r="D7" s="84">
        <f>+'Privater Finanzbedarf'!D7+'Priv. Finanzb. 2. Gründ.'!D7+'Priv. Finanzb. 3. Gründ'!D7</f>
        <v>0</v>
      </c>
      <c r="E7" s="84">
        <f>+'Privater Finanzbedarf'!E7+'Priv. Finanzb. 2. Gründ.'!E7+'Priv. Finanzb. 3. Gründ'!E7</f>
        <v>0</v>
      </c>
      <c r="F7" s="84">
        <f>+'Privater Finanzbedarf'!F7+'Priv. Finanzb. 2. Gründ.'!F7+'Priv. Finanzb. 3. Gründ'!F7</f>
        <v>0</v>
      </c>
    </row>
    <row r="8" spans="1:6" x14ac:dyDescent="0.35">
      <c r="A8" t="s">
        <v>93</v>
      </c>
      <c r="C8" s="84">
        <f>+'Privater Finanzbedarf'!C8+'Priv. Finanzb. 2. Gründ.'!C8+'Priv. Finanzb. 3. Gründ'!C8</f>
        <v>0</v>
      </c>
      <c r="D8" s="84">
        <f>+'Privater Finanzbedarf'!D8+'Priv. Finanzb. 2. Gründ.'!D8+'Priv. Finanzb. 3. Gründ'!D8</f>
        <v>0</v>
      </c>
      <c r="E8" s="84">
        <f>+'Privater Finanzbedarf'!E8+'Priv. Finanzb. 2. Gründ.'!E8+'Priv. Finanzb. 3. Gründ'!E8</f>
        <v>0</v>
      </c>
      <c r="F8" s="84">
        <f>+'Privater Finanzbedarf'!F8+'Priv. Finanzb. 2. Gründ.'!F8+'Priv. Finanzb. 3. Gründ'!F8</f>
        <v>0</v>
      </c>
    </row>
    <row r="9" spans="1:6" x14ac:dyDescent="0.35">
      <c r="A9" t="s">
        <v>99</v>
      </c>
      <c r="C9" s="84">
        <f>+'Privater Finanzbedarf'!C9+'Priv. Finanzb. 2. Gründ.'!C9+'Priv. Finanzb. 3. Gründ'!C9</f>
        <v>0</v>
      </c>
      <c r="D9" s="84">
        <f>+'Privater Finanzbedarf'!D9+'Priv. Finanzb. 2. Gründ.'!D9+'Priv. Finanzb. 3. Gründ'!D9</f>
        <v>0</v>
      </c>
      <c r="E9" s="84">
        <f>+'Privater Finanzbedarf'!E9+'Priv. Finanzb. 2. Gründ.'!E9+'Priv. Finanzb. 3. Gründ'!E9</f>
        <v>0</v>
      </c>
      <c r="F9" s="84">
        <f>+'Privater Finanzbedarf'!F9+'Priv. Finanzb. 2. Gründ.'!F9+'Priv. Finanzb. 3. Gründ'!F9</f>
        <v>0</v>
      </c>
    </row>
    <row r="10" spans="1:6" x14ac:dyDescent="0.35">
      <c r="A10" t="s">
        <v>94</v>
      </c>
      <c r="C10" s="84">
        <f>+'Privater Finanzbedarf'!C10+'Priv. Finanzb. 2. Gründ.'!C10+'Priv. Finanzb. 3. Gründ'!C10</f>
        <v>0</v>
      </c>
      <c r="D10" s="84">
        <f>+'Privater Finanzbedarf'!D10+'Priv. Finanzb. 2. Gründ.'!D10+'Priv. Finanzb. 3. Gründ'!D10</f>
        <v>0</v>
      </c>
      <c r="E10" s="84">
        <f>+'Privater Finanzbedarf'!E10+'Priv. Finanzb. 2. Gründ.'!E10+'Priv. Finanzb. 3. Gründ'!E10</f>
        <v>0</v>
      </c>
      <c r="F10" s="84">
        <f>+'Privater Finanzbedarf'!F10+'Priv. Finanzb. 2. Gründ.'!F10+'Priv. Finanzb. 3. Gründ'!F10</f>
        <v>0</v>
      </c>
    </row>
    <row r="11" spans="1:6" x14ac:dyDescent="0.35">
      <c r="A11" t="s">
        <v>216</v>
      </c>
      <c r="C11" s="84">
        <f>+'Privater Finanzbedarf'!C11+'Priv. Finanzb. 2. Gründ.'!C11+'Priv. Finanzb. 3. Gründ'!C11</f>
        <v>0</v>
      </c>
      <c r="D11" s="84">
        <f>+'Privater Finanzbedarf'!D11+'Priv. Finanzb. 2. Gründ.'!D11+'Priv. Finanzb. 3. Gründ'!D11</f>
        <v>0</v>
      </c>
      <c r="E11" s="84">
        <f>+'Privater Finanzbedarf'!E11+'Priv. Finanzb. 2. Gründ.'!E11+'Priv. Finanzb. 3. Gründ'!E11</f>
        <v>0</v>
      </c>
      <c r="F11" s="84">
        <f>+'Privater Finanzbedarf'!F11+'Priv. Finanzb. 2. Gründ.'!F11+'Priv. Finanzb. 3. Gründ'!F11</f>
        <v>0</v>
      </c>
    </row>
    <row r="12" spans="1:6" x14ac:dyDescent="0.35">
      <c r="A12" t="s">
        <v>216</v>
      </c>
      <c r="C12" s="84">
        <f>+'Privater Finanzbedarf'!C12+'Priv. Finanzb. 2. Gründ.'!C12+'Priv. Finanzb. 3. Gründ'!C12</f>
        <v>0</v>
      </c>
      <c r="D12" s="84">
        <f>+'Privater Finanzbedarf'!D12+'Priv. Finanzb. 2. Gründ.'!D12+'Priv. Finanzb. 3. Gründ'!D12</f>
        <v>0</v>
      </c>
      <c r="E12" s="84">
        <f>+'Privater Finanzbedarf'!E12+'Priv. Finanzb. 2. Gründ.'!E12+'Priv. Finanzb. 3. Gründ'!E12</f>
        <v>0</v>
      </c>
      <c r="F12" s="84">
        <f>+'Privater Finanzbedarf'!F12+'Priv. Finanzb. 2. Gründ.'!F12+'Priv. Finanzb. 3. Gründ'!F12</f>
        <v>0</v>
      </c>
    </row>
    <row r="13" spans="1:6" x14ac:dyDescent="0.35">
      <c r="A13" t="s">
        <v>216</v>
      </c>
      <c r="C13" s="84">
        <f>+'Privater Finanzbedarf'!C13+'Priv. Finanzb. 2. Gründ.'!C13+'Priv. Finanzb. 3. Gründ'!C13</f>
        <v>0</v>
      </c>
      <c r="D13" s="84">
        <f>+'Privater Finanzbedarf'!D13+'Priv. Finanzb. 2. Gründ.'!D13+'Priv. Finanzb. 3. Gründ'!D13</f>
        <v>0</v>
      </c>
      <c r="E13" s="84">
        <f>+'Privater Finanzbedarf'!E13+'Priv. Finanzb. 2. Gründ.'!E13+'Priv. Finanzb. 3. Gründ'!E13</f>
        <v>0</v>
      </c>
      <c r="F13" s="84">
        <f>+'Privater Finanzbedarf'!F13+'Priv. Finanzb. 2. Gründ.'!F13+'Priv. Finanzb. 3. Gründ'!F13</f>
        <v>0</v>
      </c>
    </row>
    <row r="14" spans="1:6" x14ac:dyDescent="0.35">
      <c r="A14" t="s">
        <v>216</v>
      </c>
      <c r="C14" s="84">
        <f>+'Privater Finanzbedarf'!C14+'Priv. Finanzb. 2. Gründ.'!C14+'Priv. Finanzb. 3. Gründ'!C14</f>
        <v>0</v>
      </c>
      <c r="D14" s="84">
        <f>+'Privater Finanzbedarf'!D14+'Priv. Finanzb. 2. Gründ.'!D14+'Priv. Finanzb. 3. Gründ'!D14</f>
        <v>0</v>
      </c>
      <c r="E14" s="84">
        <f>+'Privater Finanzbedarf'!E14+'Priv. Finanzb. 2. Gründ.'!E14+'Priv. Finanzb. 3. Gründ'!E14</f>
        <v>0</v>
      </c>
      <c r="F14" s="84">
        <f>+'Privater Finanzbedarf'!F14+'Priv. Finanzb. 2. Gründ.'!F14+'Priv. Finanzb. 3. Gründ'!F14</f>
        <v>0</v>
      </c>
    </row>
    <row r="15" spans="1:6" x14ac:dyDescent="0.35">
      <c r="A15" t="s">
        <v>216</v>
      </c>
      <c r="C15" s="84">
        <f>+'Privater Finanzbedarf'!C15+'Priv. Finanzb. 2. Gründ.'!C15+'Priv. Finanzb. 3. Gründ'!C15</f>
        <v>0</v>
      </c>
      <c r="D15" s="84">
        <f>+'Privater Finanzbedarf'!D15+'Priv. Finanzb. 2. Gründ.'!D15+'Priv. Finanzb. 3. Gründ'!D15</f>
        <v>0</v>
      </c>
      <c r="E15" s="84">
        <f>+'Privater Finanzbedarf'!E15+'Priv. Finanzb. 2. Gründ.'!E15+'Priv. Finanzb. 3. Gründ'!E15</f>
        <v>0</v>
      </c>
      <c r="F15" s="84">
        <f>+'Privater Finanzbedarf'!F15+'Priv. Finanzb. 2. Gründ.'!F15+'Priv. Finanzb. 3. Gründ'!F15</f>
        <v>0</v>
      </c>
    </row>
    <row r="16" spans="1:6" x14ac:dyDescent="0.35">
      <c r="A16" t="s">
        <v>100</v>
      </c>
      <c r="C16" s="65">
        <f>SUM(C4:C15)</f>
        <v>0</v>
      </c>
      <c r="D16" s="65">
        <f>SUM(D4:D15)</f>
        <v>0</v>
      </c>
      <c r="E16" s="65">
        <f>SUM(E4:E15)</f>
        <v>0</v>
      </c>
      <c r="F16" s="65">
        <f>SUM(F4:F15)</f>
        <v>0</v>
      </c>
    </row>
    <row r="17" spans="1:6" ht="24" customHeight="1" x14ac:dyDescent="0.4">
      <c r="A17" s="64" t="s">
        <v>101</v>
      </c>
      <c r="C17" s="8"/>
      <c r="D17" s="8"/>
      <c r="E17" s="8"/>
      <c r="F17" s="8"/>
    </row>
    <row r="18" spans="1:6" x14ac:dyDescent="0.35">
      <c r="A18" t="s">
        <v>112</v>
      </c>
      <c r="C18" s="84">
        <f>+'Privater Finanzbedarf'!C18+'Priv. Finanzb. 2. Gründ.'!C18+'Priv. Finanzb. 3. Gründ'!C18</f>
        <v>0</v>
      </c>
      <c r="D18" s="84">
        <f>+'Privater Finanzbedarf'!D18+'Priv. Finanzb. 2. Gründ.'!D18+'Priv. Finanzb. 3. Gründ'!D18</f>
        <v>0</v>
      </c>
      <c r="E18" s="84">
        <f>+'Privater Finanzbedarf'!E18+'Priv. Finanzb. 2. Gründ.'!E18+'Priv. Finanzb. 3. Gründ'!E18</f>
        <v>0</v>
      </c>
      <c r="F18" s="84">
        <f>+'Privater Finanzbedarf'!F18+'Priv. Finanzb. 2. Gründ.'!F18+'Priv. Finanzb. 3. Gründ'!F18</f>
        <v>0</v>
      </c>
    </row>
    <row r="19" spans="1:6" x14ac:dyDescent="0.35">
      <c r="A19" t="s">
        <v>95</v>
      </c>
      <c r="C19" s="84">
        <f>+'Privater Finanzbedarf'!C19+'Priv. Finanzb. 2. Gründ.'!C19+'Priv. Finanzb. 3. Gründ'!C19</f>
        <v>0</v>
      </c>
      <c r="D19" s="84">
        <f>+'Privater Finanzbedarf'!D19+'Priv. Finanzb. 2. Gründ.'!D19+'Priv. Finanzb. 3. Gründ'!D19</f>
        <v>0</v>
      </c>
      <c r="E19" s="84">
        <f>+'Privater Finanzbedarf'!E19+'Priv. Finanzb. 2. Gründ.'!E19+'Priv. Finanzb. 3. Gründ'!E19</f>
        <v>0</v>
      </c>
      <c r="F19" s="84">
        <f>+'Privater Finanzbedarf'!F19+'Priv. Finanzb. 2. Gründ.'!F19+'Priv. Finanzb. 3. Gründ'!F19</f>
        <v>0</v>
      </c>
    </row>
    <row r="20" spans="1:6" x14ac:dyDescent="0.35">
      <c r="A20" t="s">
        <v>96</v>
      </c>
      <c r="C20" s="84">
        <f>+'Privater Finanzbedarf'!C20+'Priv. Finanzb. 2. Gründ.'!C20+'Priv. Finanzb. 3. Gründ'!C20</f>
        <v>0</v>
      </c>
      <c r="D20" s="84">
        <f>+'Privater Finanzbedarf'!D20+'Priv. Finanzb. 2. Gründ.'!D20+'Priv. Finanzb. 3. Gründ'!D20</f>
        <v>0</v>
      </c>
      <c r="E20" s="84">
        <f>+'Privater Finanzbedarf'!E20+'Priv. Finanzb. 2. Gründ.'!E20+'Priv. Finanzb. 3. Gründ'!E20</f>
        <v>0</v>
      </c>
      <c r="F20" s="84">
        <f>+'Privater Finanzbedarf'!F20+'Priv. Finanzb. 2. Gründ.'!F20+'Priv. Finanzb. 3. Gründ'!F20</f>
        <v>0</v>
      </c>
    </row>
    <row r="21" spans="1:6" x14ac:dyDescent="0.35">
      <c r="A21" t="s">
        <v>103</v>
      </c>
      <c r="C21" s="84">
        <f>+'Privater Finanzbedarf'!C21+'Priv. Finanzb. 2. Gründ.'!C21+'Priv. Finanzb. 3. Gründ'!C21</f>
        <v>0</v>
      </c>
      <c r="D21" s="84">
        <f>+'Privater Finanzbedarf'!D21+'Priv. Finanzb. 2. Gründ.'!D21+'Priv. Finanzb. 3. Gründ'!D21</f>
        <v>0</v>
      </c>
      <c r="E21" s="84">
        <f>+'Privater Finanzbedarf'!E21+'Priv. Finanzb. 2. Gründ.'!E21+'Priv. Finanzb. 3. Gründ'!E21</f>
        <v>0</v>
      </c>
      <c r="F21" s="84">
        <f>+'Privater Finanzbedarf'!F21+'Priv. Finanzb. 2. Gründ.'!F21+'Priv. Finanzb. 3. Gründ'!F21</f>
        <v>0</v>
      </c>
    </row>
    <row r="22" spans="1:6" x14ac:dyDescent="0.35">
      <c r="A22" t="s">
        <v>105</v>
      </c>
      <c r="C22" s="84">
        <f>+'Privater Finanzbedarf'!C22+'Priv. Finanzb. 2. Gründ.'!C22+'Priv. Finanzb. 3. Gründ'!C22</f>
        <v>0</v>
      </c>
      <c r="D22" s="84">
        <f>+'Privater Finanzbedarf'!D22+'Priv. Finanzb. 2. Gründ.'!D22+'Priv. Finanzb. 3. Gründ'!D22</f>
        <v>0</v>
      </c>
      <c r="E22" s="84">
        <f>+'Privater Finanzbedarf'!E22+'Priv. Finanzb. 2. Gründ.'!E22+'Priv. Finanzb. 3. Gründ'!E22</f>
        <v>0</v>
      </c>
      <c r="F22" s="84">
        <f>+'Privater Finanzbedarf'!F22+'Priv. Finanzb. 2. Gründ.'!F22+'Priv. Finanzb. 3. Gründ'!F22</f>
        <v>0</v>
      </c>
    </row>
    <row r="23" spans="1:6" x14ac:dyDescent="0.35">
      <c r="A23" t="s">
        <v>106</v>
      </c>
      <c r="C23" s="84">
        <f>+'Privater Finanzbedarf'!C23+'Priv. Finanzb. 2. Gründ.'!C23+'Priv. Finanzb. 3. Gründ'!C23</f>
        <v>0</v>
      </c>
      <c r="D23" s="84">
        <f>+'Privater Finanzbedarf'!D23+'Priv. Finanzb. 2. Gründ.'!D23+'Priv. Finanzb. 3. Gründ'!D23</f>
        <v>0</v>
      </c>
      <c r="E23" s="84">
        <f>+'Privater Finanzbedarf'!E23+'Priv. Finanzb. 2. Gründ.'!E23+'Priv. Finanzb. 3. Gründ'!E23</f>
        <v>0</v>
      </c>
      <c r="F23" s="84">
        <f>+'Privater Finanzbedarf'!F23+'Priv. Finanzb. 2. Gründ.'!F23+'Priv. Finanzb. 3. Gründ'!F23</f>
        <v>0</v>
      </c>
    </row>
    <row r="24" spans="1:6" x14ac:dyDescent="0.35">
      <c r="A24" t="s">
        <v>104</v>
      </c>
      <c r="C24" s="84">
        <f>+'Privater Finanzbedarf'!C24+'Priv. Finanzb. 2. Gründ.'!C24+'Priv. Finanzb. 3. Gründ'!C24</f>
        <v>0</v>
      </c>
      <c r="D24" s="84">
        <f>+'Privater Finanzbedarf'!D24+'Priv. Finanzb. 2. Gründ.'!D24+'Priv. Finanzb. 3. Gründ'!D24</f>
        <v>0</v>
      </c>
      <c r="E24" s="84">
        <f>+'Privater Finanzbedarf'!E24+'Priv. Finanzb. 2. Gründ.'!E24+'Priv. Finanzb. 3. Gründ'!E24</f>
        <v>0</v>
      </c>
      <c r="F24" s="84">
        <f>+'Privater Finanzbedarf'!F24+'Priv. Finanzb. 2. Gründ.'!F24+'Priv. Finanzb. 3. Gründ'!F24</f>
        <v>0</v>
      </c>
    </row>
    <row r="25" spans="1:6" x14ac:dyDescent="0.35">
      <c r="A25" t="s">
        <v>98</v>
      </c>
      <c r="C25" s="84">
        <f>+'Privater Finanzbedarf'!C25+'Priv. Finanzb. 2. Gründ.'!C25+'Priv. Finanzb. 3. Gründ'!C25</f>
        <v>0</v>
      </c>
      <c r="D25" s="84">
        <f>+'Privater Finanzbedarf'!D25+'Priv. Finanzb. 2. Gründ.'!D25+'Priv. Finanzb. 3. Gründ'!D25</f>
        <v>0</v>
      </c>
      <c r="E25" s="84">
        <f>+'Privater Finanzbedarf'!E25+'Priv. Finanzb. 2. Gründ.'!E25+'Priv. Finanzb. 3. Gründ'!E25</f>
        <v>0</v>
      </c>
      <c r="F25" s="84">
        <f>+'Privater Finanzbedarf'!F25+'Priv. Finanzb. 2. Gründ.'!F25+'Priv. Finanzb. 3. Gründ'!F25</f>
        <v>0</v>
      </c>
    </row>
    <row r="26" spans="1:6" ht="14.25" x14ac:dyDescent="0.35">
      <c r="A26" t="s">
        <v>84</v>
      </c>
      <c r="C26" s="84">
        <f>+'Privater Finanzbedarf'!C26+'Priv. Finanzb. 2. Gründ.'!C26+'Priv. Finanzb. 3. Gründ'!C26</f>
        <v>0</v>
      </c>
      <c r="D26" s="84">
        <f>+'Privater Finanzbedarf'!D26+'Priv. Finanzb. 2. Gründ.'!D26+'Priv. Finanzb. 3. Gründ'!D26</f>
        <v>0</v>
      </c>
      <c r="E26" s="84">
        <f>+'Privater Finanzbedarf'!E26+'Priv. Finanzb. 2. Gründ.'!E26+'Priv. Finanzb. 3. Gründ'!E26</f>
        <v>0</v>
      </c>
      <c r="F26" s="84">
        <f>+'Privater Finanzbedarf'!F26+'Priv. Finanzb. 2. Gründ.'!F26+'Priv. Finanzb. 3. Gründ'!F26</f>
        <v>0</v>
      </c>
    </row>
    <row r="27" spans="1:6" x14ac:dyDescent="0.35">
      <c r="A27" t="s">
        <v>138</v>
      </c>
      <c r="C27" s="65">
        <f>SUM(C18:C26)</f>
        <v>0</v>
      </c>
      <c r="D27" s="65">
        <f>SUM(D18:D26)</f>
        <v>0</v>
      </c>
      <c r="E27" s="65">
        <f>SUM(E18:E26)</f>
        <v>0</v>
      </c>
      <c r="F27" s="65">
        <f>SUM(F18:F26)</f>
        <v>0</v>
      </c>
    </row>
    <row r="28" spans="1:6" ht="3.75" customHeight="1" x14ac:dyDescent="0.35">
      <c r="C28" s="8"/>
      <c r="D28" s="8"/>
      <c r="E28" s="8"/>
      <c r="F28" s="8"/>
    </row>
    <row r="29" spans="1:6" ht="13.15" thickBot="1" x14ac:dyDescent="0.4">
      <c r="A29" t="s">
        <v>111</v>
      </c>
      <c r="C29" s="34">
        <f>-C16+C27</f>
        <v>0</v>
      </c>
      <c r="D29" s="34">
        <f>-D16+D27</f>
        <v>0</v>
      </c>
      <c r="E29" s="34">
        <f>-E16+E27</f>
        <v>0</v>
      </c>
      <c r="F29" s="34">
        <f>-F16+F27</f>
        <v>0</v>
      </c>
    </row>
    <row r="30" spans="1:6" ht="13.15" thickTop="1" x14ac:dyDescent="0.35"/>
    <row r="31" spans="1:6" x14ac:dyDescent="0.35">
      <c r="A31" s="66" t="s">
        <v>218</v>
      </c>
      <c r="B31" s="66"/>
      <c r="C31" s="66"/>
      <c r="D31" s="66"/>
      <c r="E31" s="66"/>
      <c r="F31" s="66"/>
    </row>
    <row r="32" spans="1:6" x14ac:dyDescent="0.35">
      <c r="A32" t="s">
        <v>217</v>
      </c>
    </row>
    <row r="33" spans="1:6" x14ac:dyDescent="0.35">
      <c r="A33" s="100"/>
    </row>
    <row r="34" spans="1:6" x14ac:dyDescent="0.35">
      <c r="A34" s="100"/>
    </row>
    <row r="36" spans="1:6" x14ac:dyDescent="0.35">
      <c r="A36" s="17"/>
      <c r="B36" s="17"/>
      <c r="C36" s="17"/>
      <c r="D36" s="17"/>
      <c r="E36" s="17"/>
      <c r="F36" s="17"/>
    </row>
  </sheetData>
  <pageMargins left="0.70866141732283472" right="0.70866141732283472" top="1.1811023622047245" bottom="0.78740157480314965" header="0.31496062992125984" footer="0.31496062992125984"/>
  <pageSetup paperSize="9" scale="89" orientation="portrait" r:id="rId1"/>
  <headerFooter>
    <oddHeader>&amp;L&amp;G&amp;R&amp;"Arial,Fett"&amp;12IHK Köln - das Gründungstool&amp;"Arial,Standard"&amp;10
&amp;A</oddHeader>
    <oddFooter>&amp;L&amp;Z\&amp;F\&amp;A\&amp;D\&amp;T</oddFooter>
  </headerFooter>
  <legacyDrawingHF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A57"/>
  <sheetViews>
    <sheetView topLeftCell="C1" zoomScale="166" zoomScaleNormal="70" workbookViewId="0">
      <pane ySplit="2" topLeftCell="A46" activePane="bottomLeft" state="frozen"/>
      <selection activeCell="C16" sqref="C16"/>
      <selection pane="bottomLeft" sqref="A1:C3"/>
    </sheetView>
  </sheetViews>
  <sheetFormatPr baseColWidth="10" defaultColWidth="11.3984375" defaultRowHeight="12.75" outlineLevelCol="1" x14ac:dyDescent="0.35"/>
  <cols>
    <col min="1" max="2" width="2.3984375" customWidth="1"/>
    <col min="3" max="3" width="43" customWidth="1"/>
    <col min="6" max="8" width="11.3984375" hidden="1" customWidth="1" outlineLevel="1"/>
    <col min="9" max="9" width="11.3984375" collapsed="1"/>
    <col min="12" max="14" width="11.3984375" hidden="1" customWidth="1" outlineLevel="1"/>
    <col min="15" max="15" width="11.3984375" collapsed="1"/>
    <col min="18" max="20" width="11.3984375" hidden="1" customWidth="1" outlineLevel="1"/>
    <col min="21" max="21" width="11.3984375" collapsed="1"/>
    <col min="24" max="26" width="11.3984375" hidden="1" customWidth="1" outlineLevel="1"/>
    <col min="27" max="27" width="11.3984375" collapsed="1"/>
  </cols>
  <sheetData>
    <row r="1" spans="1:26" ht="27" customHeight="1" x14ac:dyDescent="0.35">
      <c r="A1" s="160" t="s">
        <v>191</v>
      </c>
      <c r="B1" s="160"/>
      <c r="C1" s="161"/>
      <c r="D1" s="165">
        <f>+gj</f>
        <v>2026</v>
      </c>
      <c r="E1" s="165"/>
      <c r="F1" s="165"/>
      <c r="G1" s="165"/>
      <c r="H1" s="165"/>
      <c r="I1" s="165">
        <f>+gj+1</f>
        <v>2027</v>
      </c>
      <c r="J1" s="165"/>
      <c r="K1" s="165"/>
      <c r="L1" s="165"/>
      <c r="M1" s="165"/>
      <c r="N1" s="165"/>
      <c r="O1" s="165">
        <f>+gj+2</f>
        <v>2028</v>
      </c>
      <c r="P1" s="165"/>
      <c r="Q1" s="165"/>
      <c r="R1" s="165"/>
      <c r="S1" s="165"/>
      <c r="T1" s="165"/>
      <c r="U1" s="165">
        <f>+gj+3</f>
        <v>2029</v>
      </c>
      <c r="V1" s="165"/>
      <c r="W1" s="165"/>
      <c r="X1" s="165"/>
      <c r="Y1" s="165"/>
      <c r="Z1" s="165"/>
    </row>
    <row r="2" spans="1:26" ht="25.5" customHeight="1" x14ac:dyDescent="0.35">
      <c r="A2" s="160"/>
      <c r="B2" s="160"/>
      <c r="C2" s="161"/>
      <c r="D2" s="162" t="s">
        <v>170</v>
      </c>
      <c r="E2" s="164"/>
      <c r="F2" s="162" t="s">
        <v>171</v>
      </c>
      <c r="G2" s="163"/>
      <c r="H2" s="164"/>
      <c r="I2" s="162" t="s">
        <v>170</v>
      </c>
      <c r="J2" s="163"/>
      <c r="K2" s="164"/>
      <c r="L2" s="162" t="s">
        <v>171</v>
      </c>
      <c r="M2" s="163"/>
      <c r="N2" s="164"/>
      <c r="O2" s="162" t="s">
        <v>170</v>
      </c>
      <c r="P2" s="163"/>
      <c r="Q2" s="164"/>
      <c r="R2" s="162" t="s">
        <v>171</v>
      </c>
      <c r="S2" s="163"/>
      <c r="T2" s="164"/>
      <c r="U2" s="162" t="s">
        <v>170</v>
      </c>
      <c r="V2" s="163"/>
      <c r="W2" s="164"/>
      <c r="X2" s="162" t="s">
        <v>171</v>
      </c>
      <c r="Y2" s="163"/>
      <c r="Z2" s="164"/>
    </row>
    <row r="3" spans="1:26" ht="49.5" customHeight="1" x14ac:dyDescent="0.35">
      <c r="A3" s="160"/>
      <c r="B3" s="160"/>
      <c r="C3" s="161"/>
      <c r="D3" s="47" t="s">
        <v>58</v>
      </c>
      <c r="E3" s="48" t="s">
        <v>130</v>
      </c>
      <c r="F3" s="48" t="s">
        <v>58</v>
      </c>
      <c r="G3" s="48" t="s">
        <v>168</v>
      </c>
      <c r="H3" s="48" t="s">
        <v>169</v>
      </c>
      <c r="I3" s="47" t="str">
        <f>+D3</f>
        <v>EUR</v>
      </c>
      <c r="J3" s="48" t="str">
        <f>+E3</f>
        <v>Anteil an Gesamt-leistung
in %</v>
      </c>
      <c r="K3" s="48" t="s">
        <v>131</v>
      </c>
      <c r="L3" s="48" t="s">
        <v>58</v>
      </c>
      <c r="M3" s="48" t="s">
        <v>168</v>
      </c>
      <c r="N3" s="48" t="s">
        <v>169</v>
      </c>
      <c r="O3" s="47" t="str">
        <f>+D3</f>
        <v>EUR</v>
      </c>
      <c r="P3" s="48" t="str">
        <f>+E3</f>
        <v>Anteil an Gesamt-leistung
in %</v>
      </c>
      <c r="Q3" s="48" t="str">
        <f>+K3</f>
        <v>Veränderung gegenüber Vorjahr in %</v>
      </c>
      <c r="R3" s="48" t="s">
        <v>58</v>
      </c>
      <c r="S3" s="48" t="s">
        <v>168</v>
      </c>
      <c r="T3" s="48" t="s">
        <v>169</v>
      </c>
      <c r="U3" s="47" t="str">
        <f>+D3</f>
        <v>EUR</v>
      </c>
      <c r="V3" s="48" t="str">
        <f>+E3</f>
        <v>Anteil an Gesamt-leistung
in %</v>
      </c>
      <c r="W3" s="48" t="str">
        <f>+K3</f>
        <v>Veränderung gegenüber Vorjahr in %</v>
      </c>
      <c r="X3" s="48" t="s">
        <v>58</v>
      </c>
      <c r="Y3" s="48" t="s">
        <v>168</v>
      </c>
      <c r="Z3" s="48" t="s">
        <v>169</v>
      </c>
    </row>
    <row r="4" spans="1:26" ht="23.25" customHeight="1" x14ac:dyDescent="0.35">
      <c r="A4" t="str">
        <f>+Rentabilitätsvorschau!A2</f>
        <v>Umsatz Handel/Produktion</v>
      </c>
      <c r="E4" s="49"/>
      <c r="H4" s="49"/>
      <c r="J4" s="49"/>
      <c r="P4" s="49"/>
      <c r="V4" s="49"/>
    </row>
    <row r="5" spans="1:26" ht="13.15" x14ac:dyDescent="0.4">
      <c r="B5" t="str">
        <f>+Rentabilitätsvorschau!B3</f>
        <v>Umsatz 19%</v>
      </c>
      <c r="D5" s="10">
        <f>+Rentabilitätsvorschau!P3</f>
        <v>0</v>
      </c>
      <c r="E5" s="50">
        <f>(IF(D$9=0,"-",+D5/D$9))</f>
        <v>0</v>
      </c>
      <c r="F5" s="74"/>
      <c r="G5" s="10">
        <f>IF(+F5-D5=0,0,+F5-D5)</f>
        <v>0</v>
      </c>
      <c r="H5" s="50" t="str">
        <f t="shared" ref="H5:H10" si="0">IF(+D5=0,"-",+G5/D5)</f>
        <v>-</v>
      </c>
      <c r="I5" s="10">
        <f>+Rentabilitätsvorschau!AC3</f>
        <v>0</v>
      </c>
      <c r="J5" s="50" t="str">
        <f t="shared" ref="J5:J10" si="1">(IF(I$9=0,"",+I5/I$9))</f>
        <v/>
      </c>
      <c r="K5" s="50" t="str">
        <f t="shared" ref="K5:K10" si="2">IF(D5=0,"",(I5-D5)/D5)</f>
        <v/>
      </c>
      <c r="L5" s="74"/>
      <c r="M5" s="10">
        <f>IF(+L5-I5=0,0,+L5-I5)</f>
        <v>0</v>
      </c>
      <c r="N5" s="50" t="str">
        <f t="shared" ref="N5:N10" si="3">IF(+I5=0,"-",+M5/I5)</f>
        <v>-</v>
      </c>
      <c r="O5" s="10">
        <f>+Rentabilitätsvorschau!AP3</f>
        <v>0</v>
      </c>
      <c r="P5" s="50" t="str">
        <f t="shared" ref="P5:P10" si="4">(IF(O$9=0,"",+O5/O$9))</f>
        <v/>
      </c>
      <c r="Q5" s="50" t="str">
        <f t="shared" ref="Q5:Q10" si="5">IF(I5=0,"",(O5-I5)/I5)</f>
        <v/>
      </c>
      <c r="R5" s="74"/>
      <c r="S5" s="10">
        <f>IF(+R5-O5=0,0,+R5-O5)</f>
        <v>0</v>
      </c>
      <c r="T5" s="50" t="str">
        <f t="shared" ref="T5:T10" si="6">IF(+O5=0,"-",+S5/O5)</f>
        <v>-</v>
      </c>
      <c r="U5" s="10">
        <f>+Rentabilitätsvorschau!BC3</f>
        <v>0</v>
      </c>
      <c r="V5" s="50" t="str">
        <f t="shared" ref="V5:V10" si="7">(IF(U$9=0,"",+U5/U$9))</f>
        <v/>
      </c>
      <c r="W5" s="50" t="str">
        <f t="shared" ref="W5:W10" si="8">IF(O5=0,"",(U5-O5)/O5)</f>
        <v/>
      </c>
      <c r="X5" s="74"/>
      <c r="Y5" s="10">
        <f>IF(+X5-U5=0,0,+X5-U5)</f>
        <v>0</v>
      </c>
      <c r="Z5" s="50" t="str">
        <f t="shared" ref="Z5:Z10" si="9">IF(+U5=0,"-",+Y5/U5)</f>
        <v>-</v>
      </c>
    </row>
    <row r="6" spans="1:26" ht="13.15" x14ac:dyDescent="0.4">
      <c r="B6" t="str">
        <f>+Rentabilitätsvorschau!B4</f>
        <v>Umsatz 7%</v>
      </c>
      <c r="D6" s="10">
        <f>+Rentabilitätsvorschau!P4</f>
        <v>0</v>
      </c>
      <c r="E6" s="50">
        <f>(IF(D$9=0,"-",+D6/D$9))</f>
        <v>0</v>
      </c>
      <c r="F6" s="74"/>
      <c r="G6" s="10">
        <f>IF(+F6-D6=0,0,+F6-D6)</f>
        <v>0</v>
      </c>
      <c r="H6" s="50" t="str">
        <f t="shared" si="0"/>
        <v>-</v>
      </c>
      <c r="I6" s="10">
        <f>+Rentabilitätsvorschau!AC4</f>
        <v>0</v>
      </c>
      <c r="J6" s="50" t="str">
        <f t="shared" si="1"/>
        <v/>
      </c>
      <c r="K6" s="50" t="str">
        <f t="shared" si="2"/>
        <v/>
      </c>
      <c r="L6" s="74"/>
      <c r="M6" s="10">
        <f>IF(+L6-I6=0,0,+L6-I6)</f>
        <v>0</v>
      </c>
      <c r="N6" s="50" t="str">
        <f t="shared" si="3"/>
        <v>-</v>
      </c>
      <c r="O6" s="10">
        <f>+Rentabilitätsvorschau!AP4</f>
        <v>0</v>
      </c>
      <c r="P6" s="50" t="str">
        <f t="shared" si="4"/>
        <v/>
      </c>
      <c r="Q6" s="50" t="str">
        <f t="shared" si="5"/>
        <v/>
      </c>
      <c r="R6" s="74"/>
      <c r="S6" s="10">
        <f>IF(+R6-O6=0,0,+R6-O6)</f>
        <v>0</v>
      </c>
      <c r="T6" s="50" t="str">
        <f t="shared" si="6"/>
        <v>-</v>
      </c>
      <c r="U6" s="10">
        <f>+Rentabilitätsvorschau!BC4</f>
        <v>0</v>
      </c>
      <c r="V6" s="50" t="str">
        <f t="shared" si="7"/>
        <v/>
      </c>
      <c r="W6" s="50" t="str">
        <f t="shared" si="8"/>
        <v/>
      </c>
      <c r="X6" s="74"/>
      <c r="Y6" s="10">
        <f>IF(+X6-U6=0,0,+X6-U6)</f>
        <v>0</v>
      </c>
      <c r="Z6" s="50" t="str">
        <f t="shared" si="9"/>
        <v>-</v>
      </c>
    </row>
    <row r="7" spans="1:26" ht="13.15" x14ac:dyDescent="0.4">
      <c r="A7" t="str">
        <f>+Rentabilitätsvorschau!A5</f>
        <v>Umsatz Dienstleistungen 19%</v>
      </c>
      <c r="D7" s="10">
        <f>+Rentabilitätsvorschau!P5</f>
        <v>32000</v>
      </c>
      <c r="E7" s="50">
        <f>(IF(D$9=0,"-",+D7/D$9))</f>
        <v>1</v>
      </c>
      <c r="F7" s="74"/>
      <c r="G7" s="10">
        <f>IF(+F7-D7=0,0,+F7-D7)</f>
        <v>-32000</v>
      </c>
      <c r="H7" s="50">
        <f t="shared" si="0"/>
        <v>-1</v>
      </c>
      <c r="I7" s="10">
        <f>+Rentabilitätsvorschau!AC5</f>
        <v>0</v>
      </c>
      <c r="J7" s="50" t="str">
        <f t="shared" si="1"/>
        <v/>
      </c>
      <c r="K7" s="50">
        <f t="shared" si="2"/>
        <v>-1</v>
      </c>
      <c r="L7" s="74"/>
      <c r="M7" s="10">
        <f>IF(+L7-I7=0,0,+L7-I7)</f>
        <v>0</v>
      </c>
      <c r="N7" s="50" t="str">
        <f t="shared" si="3"/>
        <v>-</v>
      </c>
      <c r="O7" s="10">
        <f>+Rentabilitätsvorschau!AP5</f>
        <v>0</v>
      </c>
      <c r="P7" s="50" t="str">
        <f t="shared" si="4"/>
        <v/>
      </c>
      <c r="Q7" s="50" t="str">
        <f t="shared" si="5"/>
        <v/>
      </c>
      <c r="R7" s="74"/>
      <c r="S7" s="10">
        <f>IF(+R7-O7=0,0,+R7-O7)</f>
        <v>0</v>
      </c>
      <c r="T7" s="50" t="str">
        <f t="shared" si="6"/>
        <v>-</v>
      </c>
      <c r="U7" s="10">
        <f>+Rentabilitätsvorschau!BC5</f>
        <v>0</v>
      </c>
      <c r="V7" s="50" t="str">
        <f t="shared" si="7"/>
        <v/>
      </c>
      <c r="W7" s="50" t="str">
        <f t="shared" si="8"/>
        <v/>
      </c>
      <c r="X7" s="74"/>
      <c r="Y7" s="10">
        <f>IF(+X7-U7=0,0,+X7-U7)</f>
        <v>0</v>
      </c>
      <c r="Z7" s="50" t="str">
        <f t="shared" si="9"/>
        <v>-</v>
      </c>
    </row>
    <row r="8" spans="1:26" ht="13.15" x14ac:dyDescent="0.4">
      <c r="A8" t="str">
        <f>+Rentabilitätsvorschau!C6</f>
        <v>Erlösschmälerungen (Skonto)</v>
      </c>
      <c r="D8" s="10">
        <f>+Rentabilitätsvorschau!P6</f>
        <v>0</v>
      </c>
      <c r="E8" s="50">
        <f>(IF(D$9=0,"-",+D8/D$9))</f>
        <v>0</v>
      </c>
      <c r="F8" s="74"/>
      <c r="G8" s="10">
        <f>IF(+F8-D8=0,0,+F8-D8)</f>
        <v>0</v>
      </c>
      <c r="H8" s="50" t="str">
        <f t="shared" si="0"/>
        <v>-</v>
      </c>
      <c r="I8" s="10">
        <f>+Rentabilitätsvorschau!AC6</f>
        <v>0</v>
      </c>
      <c r="J8" s="50" t="str">
        <f t="shared" si="1"/>
        <v/>
      </c>
      <c r="K8" s="50" t="str">
        <f t="shared" si="2"/>
        <v/>
      </c>
      <c r="L8" s="74"/>
      <c r="M8" s="10">
        <f>IF(+L8-I8=0,0,+L8-I8)</f>
        <v>0</v>
      </c>
      <c r="N8" s="50" t="str">
        <f t="shared" si="3"/>
        <v>-</v>
      </c>
      <c r="O8" s="10">
        <f>+Rentabilitätsvorschau!AP6</f>
        <v>0</v>
      </c>
      <c r="P8" s="50" t="str">
        <f t="shared" si="4"/>
        <v/>
      </c>
      <c r="Q8" s="50" t="str">
        <f t="shared" si="5"/>
        <v/>
      </c>
      <c r="R8" s="74"/>
      <c r="S8" s="10">
        <f>IF(+R8-O8=0,0,+R8-O8)</f>
        <v>0</v>
      </c>
      <c r="T8" s="50" t="str">
        <f t="shared" si="6"/>
        <v>-</v>
      </c>
      <c r="U8" s="10">
        <f>+Rentabilitätsvorschau!BC6</f>
        <v>0</v>
      </c>
      <c r="V8" s="50" t="str">
        <f t="shared" si="7"/>
        <v/>
      </c>
      <c r="W8" s="50" t="str">
        <f t="shared" si="8"/>
        <v/>
      </c>
      <c r="X8" s="74"/>
      <c r="Y8" s="10">
        <f>IF(+X8-U8=0,0,+X8-U8)</f>
        <v>0</v>
      </c>
      <c r="Z8" s="50" t="str">
        <f t="shared" si="9"/>
        <v>-</v>
      </c>
    </row>
    <row r="9" spans="1:26" x14ac:dyDescent="0.35">
      <c r="A9" t="s">
        <v>129</v>
      </c>
      <c r="D9" s="51">
        <f>+D5+D6+D7-D8</f>
        <v>32000</v>
      </c>
      <c r="E9" s="52">
        <f>(IF(D$9=0,"",+D9/D$9))</f>
        <v>1</v>
      </c>
      <c r="F9" s="51">
        <f>+F5+F6+F7-F8</f>
        <v>0</v>
      </c>
      <c r="G9" s="51">
        <f>+G5+G6+G7-G8</f>
        <v>-32000</v>
      </c>
      <c r="H9" s="52">
        <f t="shared" si="0"/>
        <v>-1</v>
      </c>
      <c r="I9" s="51">
        <f>+I5+I6+I7-I8</f>
        <v>0</v>
      </c>
      <c r="J9" s="52" t="str">
        <f t="shared" si="1"/>
        <v/>
      </c>
      <c r="K9" s="52">
        <f t="shared" si="2"/>
        <v>-1</v>
      </c>
      <c r="L9" s="51">
        <f>+L5+L6+L7-L8</f>
        <v>0</v>
      </c>
      <c r="M9" s="51">
        <f>+M5+M6+M7-M8</f>
        <v>0</v>
      </c>
      <c r="N9" s="52" t="str">
        <f t="shared" si="3"/>
        <v>-</v>
      </c>
      <c r="O9" s="51">
        <f>+O5+O6+O7-O8</f>
        <v>0</v>
      </c>
      <c r="P9" s="52" t="str">
        <f t="shared" si="4"/>
        <v/>
      </c>
      <c r="Q9" s="52" t="str">
        <f t="shared" si="5"/>
        <v/>
      </c>
      <c r="R9" s="51">
        <f>+R5+R6+R7-R8</f>
        <v>0</v>
      </c>
      <c r="S9" s="51">
        <f>+S5+S6+S7-S8</f>
        <v>0</v>
      </c>
      <c r="T9" s="52" t="str">
        <f t="shared" si="6"/>
        <v>-</v>
      </c>
      <c r="U9" s="51">
        <f>+U5+U6+U7-U8</f>
        <v>0</v>
      </c>
      <c r="V9" s="52" t="str">
        <f t="shared" si="7"/>
        <v/>
      </c>
      <c r="W9" s="52" t="str">
        <f t="shared" si="8"/>
        <v/>
      </c>
      <c r="X9" s="51">
        <f>+X5+X6+X7-X8</f>
        <v>0</v>
      </c>
      <c r="Y9" s="51">
        <f>+Y5+Y6+Y7-Y8</f>
        <v>0</v>
      </c>
      <c r="Z9" s="52" t="str">
        <f t="shared" si="9"/>
        <v>-</v>
      </c>
    </row>
    <row r="10" spans="1:26" ht="19.5" customHeight="1" x14ac:dyDescent="0.4">
      <c r="A10" t="str">
        <f>+Rentabilitätsvorschau!A7</f>
        <v>sonstige betriebliche Erträge</v>
      </c>
      <c r="D10" s="10">
        <f>+Rentabilitätsvorschau!P7</f>
        <v>0</v>
      </c>
      <c r="E10" s="50">
        <f>(IF(D$9=0,"",+D10/D$9))</f>
        <v>0</v>
      </c>
      <c r="F10" s="74"/>
      <c r="G10" s="10">
        <f>IF(+F10-D10=0,0,+F10-D10)</f>
        <v>0</v>
      </c>
      <c r="H10" s="50" t="str">
        <f t="shared" si="0"/>
        <v>-</v>
      </c>
      <c r="I10" s="10">
        <f>+Rentabilitätsvorschau!AC7</f>
        <v>0</v>
      </c>
      <c r="J10" s="50" t="str">
        <f t="shared" si="1"/>
        <v/>
      </c>
      <c r="K10" s="50" t="str">
        <f t="shared" si="2"/>
        <v/>
      </c>
      <c r="L10" s="74"/>
      <c r="M10" s="10">
        <f>IF(+L10-I10=0,0,+L10-I10)</f>
        <v>0</v>
      </c>
      <c r="N10" s="50" t="str">
        <f t="shared" si="3"/>
        <v>-</v>
      </c>
      <c r="O10" s="10">
        <f>+Rentabilitätsvorschau!AP7</f>
        <v>0</v>
      </c>
      <c r="P10" s="50" t="str">
        <f t="shared" si="4"/>
        <v/>
      </c>
      <c r="Q10" s="50" t="str">
        <f t="shared" si="5"/>
        <v/>
      </c>
      <c r="R10" s="74"/>
      <c r="S10" s="10">
        <f>IF(+R10-O10=0,0,+R10-O10)</f>
        <v>0</v>
      </c>
      <c r="T10" s="50" t="str">
        <f t="shared" si="6"/>
        <v>-</v>
      </c>
      <c r="U10" s="10">
        <f>+Rentabilitätsvorschau!BC7</f>
        <v>0</v>
      </c>
      <c r="V10" s="50" t="str">
        <f t="shared" si="7"/>
        <v/>
      </c>
      <c r="W10" s="50" t="str">
        <f t="shared" si="8"/>
        <v/>
      </c>
      <c r="X10" s="74"/>
      <c r="Y10" s="10">
        <f>IF(+X10-U10=0,0,+X10-U10)</f>
        <v>0</v>
      </c>
      <c r="Z10" s="50" t="str">
        <f t="shared" si="9"/>
        <v>-</v>
      </c>
    </row>
    <row r="11" spans="1:26" x14ac:dyDescent="0.35">
      <c r="A11" t="str">
        <f>+Rentabilitätsvorschau!A8</f>
        <v>Wareneinkauf/Materialaufwand</v>
      </c>
      <c r="D11" s="10"/>
      <c r="E11" s="50"/>
      <c r="F11" s="10"/>
      <c r="G11" s="10"/>
      <c r="H11" s="50"/>
      <c r="I11" s="10"/>
      <c r="J11" s="50"/>
      <c r="K11" s="50"/>
      <c r="L11" s="10"/>
      <c r="M11" s="10"/>
      <c r="N11" s="50"/>
      <c r="O11" s="10"/>
      <c r="P11" s="50"/>
      <c r="Q11" s="50"/>
      <c r="R11" s="10"/>
      <c r="S11" s="10"/>
      <c r="T11" s="50"/>
      <c r="U11" s="10"/>
      <c r="V11" s="50"/>
      <c r="W11" s="50"/>
      <c r="X11" s="10"/>
      <c r="Y11" s="10"/>
      <c r="Z11" s="50"/>
    </row>
    <row r="12" spans="1:26" ht="13.15" x14ac:dyDescent="0.4">
      <c r="B12" t="str">
        <f>+Rentabilitätsvorschau!C9</f>
        <v>pauschaler Wareneinsatz</v>
      </c>
      <c r="D12" s="10">
        <f>+Rentabilitätsvorschau!P9</f>
        <v>0</v>
      </c>
      <c r="E12" s="50">
        <f t="shared" ref="E12:E18" si="10">(IF(D$9=0,"",+D12/D$9))</f>
        <v>0</v>
      </c>
      <c r="F12" s="74"/>
      <c r="G12" s="10">
        <f t="shared" ref="G12:G18" si="11">IF(+F12-D12=0,0,+F12-D12)</f>
        <v>0</v>
      </c>
      <c r="H12" s="50" t="str">
        <f t="shared" ref="H12:H18" si="12">IF(+D12=0,"-",+G12/D12)</f>
        <v>-</v>
      </c>
      <c r="I12" s="10">
        <f>+Rentabilitätsvorschau!AC9</f>
        <v>0</v>
      </c>
      <c r="J12" s="50" t="str">
        <f t="shared" ref="J12:J18" si="13">(IF(I$9=0,"",+I12/I$9))</f>
        <v/>
      </c>
      <c r="K12" s="50" t="str">
        <f t="shared" ref="K12:K18" si="14">IF(D12=0,"",(I12-D12)/D12)</f>
        <v/>
      </c>
      <c r="L12" s="74"/>
      <c r="M12" s="10">
        <f t="shared" ref="M12:M18" si="15">IF(+L12-I12=0,0,+L12-I12)</f>
        <v>0</v>
      </c>
      <c r="N12" s="50" t="str">
        <f t="shared" ref="N12:N18" si="16">IF(+I12=0,"-",+M12/I12)</f>
        <v>-</v>
      </c>
      <c r="O12" s="10">
        <f>+Rentabilitätsvorschau!AP9</f>
        <v>0</v>
      </c>
      <c r="P12" s="50" t="str">
        <f t="shared" ref="P12:P18" si="17">(IF(O$9=0,"",+O12/O$9))</f>
        <v/>
      </c>
      <c r="Q12" s="50" t="str">
        <f t="shared" ref="Q12:Q55" si="18">IF(I12=0,"",(O12-I12)/I12)</f>
        <v/>
      </c>
      <c r="R12" s="74"/>
      <c r="S12" s="10">
        <f t="shared" ref="S12:S18" si="19">IF(+R12-O12=0,0,+R12-O12)</f>
        <v>0</v>
      </c>
      <c r="T12" s="50" t="str">
        <f t="shared" ref="T12:T18" si="20">IF(+O12=0,"-",+S12/O12)</f>
        <v>-</v>
      </c>
      <c r="U12" s="10">
        <f>+Rentabilitätsvorschau!BC9</f>
        <v>0</v>
      </c>
      <c r="V12" s="50" t="str">
        <f t="shared" ref="V12:V18" si="21">(IF(U$9=0,"",+U12/U$9))</f>
        <v/>
      </c>
      <c r="W12" s="50" t="str">
        <f t="shared" ref="W12:W55" si="22">IF(O12=0,"",(U12-O12)/O12)</f>
        <v/>
      </c>
      <c r="X12" s="74"/>
      <c r="Y12" s="10">
        <f t="shared" ref="Y12:Y18" si="23">IF(+X12-U12=0,0,+X12-U12)</f>
        <v>0</v>
      </c>
      <c r="Z12" s="50" t="str">
        <f t="shared" ref="Z12:Z18" si="24">IF(+U12=0,"-",+Y12/U12)</f>
        <v>-</v>
      </c>
    </row>
    <row r="13" spans="1:26" ht="13.15" x14ac:dyDescent="0.4">
      <c r="B13" t="str">
        <f>+Rentabilitätsvorschau!B10</f>
        <v>Fremdleistungen</v>
      </c>
      <c r="D13" s="10">
        <f>+Rentabilitätsvorschau!P10</f>
        <v>0</v>
      </c>
      <c r="E13" s="50">
        <f t="shared" si="10"/>
        <v>0</v>
      </c>
      <c r="F13" s="74"/>
      <c r="G13" s="10">
        <f t="shared" si="11"/>
        <v>0</v>
      </c>
      <c r="H13" s="50" t="str">
        <f t="shared" si="12"/>
        <v>-</v>
      </c>
      <c r="I13" s="10">
        <f>+Rentabilitätsvorschau!AC10</f>
        <v>0</v>
      </c>
      <c r="J13" s="50" t="str">
        <f t="shared" si="13"/>
        <v/>
      </c>
      <c r="K13" s="50" t="str">
        <f t="shared" si="14"/>
        <v/>
      </c>
      <c r="L13" s="74"/>
      <c r="M13" s="10">
        <f t="shared" si="15"/>
        <v>0</v>
      </c>
      <c r="N13" s="50" t="str">
        <f t="shared" si="16"/>
        <v>-</v>
      </c>
      <c r="O13" s="10">
        <f>+Rentabilitätsvorschau!AP10</f>
        <v>0</v>
      </c>
      <c r="P13" s="50" t="str">
        <f t="shared" si="17"/>
        <v/>
      </c>
      <c r="Q13" s="50" t="str">
        <f t="shared" si="18"/>
        <v/>
      </c>
      <c r="R13" s="74"/>
      <c r="S13" s="10">
        <f t="shared" si="19"/>
        <v>0</v>
      </c>
      <c r="T13" s="50" t="str">
        <f t="shared" si="20"/>
        <v>-</v>
      </c>
      <c r="U13" s="10">
        <f>+Rentabilitätsvorschau!BC10</f>
        <v>0</v>
      </c>
      <c r="V13" s="50" t="str">
        <f t="shared" si="21"/>
        <v/>
      </c>
      <c r="W13" s="50" t="str">
        <f t="shared" si="22"/>
        <v/>
      </c>
      <c r="X13" s="74"/>
      <c r="Y13" s="10">
        <f t="shared" si="23"/>
        <v>0</v>
      </c>
      <c r="Z13" s="50" t="str">
        <f t="shared" si="24"/>
        <v>-</v>
      </c>
    </row>
    <row r="14" spans="1:26" ht="13.15" x14ac:dyDescent="0.4">
      <c r="B14" t="str">
        <f>+Rentabilitätsvorschau!B11</f>
        <v>Wareneinkauf Saisongeschäft</v>
      </c>
      <c r="D14" s="10">
        <f>+Rentabilitätsvorschau!P11</f>
        <v>0</v>
      </c>
      <c r="E14" s="50">
        <f t="shared" ref="E14:E16" si="25">(IF(D$9=0,"",+D14/D$9))</f>
        <v>0</v>
      </c>
      <c r="F14" s="74"/>
      <c r="G14" s="10">
        <f t="shared" ref="G14:G15" si="26">IF(+F14-D14=0,0,+F14-D14)</f>
        <v>0</v>
      </c>
      <c r="H14" s="50" t="str">
        <f t="shared" ref="H14:H15" si="27">IF(+D14=0,"-",+G14/D14)</f>
        <v>-</v>
      </c>
      <c r="I14" s="10">
        <f>+Rentabilitätsvorschau!AC11</f>
        <v>0</v>
      </c>
      <c r="J14" s="50" t="str">
        <f t="shared" ref="J14:J16" si="28">(IF(I$9=0,"",+I14/I$9))</f>
        <v/>
      </c>
      <c r="K14" s="50" t="str">
        <f t="shared" ref="K14:K15" si="29">IF(D14=0,"",(I14-D14)/D14)</f>
        <v/>
      </c>
      <c r="L14" s="74"/>
      <c r="M14" s="10">
        <f t="shared" ref="M14:M15" si="30">IF(+L14-I14=0,0,+L14-I14)</f>
        <v>0</v>
      </c>
      <c r="N14" s="50" t="str">
        <f t="shared" ref="N14:N15" si="31">IF(+I14=0,"-",+M14/I14)</f>
        <v>-</v>
      </c>
      <c r="O14" s="10">
        <f>+Rentabilitätsvorschau!AP11</f>
        <v>0</v>
      </c>
      <c r="P14" s="50" t="str">
        <f t="shared" ref="P14:P16" si="32">(IF(O$9=0,"",+O14/O$9))</f>
        <v/>
      </c>
      <c r="Q14" s="50" t="str">
        <f t="shared" ref="Q14:Q15" si="33">IF(I14=0,"",(O14-I14)/I14)</f>
        <v/>
      </c>
      <c r="R14" s="74"/>
      <c r="S14" s="10">
        <f t="shared" ref="S14:S15" si="34">IF(+R14-O14=0,0,+R14-O14)</f>
        <v>0</v>
      </c>
      <c r="T14" s="50" t="str">
        <f t="shared" ref="T14:T15" si="35">IF(+O14=0,"-",+S14/O14)</f>
        <v>-</v>
      </c>
      <c r="U14" s="10">
        <f>+Rentabilitätsvorschau!BC11</f>
        <v>0</v>
      </c>
      <c r="V14" s="50" t="str">
        <f t="shared" ref="V14:V16" si="36">(IF(U$9=0,"",+U14/U$9))</f>
        <v/>
      </c>
      <c r="W14" s="50" t="str">
        <f t="shared" ref="W14:W15" si="37">IF(O14=0,"",(U14-O14)/O14)</f>
        <v/>
      </c>
      <c r="X14" s="74"/>
      <c r="Y14" s="10">
        <f t="shared" ref="Y14:Y15" si="38">IF(+X14-U14=0,0,+X14-U14)</f>
        <v>0</v>
      </c>
      <c r="Z14" s="50" t="str">
        <f t="shared" ref="Z14:Z15" si="39">IF(+U14=0,"-",+Y14/U14)</f>
        <v>-</v>
      </c>
    </row>
    <row r="15" spans="1:26" ht="13.15" x14ac:dyDescent="0.4">
      <c r="B15" t="str">
        <f>+Rentabilitätsvorschau!B12</f>
        <v>Warenlager-Erstausstattung und -aufstockung</v>
      </c>
      <c r="D15" s="10">
        <f>+Rentabilitätsvorschau!P12</f>
        <v>0</v>
      </c>
      <c r="E15" s="50">
        <f t="shared" si="25"/>
        <v>0</v>
      </c>
      <c r="F15" s="74"/>
      <c r="G15" s="10">
        <f t="shared" si="26"/>
        <v>0</v>
      </c>
      <c r="H15" s="50" t="str">
        <f t="shared" si="27"/>
        <v>-</v>
      </c>
      <c r="I15" s="10">
        <f>+Rentabilitätsvorschau!AC12</f>
        <v>0</v>
      </c>
      <c r="J15" s="50" t="str">
        <f t="shared" si="28"/>
        <v/>
      </c>
      <c r="K15" s="50" t="str">
        <f t="shared" si="29"/>
        <v/>
      </c>
      <c r="L15" s="74"/>
      <c r="M15" s="10">
        <f t="shared" si="30"/>
        <v>0</v>
      </c>
      <c r="N15" s="50" t="str">
        <f t="shared" si="31"/>
        <v>-</v>
      </c>
      <c r="O15" s="10">
        <f>+Rentabilitätsvorschau!AP12</f>
        <v>0</v>
      </c>
      <c r="P15" s="50" t="str">
        <f t="shared" si="32"/>
        <v/>
      </c>
      <c r="Q15" s="50" t="str">
        <f t="shared" si="33"/>
        <v/>
      </c>
      <c r="R15" s="74"/>
      <c r="S15" s="10">
        <f t="shared" si="34"/>
        <v>0</v>
      </c>
      <c r="T15" s="50" t="str">
        <f t="shared" si="35"/>
        <v>-</v>
      </c>
      <c r="U15" s="10">
        <f>+Rentabilitätsvorschau!BC12</f>
        <v>0</v>
      </c>
      <c r="V15" s="50" t="str">
        <f t="shared" si="36"/>
        <v/>
      </c>
      <c r="W15" s="50" t="str">
        <f t="shared" si="37"/>
        <v/>
      </c>
      <c r="X15" s="74"/>
      <c r="Y15" s="10">
        <f t="shared" si="38"/>
        <v>0</v>
      </c>
      <c r="Z15" s="50" t="str">
        <f t="shared" si="39"/>
        <v>-</v>
      </c>
    </row>
    <row r="16" spans="1:26" x14ac:dyDescent="0.35">
      <c r="A16" t="str">
        <f>+Rentabilitätsvorschau!A13</f>
        <v>Rohergebnis</v>
      </c>
      <c r="D16" s="51">
        <f>D9+D10-D12-D13-D14-D15</f>
        <v>32000</v>
      </c>
      <c r="E16" s="52">
        <f t="shared" si="25"/>
        <v>1</v>
      </c>
      <c r="F16" s="51">
        <f t="shared" ref="F16:U16" si="40">F9+F10-F12-F13-F14-F15</f>
        <v>0</v>
      </c>
      <c r="G16" s="51">
        <f t="shared" si="40"/>
        <v>-32000</v>
      </c>
      <c r="H16" s="51" t="e">
        <f t="shared" si="40"/>
        <v>#VALUE!</v>
      </c>
      <c r="I16" s="51">
        <f t="shared" si="40"/>
        <v>0</v>
      </c>
      <c r="J16" s="52" t="str">
        <f t="shared" si="28"/>
        <v/>
      </c>
      <c r="K16" s="52">
        <f t="shared" ref="K16" si="41">IF(D16=0,"",(I16-D16)/D16)</f>
        <v>-1</v>
      </c>
      <c r="L16" s="51">
        <f t="shared" si="40"/>
        <v>0</v>
      </c>
      <c r="M16" s="51">
        <f t="shared" si="40"/>
        <v>0</v>
      </c>
      <c r="N16" s="51" t="e">
        <f t="shared" si="40"/>
        <v>#VALUE!</v>
      </c>
      <c r="O16" s="51">
        <f t="shared" si="40"/>
        <v>0</v>
      </c>
      <c r="P16" s="52" t="str">
        <f t="shared" si="32"/>
        <v/>
      </c>
      <c r="Q16" s="52" t="str">
        <f t="shared" ref="Q16" si="42">IF(I16=0,"",(O16-I16)/I16)</f>
        <v/>
      </c>
      <c r="R16" s="51">
        <f t="shared" si="40"/>
        <v>0</v>
      </c>
      <c r="S16" s="51">
        <f t="shared" si="40"/>
        <v>0</v>
      </c>
      <c r="T16" s="51" t="e">
        <f t="shared" si="40"/>
        <v>#VALUE!</v>
      </c>
      <c r="U16" s="51">
        <f t="shared" si="40"/>
        <v>0</v>
      </c>
      <c r="V16" s="52" t="str">
        <f t="shared" si="36"/>
        <v/>
      </c>
      <c r="W16" s="52" t="str">
        <f t="shared" ref="W16" si="43">IF(O16=0,"",(U16-O16)/O16)</f>
        <v/>
      </c>
      <c r="X16" s="51">
        <f>X9+X10-X12-X13-X15</f>
        <v>0</v>
      </c>
      <c r="Y16" s="51">
        <f t="shared" si="23"/>
        <v>0</v>
      </c>
      <c r="Z16" s="52" t="str">
        <f t="shared" si="24"/>
        <v>-</v>
      </c>
    </row>
    <row r="17" spans="1:26" ht="20.25" customHeight="1" x14ac:dyDescent="0.4">
      <c r="A17" t="str">
        <f>+Rentabilitätsvorschau!A14</f>
        <v>Personalaufwand incl. Sozialabgaben (ca. 22%)</v>
      </c>
      <c r="D17" s="10">
        <f>+Rentabilitätsvorschau!P14</f>
        <v>0</v>
      </c>
      <c r="E17" s="50">
        <f t="shared" si="10"/>
        <v>0</v>
      </c>
      <c r="F17" s="74"/>
      <c r="G17" s="10">
        <f t="shared" si="11"/>
        <v>0</v>
      </c>
      <c r="H17" s="50" t="str">
        <f t="shared" si="12"/>
        <v>-</v>
      </c>
      <c r="I17" s="10">
        <f>+Rentabilitätsvorschau!AC14</f>
        <v>8640</v>
      </c>
      <c r="J17" s="50" t="str">
        <f t="shared" si="13"/>
        <v/>
      </c>
      <c r="K17" s="50" t="str">
        <f t="shared" si="14"/>
        <v/>
      </c>
      <c r="L17" s="74"/>
      <c r="M17" s="10">
        <f t="shared" si="15"/>
        <v>-8640</v>
      </c>
      <c r="N17" s="50">
        <f t="shared" si="16"/>
        <v>-1</v>
      </c>
      <c r="O17" s="10">
        <f>+Rentabilitätsvorschau!AP14</f>
        <v>0</v>
      </c>
      <c r="P17" s="50" t="str">
        <f t="shared" si="17"/>
        <v/>
      </c>
      <c r="Q17" s="50">
        <f t="shared" si="18"/>
        <v>-1</v>
      </c>
      <c r="R17" s="74"/>
      <c r="S17" s="10">
        <f t="shared" si="19"/>
        <v>0</v>
      </c>
      <c r="T17" s="50" t="str">
        <f t="shared" si="20"/>
        <v>-</v>
      </c>
      <c r="U17" s="10">
        <f>+Rentabilitätsvorschau!BC14</f>
        <v>0</v>
      </c>
      <c r="V17" s="50" t="str">
        <f t="shared" si="21"/>
        <v/>
      </c>
      <c r="W17" s="50" t="str">
        <f t="shared" si="22"/>
        <v/>
      </c>
      <c r="X17" s="74"/>
      <c r="Y17" s="10">
        <f t="shared" si="23"/>
        <v>0</v>
      </c>
      <c r="Z17" s="50" t="str">
        <f t="shared" si="24"/>
        <v>-</v>
      </c>
    </row>
    <row r="18" spans="1:26" ht="13.15" x14ac:dyDescent="0.4">
      <c r="A18" t="str">
        <f>+Rentabilitätsvorschau!A15</f>
        <v>Abschreibungen</v>
      </c>
      <c r="D18" s="10">
        <f>+Rentabilitätsvorschau!P15</f>
        <v>0</v>
      </c>
      <c r="E18" s="50">
        <f t="shared" si="10"/>
        <v>0</v>
      </c>
      <c r="F18" s="74"/>
      <c r="G18" s="10">
        <f t="shared" si="11"/>
        <v>0</v>
      </c>
      <c r="H18" s="50" t="str">
        <f t="shared" si="12"/>
        <v>-</v>
      </c>
      <c r="I18" s="10">
        <f>+Rentabilitätsvorschau!AC15</f>
        <v>0</v>
      </c>
      <c r="J18" s="50" t="str">
        <f t="shared" si="13"/>
        <v/>
      </c>
      <c r="K18" s="50" t="str">
        <f t="shared" si="14"/>
        <v/>
      </c>
      <c r="L18" s="74"/>
      <c r="M18" s="10">
        <f t="shared" si="15"/>
        <v>0</v>
      </c>
      <c r="N18" s="50" t="str">
        <f t="shared" si="16"/>
        <v>-</v>
      </c>
      <c r="O18" s="10">
        <f>+Rentabilitätsvorschau!AP15</f>
        <v>0</v>
      </c>
      <c r="P18" s="50" t="str">
        <f t="shared" si="17"/>
        <v/>
      </c>
      <c r="Q18" s="50" t="str">
        <f t="shared" si="18"/>
        <v/>
      </c>
      <c r="R18" s="74"/>
      <c r="S18" s="10">
        <f t="shared" si="19"/>
        <v>0</v>
      </c>
      <c r="T18" s="50" t="str">
        <f t="shared" si="20"/>
        <v>-</v>
      </c>
      <c r="U18" s="10">
        <f>+Rentabilitätsvorschau!BC15</f>
        <v>0</v>
      </c>
      <c r="V18" s="50" t="str">
        <f t="shared" si="21"/>
        <v/>
      </c>
      <c r="W18" s="50" t="str">
        <f t="shared" si="22"/>
        <v/>
      </c>
      <c r="X18" s="74"/>
      <c r="Y18" s="10">
        <f t="shared" si="23"/>
        <v>0</v>
      </c>
      <c r="Z18" s="50" t="str">
        <f t="shared" si="24"/>
        <v>-</v>
      </c>
    </row>
    <row r="19" spans="1:26" x14ac:dyDescent="0.35">
      <c r="A19" t="str">
        <f>+Rentabilitätsvorschau!A16</f>
        <v>Sonstige betriebliche Aufwendungen</v>
      </c>
      <c r="D19" s="10"/>
      <c r="E19" s="50"/>
      <c r="F19" s="10"/>
      <c r="G19" s="10"/>
      <c r="H19" s="50"/>
      <c r="I19" s="10"/>
      <c r="J19" s="50"/>
      <c r="K19" s="50"/>
      <c r="L19" s="10"/>
      <c r="M19" s="10"/>
      <c r="N19" s="50"/>
      <c r="O19" s="10"/>
      <c r="P19" s="50"/>
      <c r="Q19" s="50"/>
      <c r="R19" s="10"/>
      <c r="S19" s="10"/>
      <c r="T19" s="50"/>
      <c r="U19" s="10"/>
      <c r="V19" s="50"/>
      <c r="W19" s="50"/>
      <c r="X19" s="10"/>
      <c r="Y19" s="10"/>
      <c r="Z19" s="50"/>
    </row>
    <row r="20" spans="1:26" x14ac:dyDescent="0.35">
      <c r="B20" t="str">
        <f>+Rentabilitätsvorschau!B17</f>
        <v>Raumkosten (Miete, Nebenkosten, Reinigung etc.)</v>
      </c>
      <c r="D20" s="10"/>
      <c r="E20" s="50"/>
      <c r="F20" s="10"/>
      <c r="G20" s="10"/>
      <c r="H20" s="50"/>
      <c r="I20" s="10"/>
      <c r="J20" s="50"/>
      <c r="K20" s="50"/>
      <c r="L20" s="10"/>
      <c r="M20" s="10"/>
      <c r="N20" s="50"/>
      <c r="O20" s="10"/>
      <c r="P20" s="50"/>
      <c r="Q20" s="50"/>
      <c r="R20" s="10"/>
      <c r="S20" s="10"/>
      <c r="T20" s="50"/>
      <c r="U20" s="10"/>
      <c r="V20" s="50"/>
      <c r="W20" s="50"/>
      <c r="X20" s="10"/>
      <c r="Y20" s="10"/>
      <c r="Z20" s="50"/>
    </row>
    <row r="21" spans="1:26" ht="13.15" x14ac:dyDescent="0.4">
      <c r="C21" t="str">
        <f>+Rentabilitätsvorschau!C18</f>
        <v>Miete und Nebenkosten</v>
      </c>
      <c r="D21" s="10">
        <f>+Rentabilitätsvorschau!P18</f>
        <v>1800</v>
      </c>
      <c r="E21" s="50">
        <f>(IF(D$9=0,"",+D21/D$9))</f>
        <v>5.6250000000000001E-2</v>
      </c>
      <c r="F21" s="74"/>
      <c r="G21" s="10">
        <f>IF(+F21-D21=0,0,+F21-D21)</f>
        <v>-1800</v>
      </c>
      <c r="H21" s="50">
        <f>IF(+D21=0,"-",+G21/D21)</f>
        <v>-1</v>
      </c>
      <c r="I21" s="10">
        <f>+Rentabilitätsvorschau!AC18</f>
        <v>7200</v>
      </c>
      <c r="J21" s="50" t="str">
        <f>(IF(I$9=0,"",+I21/I$9))</f>
        <v/>
      </c>
      <c r="K21" s="50">
        <f>IF(D21=0,"",(I21-D21)/D21)</f>
        <v>3</v>
      </c>
      <c r="L21" s="74"/>
      <c r="M21" s="10">
        <f>IF(+L21-I21=0,0,+L21-I21)</f>
        <v>-7200</v>
      </c>
      <c r="N21" s="50">
        <f>IF(+I21=0,"-",+M21/I21)</f>
        <v>-1</v>
      </c>
      <c r="O21" s="10">
        <f>+Rentabilitätsvorschau!AP18</f>
        <v>0</v>
      </c>
      <c r="P21" s="50" t="str">
        <f>(IF(O$9=0,"",+O21/O$9))</f>
        <v/>
      </c>
      <c r="Q21" s="50">
        <f t="shared" si="18"/>
        <v>-1</v>
      </c>
      <c r="R21" s="74"/>
      <c r="S21" s="10">
        <f>IF(+R21-O21=0,0,+R21-O21)</f>
        <v>0</v>
      </c>
      <c r="T21" s="50" t="str">
        <f>IF(+O21=0,"-",+S21/O21)</f>
        <v>-</v>
      </c>
      <c r="U21" s="10">
        <f>+Rentabilitätsvorschau!BC18</f>
        <v>0</v>
      </c>
      <c r="V21" s="50" t="str">
        <f>(IF(U$9=0,"",+U21/U$9))</f>
        <v/>
      </c>
      <c r="W21" s="50" t="str">
        <f t="shared" si="22"/>
        <v/>
      </c>
      <c r="X21" s="74"/>
      <c r="Y21" s="10">
        <f>IF(+X21-U21=0,0,+X21-U21)</f>
        <v>0</v>
      </c>
      <c r="Z21" s="50" t="str">
        <f>IF(+U21=0,"-",+Y21/U21)</f>
        <v>-</v>
      </c>
    </row>
    <row r="22" spans="1:26" ht="13.15" x14ac:dyDescent="0.4">
      <c r="C22" t="str">
        <f>+Rentabilitätsvorschau!C19</f>
        <v>Instandhaltung</v>
      </c>
      <c r="D22" s="10">
        <f>+Rentabilitätsvorschau!P19</f>
        <v>150</v>
      </c>
      <c r="E22" s="50">
        <f>(IF(D$9=0,"",+D22/D$9))</f>
        <v>4.6874999999999998E-3</v>
      </c>
      <c r="F22" s="74"/>
      <c r="G22" s="10">
        <f>IF(+F22-D22=0,0,+F22-D22)</f>
        <v>-150</v>
      </c>
      <c r="H22" s="50">
        <f>IF(+D22=0,"-",+G22/D22)</f>
        <v>-1</v>
      </c>
      <c r="I22" s="10">
        <f>+Rentabilitätsvorschau!AC19</f>
        <v>600</v>
      </c>
      <c r="J22" s="50" t="str">
        <f>(IF(I$9=0,"",+I22/I$9))</f>
        <v/>
      </c>
      <c r="K22" s="50">
        <f>IF(D22=0,"",(I22-D22)/D22)</f>
        <v>3</v>
      </c>
      <c r="L22" s="74"/>
      <c r="M22" s="10">
        <f>IF(+L22-I22=0,0,+L22-I22)</f>
        <v>-600</v>
      </c>
      <c r="N22" s="50">
        <f>IF(+I22=0,"-",+M22/I22)</f>
        <v>-1</v>
      </c>
      <c r="O22" s="10">
        <f>+Rentabilitätsvorschau!AP19</f>
        <v>0</v>
      </c>
      <c r="P22" s="50" t="str">
        <f>(IF(O$9=0,"",+O22/O$9))</f>
        <v/>
      </c>
      <c r="Q22" s="50">
        <f t="shared" si="18"/>
        <v>-1</v>
      </c>
      <c r="R22" s="74"/>
      <c r="S22" s="10">
        <f>IF(+R22-O22=0,0,+R22-O22)</f>
        <v>0</v>
      </c>
      <c r="T22" s="50" t="str">
        <f>IF(+O22=0,"-",+S22/O22)</f>
        <v>-</v>
      </c>
      <c r="U22" s="10">
        <f>+Rentabilitätsvorschau!BC19</f>
        <v>0</v>
      </c>
      <c r="V22" s="50" t="str">
        <f>(IF(U$9=0,"",+U22/U$9))</f>
        <v/>
      </c>
      <c r="W22" s="50" t="str">
        <f t="shared" si="22"/>
        <v/>
      </c>
      <c r="X22" s="74"/>
      <c r="Y22" s="10">
        <f>IF(+X22-U22=0,0,+X22-U22)</f>
        <v>0</v>
      </c>
      <c r="Z22" s="50" t="str">
        <f>IF(+U22=0,"-",+Y22/U22)</f>
        <v>-</v>
      </c>
    </row>
    <row r="23" spans="1:26" ht="13.15" x14ac:dyDescent="0.4">
      <c r="B23" t="str">
        <f>+Rentabilitätsvorschau!B20</f>
        <v>Telefon, Fax</v>
      </c>
      <c r="D23" s="10">
        <f>+Rentabilitätsvorschau!P20</f>
        <v>300</v>
      </c>
      <c r="E23" s="50">
        <f>(IF(D$9=0,"",+D23/D$9))</f>
        <v>9.3749999999999997E-3</v>
      </c>
      <c r="F23" s="74"/>
      <c r="G23" s="10">
        <f>IF(+F23-D23=0,0,+F23-D23)</f>
        <v>-300</v>
      </c>
      <c r="H23" s="50">
        <f>IF(+D23=0,"-",+G23/D23)</f>
        <v>-1</v>
      </c>
      <c r="I23" s="10">
        <f>+Rentabilitätsvorschau!AC20</f>
        <v>1200</v>
      </c>
      <c r="J23" s="50" t="str">
        <f>(IF(I$9=0,"",+I23/I$9))</f>
        <v/>
      </c>
      <c r="K23" s="50">
        <f>IF(D23=0,"",(I23-D23)/D23)</f>
        <v>3</v>
      </c>
      <c r="L23" s="74"/>
      <c r="M23" s="10">
        <f>IF(+L23-I23=0,0,+L23-I23)</f>
        <v>-1200</v>
      </c>
      <c r="N23" s="50">
        <f>IF(+I23=0,"-",+M23/I23)</f>
        <v>-1</v>
      </c>
      <c r="O23" s="10">
        <f>+Rentabilitätsvorschau!AP20</f>
        <v>0</v>
      </c>
      <c r="P23" s="50" t="str">
        <f>(IF(O$9=0,"",+O23/O$9))</f>
        <v/>
      </c>
      <c r="Q23" s="50">
        <f t="shared" si="18"/>
        <v>-1</v>
      </c>
      <c r="R23" s="74"/>
      <c r="S23" s="10">
        <f>IF(+R23-O23=0,0,+R23-O23)</f>
        <v>0</v>
      </c>
      <c r="T23" s="50" t="str">
        <f>IF(+O23=0,"-",+S23/O23)</f>
        <v>-</v>
      </c>
      <c r="U23" s="10">
        <f>+Rentabilitätsvorschau!BC20</f>
        <v>0</v>
      </c>
      <c r="V23" s="50" t="str">
        <f>(IF(U$9=0,"",+U23/U$9))</f>
        <v/>
      </c>
      <c r="W23" s="50" t="str">
        <f t="shared" si="22"/>
        <v/>
      </c>
      <c r="X23" s="74"/>
      <c r="Y23" s="10">
        <f>IF(+X23-U23=0,0,+X23-U23)</f>
        <v>0</v>
      </c>
      <c r="Z23" s="50" t="str">
        <f>IF(+U23=0,"-",+Y23/U23)</f>
        <v>-</v>
      </c>
    </row>
    <row r="24" spans="1:26" x14ac:dyDescent="0.35">
      <c r="B24" t="str">
        <f>+Rentabilitätsvorschau!B21</f>
        <v>Kfz-Kosten</v>
      </c>
      <c r="D24" s="10"/>
      <c r="E24" s="50"/>
      <c r="F24" s="10"/>
      <c r="G24" s="10"/>
      <c r="H24" s="50"/>
      <c r="I24" s="10"/>
      <c r="J24" s="50"/>
      <c r="K24" s="50"/>
      <c r="L24" s="10"/>
      <c r="M24" s="10"/>
      <c r="N24" s="50"/>
      <c r="O24" s="10"/>
      <c r="P24" s="50"/>
      <c r="Q24" s="50"/>
      <c r="R24" s="10"/>
      <c r="S24" s="10"/>
      <c r="T24" s="50"/>
      <c r="U24" s="10"/>
      <c r="V24" s="50"/>
      <c r="W24" s="50"/>
      <c r="X24" s="10"/>
      <c r="Y24" s="10"/>
      <c r="Z24" s="50"/>
    </row>
    <row r="25" spans="1:26" ht="13.15" x14ac:dyDescent="0.4">
      <c r="C25" t="str">
        <f>+Rentabilitätsvorschau!C22</f>
        <v>Kfz-Versicherungen</v>
      </c>
      <c r="D25" s="10">
        <f>+Rentabilitätsvorschau!P22</f>
        <v>0</v>
      </c>
      <c r="E25" s="50">
        <f t="shared" ref="E25:E30" si="44">(IF(D$9=0,"",+D25/D$9))</f>
        <v>0</v>
      </c>
      <c r="F25" s="74"/>
      <c r="G25" s="10">
        <f t="shared" ref="G25:G30" si="45">IF(+F25-D25=0,0,+F25-D25)</f>
        <v>0</v>
      </c>
      <c r="H25" s="50" t="str">
        <f t="shared" ref="H25:H30" si="46">IF(+D25=0,"-",+G25/D25)</f>
        <v>-</v>
      </c>
      <c r="I25" s="10">
        <f>+Rentabilitätsvorschau!AC22</f>
        <v>0</v>
      </c>
      <c r="J25" s="50" t="str">
        <f t="shared" ref="J25:J30" si="47">(IF(I$9=0,"",+I25/I$9))</f>
        <v/>
      </c>
      <c r="K25" s="50" t="str">
        <f t="shared" ref="K25:K30" si="48">IF(D25=0,"",(I25-D25)/D25)</f>
        <v/>
      </c>
      <c r="L25" s="74"/>
      <c r="M25" s="10">
        <f t="shared" ref="M25:M30" si="49">IF(+L25-I25=0,0,+L25-I25)</f>
        <v>0</v>
      </c>
      <c r="N25" s="50" t="str">
        <f t="shared" ref="N25:N30" si="50">IF(+I25=0,"-",+M25/I25)</f>
        <v>-</v>
      </c>
      <c r="O25" s="10">
        <f>+Rentabilitätsvorschau!AP22</f>
        <v>0</v>
      </c>
      <c r="P25" s="50" t="str">
        <f t="shared" ref="P25:P30" si="51">(IF(O$9=0,"",+O25/O$9))</f>
        <v/>
      </c>
      <c r="Q25" s="50" t="str">
        <f t="shared" si="18"/>
        <v/>
      </c>
      <c r="R25" s="74"/>
      <c r="S25" s="10">
        <f t="shared" ref="S25:S30" si="52">IF(+R25-O25=0,0,+R25-O25)</f>
        <v>0</v>
      </c>
      <c r="T25" s="50" t="str">
        <f t="shared" ref="T25:T30" si="53">IF(+O25=0,"-",+S25/O25)</f>
        <v>-</v>
      </c>
      <c r="U25" s="10">
        <f>+Rentabilitätsvorschau!BC22</f>
        <v>0</v>
      </c>
      <c r="V25" s="50" t="str">
        <f t="shared" ref="V25:V30" si="54">(IF(U$9=0,"",+U25/U$9))</f>
        <v/>
      </c>
      <c r="W25" s="50" t="str">
        <f t="shared" si="22"/>
        <v/>
      </c>
      <c r="X25" s="74"/>
      <c r="Y25" s="10">
        <f t="shared" ref="Y25:Y30" si="55">IF(+X25-U25=0,0,+X25-U25)</f>
        <v>0</v>
      </c>
      <c r="Z25" s="50" t="str">
        <f t="shared" ref="Z25:Z30" si="56">IF(+U25=0,"-",+Y25/U25)</f>
        <v>-</v>
      </c>
    </row>
    <row r="26" spans="1:26" ht="13.15" x14ac:dyDescent="0.4">
      <c r="C26" t="str">
        <f>+Rentabilitätsvorschau!C23</f>
        <v>Wartung und Reparatur</v>
      </c>
      <c r="D26" s="10">
        <f>+Rentabilitätsvorschau!P23</f>
        <v>0</v>
      </c>
      <c r="E26" s="50">
        <f t="shared" si="44"/>
        <v>0</v>
      </c>
      <c r="F26" s="74"/>
      <c r="G26" s="10">
        <f t="shared" si="45"/>
        <v>0</v>
      </c>
      <c r="H26" s="50" t="str">
        <f t="shared" si="46"/>
        <v>-</v>
      </c>
      <c r="I26" s="10">
        <f>+Rentabilitätsvorschau!AC23</f>
        <v>0</v>
      </c>
      <c r="J26" s="50" t="str">
        <f t="shared" si="47"/>
        <v/>
      </c>
      <c r="K26" s="50" t="str">
        <f t="shared" si="48"/>
        <v/>
      </c>
      <c r="L26" s="74"/>
      <c r="M26" s="10">
        <f t="shared" si="49"/>
        <v>0</v>
      </c>
      <c r="N26" s="50" t="str">
        <f t="shared" si="50"/>
        <v>-</v>
      </c>
      <c r="O26" s="10">
        <f>+Rentabilitätsvorschau!AP23</f>
        <v>0</v>
      </c>
      <c r="P26" s="50" t="str">
        <f t="shared" si="51"/>
        <v/>
      </c>
      <c r="Q26" s="50" t="str">
        <f t="shared" si="18"/>
        <v/>
      </c>
      <c r="R26" s="74"/>
      <c r="S26" s="10">
        <f t="shared" si="52"/>
        <v>0</v>
      </c>
      <c r="T26" s="50" t="str">
        <f t="shared" si="53"/>
        <v>-</v>
      </c>
      <c r="U26" s="10">
        <f>+Rentabilitätsvorschau!BC23</f>
        <v>0</v>
      </c>
      <c r="V26" s="50" t="str">
        <f t="shared" si="54"/>
        <v/>
      </c>
      <c r="W26" s="50" t="str">
        <f t="shared" si="22"/>
        <v/>
      </c>
      <c r="X26" s="74"/>
      <c r="Y26" s="10">
        <f t="shared" si="55"/>
        <v>0</v>
      </c>
      <c r="Z26" s="50" t="str">
        <f t="shared" si="56"/>
        <v>-</v>
      </c>
    </row>
    <row r="27" spans="1:26" ht="13.15" x14ac:dyDescent="0.4">
      <c r="C27" t="str">
        <f>+Rentabilitätsvorschau!C24</f>
        <v>Leasing (nur Kfz)</v>
      </c>
      <c r="D27" s="10">
        <f>+Rentabilitätsvorschau!P24</f>
        <v>0</v>
      </c>
      <c r="E27" s="50">
        <f t="shared" si="44"/>
        <v>0</v>
      </c>
      <c r="F27" s="74"/>
      <c r="G27" s="10">
        <f t="shared" si="45"/>
        <v>0</v>
      </c>
      <c r="H27" s="50" t="str">
        <f t="shared" si="46"/>
        <v>-</v>
      </c>
      <c r="I27" s="10">
        <f>+Rentabilitätsvorschau!AC24</f>
        <v>0</v>
      </c>
      <c r="J27" s="50" t="str">
        <f t="shared" si="47"/>
        <v/>
      </c>
      <c r="K27" s="50" t="str">
        <f t="shared" si="48"/>
        <v/>
      </c>
      <c r="L27" s="74"/>
      <c r="M27" s="10">
        <f t="shared" si="49"/>
        <v>0</v>
      </c>
      <c r="N27" s="50" t="str">
        <f t="shared" si="50"/>
        <v>-</v>
      </c>
      <c r="O27" s="10">
        <f>+Rentabilitätsvorschau!AP24</f>
        <v>0</v>
      </c>
      <c r="P27" s="50" t="str">
        <f t="shared" si="51"/>
        <v/>
      </c>
      <c r="Q27" s="50" t="str">
        <f>IF(I27=0,"",(O27-I27)/I27)</f>
        <v/>
      </c>
      <c r="R27" s="74"/>
      <c r="S27" s="10">
        <f t="shared" si="52"/>
        <v>0</v>
      </c>
      <c r="T27" s="50" t="str">
        <f t="shared" si="53"/>
        <v>-</v>
      </c>
      <c r="U27" s="10">
        <f>+Rentabilitätsvorschau!BC24</f>
        <v>0</v>
      </c>
      <c r="V27" s="50" t="str">
        <f t="shared" si="54"/>
        <v/>
      </c>
      <c r="W27" s="50" t="str">
        <f>IF(O27=0,"",(U27-O27)/O27)</f>
        <v/>
      </c>
      <c r="X27" s="74"/>
      <c r="Y27" s="10">
        <f t="shared" si="55"/>
        <v>0</v>
      </c>
      <c r="Z27" s="50" t="str">
        <f t="shared" si="56"/>
        <v>-</v>
      </c>
    </row>
    <row r="28" spans="1:26" ht="13.15" x14ac:dyDescent="0.4">
      <c r="C28" t="str">
        <f>+Rentabilitätsvorschau!C25</f>
        <v>Betriebskosten</v>
      </c>
      <c r="D28" s="10">
        <f>+Rentabilitätsvorschau!P25</f>
        <v>0</v>
      </c>
      <c r="E28" s="50">
        <f t="shared" si="44"/>
        <v>0</v>
      </c>
      <c r="F28" s="74"/>
      <c r="G28" s="10">
        <f t="shared" si="45"/>
        <v>0</v>
      </c>
      <c r="H28" s="50" t="str">
        <f t="shared" si="46"/>
        <v>-</v>
      </c>
      <c r="I28" s="10">
        <f>+Rentabilitätsvorschau!AC25</f>
        <v>0</v>
      </c>
      <c r="J28" s="50" t="str">
        <f t="shared" si="47"/>
        <v/>
      </c>
      <c r="K28" s="50" t="str">
        <f t="shared" si="48"/>
        <v/>
      </c>
      <c r="L28" s="74"/>
      <c r="M28" s="10">
        <f t="shared" si="49"/>
        <v>0</v>
      </c>
      <c r="N28" s="50" t="str">
        <f t="shared" si="50"/>
        <v>-</v>
      </c>
      <c r="O28" s="10">
        <f>+Rentabilitätsvorschau!AP25</f>
        <v>0</v>
      </c>
      <c r="P28" s="50" t="str">
        <f t="shared" si="51"/>
        <v/>
      </c>
      <c r="Q28" s="50" t="str">
        <f t="shared" si="18"/>
        <v/>
      </c>
      <c r="R28" s="74"/>
      <c r="S28" s="10">
        <f t="shared" si="52"/>
        <v>0</v>
      </c>
      <c r="T28" s="50" t="str">
        <f t="shared" si="53"/>
        <v>-</v>
      </c>
      <c r="U28" s="10">
        <f>+Rentabilitätsvorschau!BC25</f>
        <v>0</v>
      </c>
      <c r="V28" s="50" t="str">
        <f t="shared" si="54"/>
        <v/>
      </c>
      <c r="W28" s="50" t="str">
        <f t="shared" si="22"/>
        <v/>
      </c>
      <c r="X28" s="74"/>
      <c r="Y28" s="10">
        <f t="shared" si="55"/>
        <v>0</v>
      </c>
      <c r="Z28" s="50" t="str">
        <f t="shared" si="56"/>
        <v>-</v>
      </c>
    </row>
    <row r="29" spans="1:26" ht="13.15" x14ac:dyDescent="0.4">
      <c r="B29" t="str">
        <f>+Rentabilitätsvorschau!B26</f>
        <v>Reise- und Bewirtungskosten</v>
      </c>
      <c r="D29" s="10">
        <f>+Rentabilitätsvorschau!P26</f>
        <v>900</v>
      </c>
      <c r="E29" s="50">
        <f t="shared" si="44"/>
        <v>2.8125000000000001E-2</v>
      </c>
      <c r="F29" s="74"/>
      <c r="G29" s="10">
        <f t="shared" si="45"/>
        <v>-900</v>
      </c>
      <c r="H29" s="50">
        <f t="shared" si="46"/>
        <v>-1</v>
      </c>
      <c r="I29" s="10">
        <f>+Rentabilitätsvorschau!AC26</f>
        <v>3600</v>
      </c>
      <c r="J29" s="50" t="str">
        <f t="shared" si="47"/>
        <v/>
      </c>
      <c r="K29" s="50">
        <f t="shared" si="48"/>
        <v>3</v>
      </c>
      <c r="L29" s="74"/>
      <c r="M29" s="10">
        <f t="shared" si="49"/>
        <v>-3600</v>
      </c>
      <c r="N29" s="50">
        <f t="shared" si="50"/>
        <v>-1</v>
      </c>
      <c r="O29" s="10">
        <f>+Rentabilitätsvorschau!AP26</f>
        <v>0</v>
      </c>
      <c r="P29" s="50" t="str">
        <f t="shared" si="51"/>
        <v/>
      </c>
      <c r="Q29" s="50">
        <f t="shared" si="18"/>
        <v>-1</v>
      </c>
      <c r="R29" s="74"/>
      <c r="S29" s="10">
        <f t="shared" si="52"/>
        <v>0</v>
      </c>
      <c r="T29" s="50" t="str">
        <f t="shared" si="53"/>
        <v>-</v>
      </c>
      <c r="U29" s="10">
        <f>+Rentabilitätsvorschau!BC26</f>
        <v>0</v>
      </c>
      <c r="V29" s="50" t="str">
        <f t="shared" si="54"/>
        <v/>
      </c>
      <c r="W29" s="50" t="str">
        <f t="shared" si="22"/>
        <v/>
      </c>
      <c r="X29" s="74"/>
      <c r="Y29" s="10">
        <f t="shared" si="55"/>
        <v>0</v>
      </c>
      <c r="Z29" s="50" t="str">
        <f t="shared" si="56"/>
        <v>-</v>
      </c>
    </row>
    <row r="30" spans="1:26" ht="13.15" x14ac:dyDescent="0.4">
      <c r="B30" t="str">
        <f>+Rentabilitätsvorschau!B27</f>
        <v>Anzeigen- und sonst. Werbung</v>
      </c>
      <c r="D30" s="10">
        <f>+Rentabilitätsvorschau!P27</f>
        <v>300</v>
      </c>
      <c r="E30" s="50">
        <f t="shared" si="44"/>
        <v>9.3749999999999997E-3</v>
      </c>
      <c r="F30" s="74"/>
      <c r="G30" s="10">
        <f t="shared" si="45"/>
        <v>-300</v>
      </c>
      <c r="H30" s="50">
        <f t="shared" si="46"/>
        <v>-1</v>
      </c>
      <c r="I30" s="10">
        <f>+Rentabilitätsvorschau!AC27</f>
        <v>1200</v>
      </c>
      <c r="J30" s="50" t="str">
        <f t="shared" si="47"/>
        <v/>
      </c>
      <c r="K30" s="50">
        <f t="shared" si="48"/>
        <v>3</v>
      </c>
      <c r="L30" s="74"/>
      <c r="M30" s="10">
        <f t="shared" si="49"/>
        <v>-1200</v>
      </c>
      <c r="N30" s="50">
        <f t="shared" si="50"/>
        <v>-1</v>
      </c>
      <c r="O30" s="10">
        <f>+Rentabilitätsvorschau!AP27</f>
        <v>0</v>
      </c>
      <c r="P30" s="50" t="str">
        <f t="shared" si="51"/>
        <v/>
      </c>
      <c r="Q30" s="50">
        <f t="shared" si="18"/>
        <v>-1</v>
      </c>
      <c r="R30" s="74"/>
      <c r="S30" s="10">
        <f t="shared" si="52"/>
        <v>0</v>
      </c>
      <c r="T30" s="50" t="str">
        <f t="shared" si="53"/>
        <v>-</v>
      </c>
      <c r="U30" s="10">
        <f>+Rentabilitätsvorschau!BC27</f>
        <v>0</v>
      </c>
      <c r="V30" s="50" t="str">
        <f t="shared" si="54"/>
        <v/>
      </c>
      <c r="W30" s="50" t="str">
        <f t="shared" si="22"/>
        <v/>
      </c>
      <c r="X30" s="74"/>
      <c r="Y30" s="10">
        <f t="shared" si="55"/>
        <v>0</v>
      </c>
      <c r="Z30" s="50" t="str">
        <f t="shared" si="56"/>
        <v>-</v>
      </c>
    </row>
    <row r="31" spans="1:26" x14ac:dyDescent="0.35">
      <c r="B31" t="str">
        <f>+Rentabilitätsvorschau!B28</f>
        <v>Kosten der Warenabgabe</v>
      </c>
      <c r="D31" s="10"/>
      <c r="E31" s="50"/>
      <c r="F31" s="10"/>
      <c r="G31" s="10"/>
      <c r="H31" s="50"/>
      <c r="I31" s="10"/>
      <c r="J31" s="50"/>
      <c r="K31" s="50"/>
      <c r="L31" s="10"/>
      <c r="M31" s="10"/>
      <c r="N31" s="50"/>
      <c r="O31" s="10"/>
      <c r="P31" s="50"/>
      <c r="Q31" s="50"/>
      <c r="R31" s="10"/>
      <c r="S31" s="10"/>
      <c r="T31" s="50"/>
      <c r="U31" s="10"/>
      <c r="V31" s="50"/>
      <c r="W31" s="50"/>
      <c r="X31" s="10"/>
      <c r="Y31" s="10"/>
      <c r="Z31" s="50"/>
    </row>
    <row r="32" spans="1:26" ht="13.15" x14ac:dyDescent="0.4">
      <c r="C32" t="str">
        <f>+Rentabilitätsvorschau!C29</f>
        <v>Verpackung/Ausgangsfrachten</v>
      </c>
      <c r="D32" s="10">
        <f>+Rentabilitätsvorschau!P29</f>
        <v>0</v>
      </c>
      <c r="E32" s="50">
        <f t="shared" ref="E32:E43" si="57">(IF(D$9=0,"",+D32/D$9))</f>
        <v>0</v>
      </c>
      <c r="F32" s="74"/>
      <c r="G32" s="10">
        <f t="shared" ref="G32:G43" si="58">IF(+F32-D32=0,0,+F32-D32)</f>
        <v>0</v>
      </c>
      <c r="H32" s="50" t="str">
        <f t="shared" ref="H32:H43" si="59">IF(+D32=0,"-",+G32/D32)</f>
        <v>-</v>
      </c>
      <c r="I32" s="10">
        <f>+Rentabilitätsvorschau!AC29</f>
        <v>0</v>
      </c>
      <c r="J32" s="50" t="str">
        <f t="shared" ref="J32:J43" si="60">(IF(I$9=0,"",+I32/I$9))</f>
        <v/>
      </c>
      <c r="K32" s="50" t="str">
        <f t="shared" ref="K32:K43" si="61">IF(D32=0,"",(I32-D32)/D32)</f>
        <v/>
      </c>
      <c r="L32" s="74"/>
      <c r="M32" s="10">
        <f t="shared" ref="M32:M43" si="62">IF(+L32-I32=0,0,+L32-I32)</f>
        <v>0</v>
      </c>
      <c r="N32" s="50" t="str">
        <f t="shared" ref="N32:N43" si="63">IF(+I32=0,"-",+M32/I32)</f>
        <v>-</v>
      </c>
      <c r="O32" s="10">
        <f>+Rentabilitätsvorschau!AP29</f>
        <v>0</v>
      </c>
      <c r="P32" s="50" t="str">
        <f t="shared" ref="P32:P43" si="64">(IF(O$9=0,"",+O32/O$9))</f>
        <v/>
      </c>
      <c r="Q32" s="50" t="str">
        <f>IF(I32=0,"",(O32-I32)/I32)</f>
        <v/>
      </c>
      <c r="R32" s="74"/>
      <c r="S32" s="10">
        <f t="shared" ref="S32:S43" si="65">IF(+R32-O32=0,0,+R32-O32)</f>
        <v>0</v>
      </c>
      <c r="T32" s="50" t="str">
        <f t="shared" ref="T32:T43" si="66">IF(+O32=0,"-",+S32/O32)</f>
        <v>-</v>
      </c>
      <c r="U32" s="10">
        <f>+Rentabilitätsvorschau!BC29</f>
        <v>0</v>
      </c>
      <c r="V32" s="50" t="str">
        <f t="shared" ref="V32:V43" si="67">(IF(U$9=0,"",+U32/U$9))</f>
        <v/>
      </c>
      <c r="W32" s="50" t="str">
        <f>IF(O32=0,"",(U32-O32)/O32)</f>
        <v/>
      </c>
      <c r="X32" s="74"/>
      <c r="Y32" s="10">
        <f t="shared" ref="Y32:Y43" si="68">IF(+X32-U32=0,0,+X32-U32)</f>
        <v>0</v>
      </c>
      <c r="Z32" s="50" t="str">
        <f t="shared" ref="Z32:Z43" si="69">IF(+U32=0,"-",+Y32/U32)</f>
        <v>-</v>
      </c>
    </row>
    <row r="33" spans="2:26" ht="13.15" x14ac:dyDescent="0.4">
      <c r="C33" t="str">
        <f>+Rentabilitätsvorschau!C30</f>
        <v>Provisionen</v>
      </c>
      <c r="D33" s="10">
        <f>+Rentabilitätsvorschau!P30</f>
        <v>0</v>
      </c>
      <c r="E33" s="50">
        <f t="shared" si="57"/>
        <v>0</v>
      </c>
      <c r="F33" s="74"/>
      <c r="G33" s="10">
        <f t="shared" si="58"/>
        <v>0</v>
      </c>
      <c r="H33" s="50" t="str">
        <f t="shared" si="59"/>
        <v>-</v>
      </c>
      <c r="I33" s="10">
        <f>+Rentabilitätsvorschau!AC30</f>
        <v>0</v>
      </c>
      <c r="J33" s="50" t="str">
        <f t="shared" si="60"/>
        <v/>
      </c>
      <c r="K33" s="50" t="str">
        <f t="shared" si="61"/>
        <v/>
      </c>
      <c r="L33" s="74"/>
      <c r="M33" s="10">
        <f t="shared" si="62"/>
        <v>0</v>
      </c>
      <c r="N33" s="50" t="str">
        <f t="shared" si="63"/>
        <v>-</v>
      </c>
      <c r="O33" s="10">
        <f>+Rentabilitätsvorschau!AP30</f>
        <v>0</v>
      </c>
      <c r="P33" s="50" t="str">
        <f t="shared" si="64"/>
        <v/>
      </c>
      <c r="Q33" s="50" t="str">
        <f>IF(I33=0,"",(O33-I33)/I33)</f>
        <v/>
      </c>
      <c r="R33" s="74"/>
      <c r="S33" s="10">
        <f t="shared" si="65"/>
        <v>0</v>
      </c>
      <c r="T33" s="50" t="str">
        <f t="shared" si="66"/>
        <v>-</v>
      </c>
      <c r="U33" s="10">
        <f>+Rentabilitätsvorschau!BC30</f>
        <v>0</v>
      </c>
      <c r="V33" s="50" t="str">
        <f t="shared" si="67"/>
        <v/>
      </c>
      <c r="W33" s="50" t="str">
        <f>IF(O33=0,"",(U33-O33)/O33)</f>
        <v/>
      </c>
      <c r="X33" s="74"/>
      <c r="Y33" s="10">
        <f t="shared" si="68"/>
        <v>0</v>
      </c>
      <c r="Z33" s="50" t="str">
        <f t="shared" si="69"/>
        <v>-</v>
      </c>
    </row>
    <row r="34" spans="2:26" ht="13.15" x14ac:dyDescent="0.4">
      <c r="B34" t="str">
        <f>+Rentabilitätsvorschau!B31</f>
        <v>Instandhaltung Betriebs- und Geschäftsausstattung</v>
      </c>
      <c r="D34" s="10">
        <f>+Rentabilitätsvorschau!P31</f>
        <v>0</v>
      </c>
      <c r="E34" s="50">
        <f t="shared" si="57"/>
        <v>0</v>
      </c>
      <c r="F34" s="74"/>
      <c r="G34" s="10">
        <f t="shared" si="58"/>
        <v>0</v>
      </c>
      <c r="H34" s="50" t="str">
        <f t="shared" si="59"/>
        <v>-</v>
      </c>
      <c r="I34" s="10">
        <f>+Rentabilitätsvorschau!AC31</f>
        <v>0</v>
      </c>
      <c r="J34" s="50" t="str">
        <f t="shared" si="60"/>
        <v/>
      </c>
      <c r="K34" s="50" t="str">
        <f t="shared" si="61"/>
        <v/>
      </c>
      <c r="L34" s="74"/>
      <c r="M34" s="10">
        <f t="shared" si="62"/>
        <v>0</v>
      </c>
      <c r="N34" s="50" t="str">
        <f t="shared" si="63"/>
        <v>-</v>
      </c>
      <c r="O34" s="10">
        <f>+Rentabilitätsvorschau!AP31</f>
        <v>0</v>
      </c>
      <c r="P34" s="50" t="str">
        <f t="shared" si="64"/>
        <v/>
      </c>
      <c r="Q34" s="50" t="str">
        <f t="shared" si="18"/>
        <v/>
      </c>
      <c r="R34" s="74"/>
      <c r="S34" s="10">
        <f t="shared" si="65"/>
        <v>0</v>
      </c>
      <c r="T34" s="50" t="str">
        <f t="shared" si="66"/>
        <v>-</v>
      </c>
      <c r="U34" s="10">
        <f>+Rentabilitätsvorschau!BC31</f>
        <v>0</v>
      </c>
      <c r="V34" s="50" t="str">
        <f t="shared" si="67"/>
        <v/>
      </c>
      <c r="W34" s="50" t="str">
        <f t="shared" si="22"/>
        <v/>
      </c>
      <c r="X34" s="74"/>
      <c r="Y34" s="10">
        <f t="shared" si="68"/>
        <v>0</v>
      </c>
      <c r="Z34" s="50" t="str">
        <f t="shared" si="69"/>
        <v>-</v>
      </c>
    </row>
    <row r="35" spans="2:26" ht="13.15" x14ac:dyDescent="0.4">
      <c r="B35" t="str">
        <f>+Rentabilitätsvorschau!B32</f>
        <v>Leasing (außer Kfz)</v>
      </c>
      <c r="D35" s="10">
        <f>+Rentabilitätsvorschau!P32</f>
        <v>0</v>
      </c>
      <c r="E35" s="50">
        <f t="shared" si="57"/>
        <v>0</v>
      </c>
      <c r="F35" s="74"/>
      <c r="G35" s="10">
        <f t="shared" si="58"/>
        <v>0</v>
      </c>
      <c r="H35" s="50" t="str">
        <f t="shared" si="59"/>
        <v>-</v>
      </c>
      <c r="I35" s="10">
        <f>+Rentabilitätsvorschau!AC32</f>
        <v>0</v>
      </c>
      <c r="J35" s="50" t="str">
        <f t="shared" si="60"/>
        <v/>
      </c>
      <c r="K35" s="50" t="str">
        <f t="shared" si="61"/>
        <v/>
      </c>
      <c r="L35" s="74"/>
      <c r="M35" s="10">
        <f t="shared" si="62"/>
        <v>0</v>
      </c>
      <c r="N35" s="50" t="str">
        <f t="shared" si="63"/>
        <v>-</v>
      </c>
      <c r="O35" s="10">
        <f>+Rentabilitätsvorschau!AP32</f>
        <v>0</v>
      </c>
      <c r="P35" s="50" t="str">
        <f t="shared" si="64"/>
        <v/>
      </c>
      <c r="Q35" s="50" t="str">
        <f>IF(I35=0,"",(O35-I35)/I35)</f>
        <v/>
      </c>
      <c r="R35" s="74"/>
      <c r="S35" s="10">
        <f t="shared" si="65"/>
        <v>0</v>
      </c>
      <c r="T35" s="50" t="str">
        <f t="shared" si="66"/>
        <v>-</v>
      </c>
      <c r="U35" s="10">
        <f>+Rentabilitätsvorschau!BC32</f>
        <v>0</v>
      </c>
      <c r="V35" s="50" t="str">
        <f t="shared" si="67"/>
        <v/>
      </c>
      <c r="W35" s="50" t="str">
        <f>IF(O35=0,"",(U35-O35)/O35)</f>
        <v/>
      </c>
      <c r="X35" s="74"/>
      <c r="Y35" s="10">
        <f t="shared" si="68"/>
        <v>0</v>
      </c>
      <c r="Z35" s="50" t="str">
        <f t="shared" si="69"/>
        <v>-</v>
      </c>
    </row>
    <row r="36" spans="2:26" ht="13.15" x14ac:dyDescent="0.4">
      <c r="B36" t="str">
        <f>+Rentabilitätsvorschau!B33</f>
        <v>Software-Updates</v>
      </c>
      <c r="D36" s="10">
        <f>+Rentabilitätsvorschau!P33</f>
        <v>120</v>
      </c>
      <c r="E36" s="50">
        <f t="shared" si="57"/>
        <v>3.7499999999999999E-3</v>
      </c>
      <c r="F36" s="74"/>
      <c r="G36" s="10">
        <f t="shared" si="58"/>
        <v>-120</v>
      </c>
      <c r="H36" s="50">
        <f t="shared" si="59"/>
        <v>-1</v>
      </c>
      <c r="I36" s="10">
        <f>+Rentabilitätsvorschau!AC33</f>
        <v>480</v>
      </c>
      <c r="J36" s="50" t="str">
        <f t="shared" si="60"/>
        <v/>
      </c>
      <c r="K36" s="50">
        <f t="shared" si="61"/>
        <v>3</v>
      </c>
      <c r="L36" s="74"/>
      <c r="M36" s="10">
        <f t="shared" si="62"/>
        <v>-480</v>
      </c>
      <c r="N36" s="50">
        <f t="shared" si="63"/>
        <v>-1</v>
      </c>
      <c r="O36" s="10">
        <f>+Rentabilitätsvorschau!AP33</f>
        <v>0</v>
      </c>
      <c r="P36" s="50" t="str">
        <f t="shared" si="64"/>
        <v/>
      </c>
      <c r="Q36" s="50">
        <f t="shared" si="18"/>
        <v>-1</v>
      </c>
      <c r="R36" s="74"/>
      <c r="S36" s="10">
        <f t="shared" si="65"/>
        <v>0</v>
      </c>
      <c r="T36" s="50" t="str">
        <f t="shared" si="66"/>
        <v>-</v>
      </c>
      <c r="U36" s="10">
        <f>+Rentabilitätsvorschau!BC33</f>
        <v>0</v>
      </c>
      <c r="V36" s="50" t="str">
        <f t="shared" si="67"/>
        <v/>
      </c>
      <c r="W36" s="50" t="str">
        <f t="shared" si="22"/>
        <v/>
      </c>
      <c r="X36" s="74"/>
      <c r="Y36" s="10">
        <f t="shared" si="68"/>
        <v>0</v>
      </c>
      <c r="Z36" s="50" t="str">
        <f t="shared" si="69"/>
        <v>-</v>
      </c>
    </row>
    <row r="37" spans="2:26" ht="13.15" x14ac:dyDescent="0.4">
      <c r="B37" t="str">
        <f>+Rentabilitätsvorschau!B34</f>
        <v>Versicherungen (ohne Kfz)</v>
      </c>
      <c r="D37" s="10">
        <f>+Rentabilitätsvorschau!P34</f>
        <v>120</v>
      </c>
      <c r="E37" s="50">
        <f t="shared" si="57"/>
        <v>3.7499999999999999E-3</v>
      </c>
      <c r="F37" s="74"/>
      <c r="G37" s="10">
        <f t="shared" si="58"/>
        <v>-120</v>
      </c>
      <c r="H37" s="50">
        <f t="shared" si="59"/>
        <v>-1</v>
      </c>
      <c r="I37" s="10">
        <f>+Rentabilitätsvorschau!AC34</f>
        <v>480</v>
      </c>
      <c r="J37" s="50" t="str">
        <f t="shared" si="60"/>
        <v/>
      </c>
      <c r="K37" s="50">
        <f t="shared" si="61"/>
        <v>3</v>
      </c>
      <c r="L37" s="74"/>
      <c r="M37" s="10">
        <f t="shared" si="62"/>
        <v>-480</v>
      </c>
      <c r="N37" s="50">
        <f t="shared" si="63"/>
        <v>-1</v>
      </c>
      <c r="O37" s="10">
        <f>+Rentabilitätsvorschau!AP34</f>
        <v>0</v>
      </c>
      <c r="P37" s="50" t="str">
        <f t="shared" si="64"/>
        <v/>
      </c>
      <c r="Q37" s="50">
        <f t="shared" si="18"/>
        <v>-1</v>
      </c>
      <c r="R37" s="74"/>
      <c r="S37" s="10">
        <f t="shared" si="65"/>
        <v>0</v>
      </c>
      <c r="T37" s="50" t="str">
        <f t="shared" si="66"/>
        <v>-</v>
      </c>
      <c r="U37" s="10">
        <f>+Rentabilitätsvorschau!BC34</f>
        <v>0</v>
      </c>
      <c r="V37" s="50" t="str">
        <f t="shared" si="67"/>
        <v/>
      </c>
      <c r="W37" s="50" t="str">
        <f t="shared" si="22"/>
        <v/>
      </c>
      <c r="X37" s="74"/>
      <c r="Y37" s="10">
        <f t="shared" si="68"/>
        <v>0</v>
      </c>
      <c r="Z37" s="50" t="str">
        <f t="shared" si="69"/>
        <v>-</v>
      </c>
    </row>
    <row r="38" spans="2:26" ht="13.15" x14ac:dyDescent="0.4">
      <c r="B38" t="str">
        <f>+Rentabilitätsvorschau!B35</f>
        <v>Beiträge, Gebühren</v>
      </c>
      <c r="D38" s="10">
        <f>+Rentabilitätsvorschau!P35</f>
        <v>45</v>
      </c>
      <c r="E38" s="50">
        <f t="shared" si="57"/>
        <v>1.4062499999999999E-3</v>
      </c>
      <c r="F38" s="74"/>
      <c r="G38" s="10">
        <f t="shared" si="58"/>
        <v>-45</v>
      </c>
      <c r="H38" s="50">
        <f t="shared" si="59"/>
        <v>-1</v>
      </c>
      <c r="I38" s="10">
        <f>+Rentabilitätsvorschau!AC35</f>
        <v>180</v>
      </c>
      <c r="J38" s="50" t="str">
        <f t="shared" si="60"/>
        <v/>
      </c>
      <c r="K38" s="50">
        <f t="shared" si="61"/>
        <v>3</v>
      </c>
      <c r="L38" s="74"/>
      <c r="M38" s="10">
        <f t="shared" si="62"/>
        <v>-180</v>
      </c>
      <c r="N38" s="50">
        <f t="shared" si="63"/>
        <v>-1</v>
      </c>
      <c r="O38" s="10">
        <f>+Rentabilitätsvorschau!AP35</f>
        <v>0</v>
      </c>
      <c r="P38" s="50" t="str">
        <f t="shared" si="64"/>
        <v/>
      </c>
      <c r="Q38" s="50">
        <f t="shared" si="18"/>
        <v>-1</v>
      </c>
      <c r="R38" s="74"/>
      <c r="S38" s="10">
        <f t="shared" si="65"/>
        <v>0</v>
      </c>
      <c r="T38" s="50" t="str">
        <f t="shared" si="66"/>
        <v>-</v>
      </c>
      <c r="U38" s="10">
        <f>+Rentabilitätsvorschau!BC35</f>
        <v>0</v>
      </c>
      <c r="V38" s="50" t="str">
        <f t="shared" si="67"/>
        <v/>
      </c>
      <c r="W38" s="50" t="str">
        <f t="shared" si="22"/>
        <v/>
      </c>
      <c r="X38" s="74"/>
      <c r="Y38" s="10">
        <f t="shared" si="68"/>
        <v>0</v>
      </c>
      <c r="Z38" s="50" t="str">
        <f t="shared" si="69"/>
        <v>-</v>
      </c>
    </row>
    <row r="39" spans="2:26" ht="13.15" x14ac:dyDescent="0.4">
      <c r="B39" t="str">
        <f>+Rentabilitätsvorschau!B36</f>
        <v>Bürobedarf</v>
      </c>
      <c r="D39" s="10">
        <f>+Rentabilitätsvorschau!P36</f>
        <v>90</v>
      </c>
      <c r="E39" s="50">
        <f t="shared" si="57"/>
        <v>2.8124999999999999E-3</v>
      </c>
      <c r="F39" s="74"/>
      <c r="G39" s="10">
        <f t="shared" si="58"/>
        <v>-90</v>
      </c>
      <c r="H39" s="50">
        <f t="shared" si="59"/>
        <v>-1</v>
      </c>
      <c r="I39" s="10">
        <f>+Rentabilitätsvorschau!AC36</f>
        <v>360</v>
      </c>
      <c r="J39" s="50" t="str">
        <f t="shared" si="60"/>
        <v/>
      </c>
      <c r="K39" s="50">
        <f t="shared" si="61"/>
        <v>3</v>
      </c>
      <c r="L39" s="74"/>
      <c r="M39" s="10">
        <f t="shared" si="62"/>
        <v>-360</v>
      </c>
      <c r="N39" s="50">
        <f t="shared" si="63"/>
        <v>-1</v>
      </c>
      <c r="O39" s="10">
        <f>+Rentabilitätsvorschau!AP36</f>
        <v>0</v>
      </c>
      <c r="P39" s="50" t="str">
        <f t="shared" si="64"/>
        <v/>
      </c>
      <c r="Q39" s="50">
        <f t="shared" si="18"/>
        <v>-1</v>
      </c>
      <c r="R39" s="74"/>
      <c r="S39" s="10">
        <f t="shared" si="65"/>
        <v>0</v>
      </c>
      <c r="T39" s="50" t="str">
        <f t="shared" si="66"/>
        <v>-</v>
      </c>
      <c r="U39" s="10">
        <f>+Rentabilitätsvorschau!BC36</f>
        <v>0</v>
      </c>
      <c r="V39" s="50" t="str">
        <f t="shared" si="67"/>
        <v/>
      </c>
      <c r="W39" s="50" t="str">
        <f t="shared" si="22"/>
        <v/>
      </c>
      <c r="X39" s="74"/>
      <c r="Y39" s="10">
        <f t="shared" si="68"/>
        <v>0</v>
      </c>
      <c r="Z39" s="50" t="str">
        <f t="shared" si="69"/>
        <v>-</v>
      </c>
    </row>
    <row r="40" spans="2:26" ht="13.15" x14ac:dyDescent="0.4">
      <c r="B40" t="str">
        <f>+Rentabilitätsvorschau!B37</f>
        <v>Postwertzeichen</v>
      </c>
      <c r="D40" s="10">
        <f>+Rentabilitätsvorschau!P37</f>
        <v>30</v>
      </c>
      <c r="E40" s="50">
        <f t="shared" si="57"/>
        <v>9.3749999999999997E-4</v>
      </c>
      <c r="F40" s="74"/>
      <c r="G40" s="10">
        <f t="shared" si="58"/>
        <v>-30</v>
      </c>
      <c r="H40" s="50">
        <f t="shared" si="59"/>
        <v>-1</v>
      </c>
      <c r="I40" s="10">
        <f>+Rentabilitätsvorschau!AC37</f>
        <v>120</v>
      </c>
      <c r="J40" s="50" t="str">
        <f t="shared" si="60"/>
        <v/>
      </c>
      <c r="K40" s="50">
        <f t="shared" si="61"/>
        <v>3</v>
      </c>
      <c r="L40" s="74"/>
      <c r="M40" s="10">
        <f t="shared" si="62"/>
        <v>-120</v>
      </c>
      <c r="N40" s="50">
        <f t="shared" si="63"/>
        <v>-1</v>
      </c>
      <c r="O40" s="10">
        <f>+Rentabilitätsvorschau!AP37</f>
        <v>0</v>
      </c>
      <c r="P40" s="50" t="str">
        <f t="shared" si="64"/>
        <v/>
      </c>
      <c r="Q40" s="50">
        <f t="shared" si="18"/>
        <v>-1</v>
      </c>
      <c r="R40" s="74"/>
      <c r="S40" s="10">
        <f t="shared" si="65"/>
        <v>0</v>
      </c>
      <c r="T40" s="50" t="str">
        <f t="shared" si="66"/>
        <v>-</v>
      </c>
      <c r="U40" s="10">
        <f>+Rentabilitätsvorschau!BC37</f>
        <v>0</v>
      </c>
      <c r="V40" s="50" t="str">
        <f t="shared" si="67"/>
        <v/>
      </c>
      <c r="W40" s="50" t="str">
        <f t="shared" si="22"/>
        <v/>
      </c>
      <c r="X40" s="74"/>
      <c r="Y40" s="10">
        <f t="shared" si="68"/>
        <v>0</v>
      </c>
      <c r="Z40" s="50" t="str">
        <f t="shared" si="69"/>
        <v>-</v>
      </c>
    </row>
    <row r="41" spans="2:26" ht="13.15" x14ac:dyDescent="0.4">
      <c r="B41" t="str">
        <f>+Rentabilitätsvorschau!B38</f>
        <v>Fachliteratur</v>
      </c>
      <c r="D41" s="10">
        <f>+Rentabilitätsvorschau!P38</f>
        <v>60</v>
      </c>
      <c r="E41" s="50">
        <f t="shared" si="57"/>
        <v>1.8749999999999999E-3</v>
      </c>
      <c r="F41" s="74"/>
      <c r="G41" s="10">
        <f t="shared" si="58"/>
        <v>-60</v>
      </c>
      <c r="H41" s="50">
        <f t="shared" si="59"/>
        <v>-1</v>
      </c>
      <c r="I41" s="10">
        <f>+Rentabilitätsvorschau!AC38</f>
        <v>240</v>
      </c>
      <c r="J41" s="50" t="str">
        <f t="shared" si="60"/>
        <v/>
      </c>
      <c r="K41" s="50">
        <f t="shared" si="61"/>
        <v>3</v>
      </c>
      <c r="L41" s="74"/>
      <c r="M41" s="10">
        <f t="shared" si="62"/>
        <v>-240</v>
      </c>
      <c r="N41" s="50">
        <f t="shared" si="63"/>
        <v>-1</v>
      </c>
      <c r="O41" s="10">
        <f>+Rentabilitätsvorschau!AP38</f>
        <v>0</v>
      </c>
      <c r="P41" s="50" t="str">
        <f t="shared" si="64"/>
        <v/>
      </c>
      <c r="Q41" s="50">
        <f t="shared" si="18"/>
        <v>-1</v>
      </c>
      <c r="R41" s="74"/>
      <c r="S41" s="10">
        <f t="shared" si="65"/>
        <v>0</v>
      </c>
      <c r="T41" s="50" t="str">
        <f t="shared" si="66"/>
        <v>-</v>
      </c>
      <c r="U41" s="10">
        <f>+Rentabilitätsvorschau!BC38</f>
        <v>0</v>
      </c>
      <c r="V41" s="50" t="str">
        <f t="shared" si="67"/>
        <v/>
      </c>
      <c r="W41" s="50" t="str">
        <f t="shared" si="22"/>
        <v/>
      </c>
      <c r="X41" s="74"/>
      <c r="Y41" s="10">
        <f t="shared" si="68"/>
        <v>0</v>
      </c>
      <c r="Z41" s="50" t="str">
        <f t="shared" si="69"/>
        <v>-</v>
      </c>
    </row>
    <row r="42" spans="2:26" ht="13.15" x14ac:dyDescent="0.4">
      <c r="B42" t="str">
        <f>+Rentabilitätsvorschau!B39</f>
        <v>Fortbildung</v>
      </c>
      <c r="D42" s="10">
        <f>+Rentabilitätsvorschau!P39</f>
        <v>0</v>
      </c>
      <c r="E42" s="50">
        <f t="shared" si="57"/>
        <v>0</v>
      </c>
      <c r="F42" s="74"/>
      <c r="G42" s="10">
        <f t="shared" si="58"/>
        <v>0</v>
      </c>
      <c r="H42" s="50" t="str">
        <f t="shared" si="59"/>
        <v>-</v>
      </c>
      <c r="I42" s="10">
        <f>+Rentabilitätsvorschau!AC39</f>
        <v>0</v>
      </c>
      <c r="J42" s="50" t="str">
        <f t="shared" si="60"/>
        <v/>
      </c>
      <c r="K42" s="50" t="str">
        <f t="shared" si="61"/>
        <v/>
      </c>
      <c r="L42" s="74"/>
      <c r="M42" s="10">
        <f t="shared" si="62"/>
        <v>0</v>
      </c>
      <c r="N42" s="50" t="str">
        <f t="shared" si="63"/>
        <v>-</v>
      </c>
      <c r="O42" s="10">
        <f>+Rentabilitätsvorschau!AP39</f>
        <v>0</v>
      </c>
      <c r="P42" s="50" t="str">
        <f t="shared" si="64"/>
        <v/>
      </c>
      <c r="Q42" s="50" t="str">
        <f t="shared" si="18"/>
        <v/>
      </c>
      <c r="R42" s="74"/>
      <c r="S42" s="10">
        <f t="shared" si="65"/>
        <v>0</v>
      </c>
      <c r="T42" s="50" t="str">
        <f t="shared" si="66"/>
        <v>-</v>
      </c>
      <c r="U42" s="10">
        <f>+Rentabilitätsvorschau!BC39</f>
        <v>0</v>
      </c>
      <c r="V42" s="50" t="str">
        <f t="shared" si="67"/>
        <v/>
      </c>
      <c r="W42" s="50" t="str">
        <f t="shared" si="22"/>
        <v/>
      </c>
      <c r="X42" s="74"/>
      <c r="Y42" s="10">
        <f t="shared" si="68"/>
        <v>0</v>
      </c>
      <c r="Z42" s="50" t="str">
        <f t="shared" si="69"/>
        <v>-</v>
      </c>
    </row>
    <row r="43" spans="2:26" ht="13.15" x14ac:dyDescent="0.4">
      <c r="B43" t="str">
        <f>+Rentabilitätsvorschau!B40</f>
        <v>Messen und Ausstellungen</v>
      </c>
      <c r="D43" s="10">
        <f>+Rentabilitätsvorschau!P40</f>
        <v>0</v>
      </c>
      <c r="E43" s="50">
        <f t="shared" si="57"/>
        <v>0</v>
      </c>
      <c r="F43" s="74"/>
      <c r="G43" s="10">
        <f t="shared" si="58"/>
        <v>0</v>
      </c>
      <c r="H43" s="50" t="str">
        <f t="shared" si="59"/>
        <v>-</v>
      </c>
      <c r="I43" s="10">
        <f>+Rentabilitätsvorschau!AC40</f>
        <v>0</v>
      </c>
      <c r="J43" s="50" t="str">
        <f t="shared" si="60"/>
        <v/>
      </c>
      <c r="K43" s="50" t="str">
        <f t="shared" si="61"/>
        <v/>
      </c>
      <c r="L43" s="74"/>
      <c r="M43" s="10">
        <f t="shared" si="62"/>
        <v>0</v>
      </c>
      <c r="N43" s="50" t="str">
        <f t="shared" si="63"/>
        <v>-</v>
      </c>
      <c r="O43" s="10">
        <f>+Rentabilitätsvorschau!AP40</f>
        <v>0</v>
      </c>
      <c r="P43" s="50" t="str">
        <f t="shared" si="64"/>
        <v/>
      </c>
      <c r="Q43" s="50" t="str">
        <f t="shared" si="18"/>
        <v/>
      </c>
      <c r="R43" s="74"/>
      <c r="S43" s="10">
        <f t="shared" si="65"/>
        <v>0</v>
      </c>
      <c r="T43" s="50" t="str">
        <f t="shared" si="66"/>
        <v>-</v>
      </c>
      <c r="U43" s="10">
        <f>+Rentabilitätsvorschau!BC40</f>
        <v>0</v>
      </c>
      <c r="V43" s="50" t="str">
        <f t="shared" si="67"/>
        <v/>
      </c>
      <c r="W43" s="50" t="str">
        <f t="shared" si="22"/>
        <v/>
      </c>
      <c r="X43" s="74"/>
      <c r="Y43" s="10">
        <f t="shared" si="68"/>
        <v>0</v>
      </c>
      <c r="Z43" s="50" t="str">
        <f t="shared" si="69"/>
        <v>-</v>
      </c>
    </row>
    <row r="44" spans="2:26" x14ac:dyDescent="0.35">
      <c r="B44" t="str">
        <f>+Rentabilitätsvorschau!B41</f>
        <v>Beratungskosten</v>
      </c>
      <c r="D44" s="10"/>
      <c r="E44" s="50"/>
      <c r="F44" s="10"/>
      <c r="G44" s="10"/>
      <c r="H44" s="50"/>
      <c r="I44" s="10"/>
      <c r="J44" s="50"/>
      <c r="K44" s="50"/>
      <c r="L44" s="10"/>
      <c r="M44" s="10"/>
      <c r="N44" s="50"/>
      <c r="O44" s="10"/>
      <c r="P44" s="50"/>
      <c r="Q44" s="50"/>
      <c r="R44" s="10"/>
      <c r="S44" s="10"/>
      <c r="T44" s="50"/>
      <c r="U44" s="10"/>
      <c r="V44" s="50"/>
      <c r="W44" s="50"/>
      <c r="X44" s="10"/>
      <c r="Y44" s="10"/>
      <c r="Z44" s="50"/>
    </row>
    <row r="45" spans="2:26" ht="13.15" x14ac:dyDescent="0.4">
      <c r="C45" t="str">
        <f>+Rentabilitätsvorschau!C42</f>
        <v>Steuerberater</v>
      </c>
      <c r="D45" s="10">
        <f>+Rentabilitätsvorschau!P42</f>
        <v>450</v>
      </c>
      <c r="E45" s="50">
        <f t="shared" ref="E45:E55" si="70">(IF(D$9=0,"",+D45/D$9))</f>
        <v>1.40625E-2</v>
      </c>
      <c r="F45" s="74"/>
      <c r="G45" s="10">
        <f t="shared" ref="G45:G55" si="71">IF(+F45-D45=0,0,+F45-D45)</f>
        <v>-450</v>
      </c>
      <c r="H45" s="50">
        <f t="shared" ref="H45:H55" si="72">IF(+D45=0,"-",+G45/D45)</f>
        <v>-1</v>
      </c>
      <c r="I45" s="10">
        <f>+Rentabilitätsvorschau!AC42</f>
        <v>1800</v>
      </c>
      <c r="J45" s="50" t="str">
        <f t="shared" ref="J45:J55" si="73">(IF(I$9=0,"",+I45/I$9))</f>
        <v/>
      </c>
      <c r="K45" s="50">
        <f t="shared" ref="K45:K55" si="74">IF(D45=0,"",(I45-D45)/D45)</f>
        <v>3</v>
      </c>
      <c r="L45" s="74"/>
      <c r="M45" s="10">
        <f t="shared" ref="M45:M51" si="75">IF(+L45-I45=0,0,+L45-I45)</f>
        <v>-1800</v>
      </c>
      <c r="N45" s="50">
        <f t="shared" ref="N45:N55" si="76">IF(+I45=0,"-",+M45/I45)</f>
        <v>-1</v>
      </c>
      <c r="O45" s="10">
        <f>+Rentabilitätsvorschau!AP42</f>
        <v>0</v>
      </c>
      <c r="P45" s="50" t="str">
        <f t="shared" ref="P45:P55" si="77">(IF(O$9=0,"",+O45/O$9))</f>
        <v/>
      </c>
      <c r="Q45" s="50">
        <f t="shared" si="18"/>
        <v>-1</v>
      </c>
      <c r="R45" s="74"/>
      <c r="S45" s="10">
        <f t="shared" ref="S45:S51" si="78">IF(+R45-O45=0,0,+R45-O45)</f>
        <v>0</v>
      </c>
      <c r="T45" s="50" t="str">
        <f t="shared" ref="T45:T55" si="79">IF(+O45=0,"-",+S45/O45)</f>
        <v>-</v>
      </c>
      <c r="U45" s="10">
        <f>+Rentabilitätsvorschau!BC42</f>
        <v>0</v>
      </c>
      <c r="V45" s="50" t="str">
        <f t="shared" ref="V45:V55" si="80">(IF(U$9=0,"",+U45/U$9))</f>
        <v/>
      </c>
      <c r="W45" s="50" t="str">
        <f t="shared" si="22"/>
        <v/>
      </c>
      <c r="X45" s="74"/>
      <c r="Y45" s="10">
        <f t="shared" ref="Y45:Y51" si="81">IF(+X45-U45=0,0,+X45-U45)</f>
        <v>0</v>
      </c>
      <c r="Z45" s="50" t="str">
        <f t="shared" ref="Z45:Z55" si="82">IF(+U45=0,"-",+Y45/U45)</f>
        <v>-</v>
      </c>
    </row>
    <row r="46" spans="2:26" ht="13.15" x14ac:dyDescent="0.4">
      <c r="C46" t="str">
        <f>+Rentabilitätsvorschau!C43</f>
        <v>Unternehmensberater</v>
      </c>
      <c r="D46" s="10">
        <f>+Rentabilitätsvorschau!P43</f>
        <v>0</v>
      </c>
      <c r="E46" s="50">
        <f t="shared" si="70"/>
        <v>0</v>
      </c>
      <c r="F46" s="74"/>
      <c r="G46" s="10">
        <f t="shared" si="71"/>
        <v>0</v>
      </c>
      <c r="H46" s="50" t="str">
        <f t="shared" si="72"/>
        <v>-</v>
      </c>
      <c r="I46" s="10">
        <f>+Rentabilitätsvorschau!AC43</f>
        <v>0</v>
      </c>
      <c r="J46" s="50" t="str">
        <f t="shared" si="73"/>
        <v/>
      </c>
      <c r="K46" s="50" t="str">
        <f t="shared" si="74"/>
        <v/>
      </c>
      <c r="L46" s="74"/>
      <c r="M46" s="10">
        <f t="shared" si="75"/>
        <v>0</v>
      </c>
      <c r="N46" s="50" t="str">
        <f t="shared" si="76"/>
        <v>-</v>
      </c>
      <c r="O46" s="10">
        <f>+Rentabilitätsvorschau!AP43</f>
        <v>0</v>
      </c>
      <c r="P46" s="50" t="str">
        <f t="shared" si="77"/>
        <v/>
      </c>
      <c r="Q46" s="50" t="str">
        <f t="shared" si="18"/>
        <v/>
      </c>
      <c r="R46" s="74"/>
      <c r="S46" s="10">
        <f t="shared" si="78"/>
        <v>0</v>
      </c>
      <c r="T46" s="50" t="str">
        <f t="shared" si="79"/>
        <v>-</v>
      </c>
      <c r="U46" s="10">
        <f>+Rentabilitätsvorschau!BC43</f>
        <v>0</v>
      </c>
      <c r="V46" s="50" t="str">
        <f t="shared" si="80"/>
        <v/>
      </c>
      <c r="W46" s="50" t="str">
        <f t="shared" si="22"/>
        <v/>
      </c>
      <c r="X46" s="74"/>
      <c r="Y46" s="10">
        <f t="shared" si="81"/>
        <v>0</v>
      </c>
      <c r="Z46" s="50" t="str">
        <f t="shared" si="82"/>
        <v>-</v>
      </c>
    </row>
    <row r="47" spans="2:26" ht="13.15" x14ac:dyDescent="0.4">
      <c r="C47" t="str">
        <f>+Rentabilitätsvorschau!C44</f>
        <v>Rechtsanwalt</v>
      </c>
      <c r="D47" s="10">
        <f>+Rentabilitätsvorschau!P44</f>
        <v>0</v>
      </c>
      <c r="E47" s="50">
        <f t="shared" si="70"/>
        <v>0</v>
      </c>
      <c r="F47" s="74"/>
      <c r="G47" s="10">
        <f t="shared" si="71"/>
        <v>0</v>
      </c>
      <c r="H47" s="50" t="str">
        <f t="shared" si="72"/>
        <v>-</v>
      </c>
      <c r="I47" s="10">
        <f>+Rentabilitätsvorschau!AC44</f>
        <v>0</v>
      </c>
      <c r="J47" s="50" t="str">
        <f t="shared" si="73"/>
        <v/>
      </c>
      <c r="K47" s="50" t="str">
        <f t="shared" si="74"/>
        <v/>
      </c>
      <c r="L47" s="74"/>
      <c r="M47" s="10">
        <f t="shared" si="75"/>
        <v>0</v>
      </c>
      <c r="N47" s="50" t="str">
        <f t="shared" si="76"/>
        <v>-</v>
      </c>
      <c r="O47" s="10">
        <f>+Rentabilitätsvorschau!AP44</f>
        <v>0</v>
      </c>
      <c r="P47" s="50" t="str">
        <f t="shared" si="77"/>
        <v/>
      </c>
      <c r="Q47" s="50" t="str">
        <f t="shared" si="18"/>
        <v/>
      </c>
      <c r="R47" s="74"/>
      <c r="S47" s="10">
        <f t="shared" si="78"/>
        <v>0</v>
      </c>
      <c r="T47" s="50" t="str">
        <f t="shared" si="79"/>
        <v>-</v>
      </c>
      <c r="U47" s="10">
        <f>+Rentabilitätsvorschau!BC44</f>
        <v>0</v>
      </c>
      <c r="V47" s="50" t="str">
        <f t="shared" si="80"/>
        <v/>
      </c>
      <c r="W47" s="50" t="str">
        <f t="shared" si="22"/>
        <v/>
      </c>
      <c r="X47" s="74"/>
      <c r="Y47" s="10">
        <f t="shared" si="81"/>
        <v>0</v>
      </c>
      <c r="Z47" s="50" t="str">
        <f t="shared" si="82"/>
        <v>-</v>
      </c>
    </row>
    <row r="48" spans="2:26" ht="13.15" x14ac:dyDescent="0.4">
      <c r="B48" t="str">
        <f>+Rentabilitätsvorschau!B45</f>
        <v>Kosten des Geldverkehrs</v>
      </c>
      <c r="D48" s="10">
        <f>+Rentabilitätsvorschau!P45</f>
        <v>60</v>
      </c>
      <c r="E48" s="50">
        <f t="shared" si="70"/>
        <v>1.8749999999999999E-3</v>
      </c>
      <c r="F48" s="74"/>
      <c r="G48" s="10">
        <f t="shared" si="71"/>
        <v>-60</v>
      </c>
      <c r="H48" s="50">
        <f t="shared" si="72"/>
        <v>-1</v>
      </c>
      <c r="I48" s="10">
        <f>+Rentabilitätsvorschau!AC45</f>
        <v>240</v>
      </c>
      <c r="J48" s="50" t="str">
        <f t="shared" si="73"/>
        <v/>
      </c>
      <c r="K48" s="50">
        <f t="shared" si="74"/>
        <v>3</v>
      </c>
      <c r="L48" s="74"/>
      <c r="M48" s="10">
        <f t="shared" si="75"/>
        <v>-240</v>
      </c>
      <c r="N48" s="50">
        <f t="shared" si="76"/>
        <v>-1</v>
      </c>
      <c r="O48" s="10">
        <f>+Rentabilitätsvorschau!AP45</f>
        <v>0</v>
      </c>
      <c r="P48" s="50" t="str">
        <f t="shared" si="77"/>
        <v/>
      </c>
      <c r="Q48" s="50">
        <f t="shared" si="18"/>
        <v>-1</v>
      </c>
      <c r="R48" s="74"/>
      <c r="S48" s="10">
        <f t="shared" si="78"/>
        <v>0</v>
      </c>
      <c r="T48" s="50" t="str">
        <f t="shared" si="79"/>
        <v>-</v>
      </c>
      <c r="U48" s="10">
        <f>+Rentabilitätsvorschau!BC45</f>
        <v>0</v>
      </c>
      <c r="V48" s="50" t="str">
        <f t="shared" si="80"/>
        <v/>
      </c>
      <c r="W48" s="50" t="str">
        <f t="shared" si="22"/>
        <v/>
      </c>
      <c r="X48" s="74"/>
      <c r="Y48" s="10">
        <f t="shared" si="81"/>
        <v>0</v>
      </c>
      <c r="Z48" s="50" t="str">
        <f t="shared" si="82"/>
        <v>-</v>
      </c>
    </row>
    <row r="49" spans="1:26" ht="13.15" x14ac:dyDescent="0.4">
      <c r="B49" t="str">
        <f>+Rentabilitätsvorschau!B46</f>
        <v>Andere betriebliche Aufwendungen</v>
      </c>
      <c r="D49" s="10">
        <f>+Rentabilitätsvorschau!P46</f>
        <v>0</v>
      </c>
      <c r="E49" s="50">
        <f t="shared" si="70"/>
        <v>0</v>
      </c>
      <c r="F49" s="74"/>
      <c r="G49" s="10">
        <f t="shared" si="71"/>
        <v>0</v>
      </c>
      <c r="H49" s="50" t="str">
        <f t="shared" si="72"/>
        <v>-</v>
      </c>
      <c r="I49" s="10">
        <f>+Rentabilitätsvorschau!AC46</f>
        <v>0</v>
      </c>
      <c r="J49" s="50" t="str">
        <f t="shared" si="73"/>
        <v/>
      </c>
      <c r="K49" s="50" t="str">
        <f t="shared" si="74"/>
        <v/>
      </c>
      <c r="L49" s="74"/>
      <c r="M49" s="10">
        <f t="shared" si="75"/>
        <v>0</v>
      </c>
      <c r="N49" s="50" t="str">
        <f t="shared" si="76"/>
        <v>-</v>
      </c>
      <c r="O49" s="10">
        <f>+Rentabilitätsvorschau!AP46</f>
        <v>0</v>
      </c>
      <c r="P49" s="50" t="str">
        <f t="shared" si="77"/>
        <v/>
      </c>
      <c r="Q49" s="50" t="str">
        <f t="shared" si="18"/>
        <v/>
      </c>
      <c r="R49" s="74"/>
      <c r="S49" s="10">
        <f t="shared" si="78"/>
        <v>0</v>
      </c>
      <c r="T49" s="50" t="str">
        <f t="shared" si="79"/>
        <v>-</v>
      </c>
      <c r="U49" s="10">
        <f>+Rentabilitätsvorschau!BC46</f>
        <v>0</v>
      </c>
      <c r="V49" s="50" t="str">
        <f t="shared" si="80"/>
        <v/>
      </c>
      <c r="W49" s="50" t="str">
        <f t="shared" si="22"/>
        <v/>
      </c>
      <c r="X49" s="74"/>
      <c r="Y49" s="10">
        <f t="shared" si="81"/>
        <v>0</v>
      </c>
      <c r="Z49" s="50" t="str">
        <f t="shared" si="82"/>
        <v>-</v>
      </c>
    </row>
    <row r="50" spans="1:26" x14ac:dyDescent="0.35">
      <c r="A50" t="str">
        <f>+Rentabilitätsvorschau!A47</f>
        <v>Summe betrieblicher Aufwendungen</v>
      </c>
      <c r="D50" s="51">
        <f>SUM(D17:D49)</f>
        <v>4425</v>
      </c>
      <c r="E50" s="52">
        <f t="shared" si="70"/>
        <v>0.13828124999999999</v>
      </c>
      <c r="F50" s="51">
        <f>SUM(F17:F49)</f>
        <v>0</v>
      </c>
      <c r="G50" s="51">
        <f t="shared" si="71"/>
        <v>-4425</v>
      </c>
      <c r="H50" s="52">
        <f t="shared" si="72"/>
        <v>-1</v>
      </c>
      <c r="I50" s="51">
        <f>SUM(I17:I49)</f>
        <v>26340</v>
      </c>
      <c r="J50" s="52" t="str">
        <f t="shared" si="73"/>
        <v/>
      </c>
      <c r="K50" s="52">
        <f t="shared" si="74"/>
        <v>4.9525423728813562</v>
      </c>
      <c r="L50" s="51">
        <f>SUM(L17:L49)</f>
        <v>0</v>
      </c>
      <c r="M50" s="51">
        <f t="shared" si="75"/>
        <v>-26340</v>
      </c>
      <c r="N50" s="52">
        <f t="shared" si="76"/>
        <v>-1</v>
      </c>
      <c r="O50" s="51">
        <f>SUM(O17:O49)</f>
        <v>0</v>
      </c>
      <c r="P50" s="52" t="str">
        <f t="shared" si="77"/>
        <v/>
      </c>
      <c r="Q50" s="52">
        <f t="shared" si="18"/>
        <v>-1</v>
      </c>
      <c r="R50" s="51">
        <f>SUM(R17:R49)</f>
        <v>0</v>
      </c>
      <c r="S50" s="51">
        <f t="shared" si="78"/>
        <v>0</v>
      </c>
      <c r="T50" s="52" t="str">
        <f t="shared" si="79"/>
        <v>-</v>
      </c>
      <c r="U50" s="51">
        <f>SUM(U17:U49)</f>
        <v>0</v>
      </c>
      <c r="V50" s="52" t="str">
        <f t="shared" si="80"/>
        <v/>
      </c>
      <c r="W50" s="52" t="str">
        <f t="shared" si="22"/>
        <v/>
      </c>
      <c r="X50" s="51">
        <f>SUM(X17:X49)</f>
        <v>0</v>
      </c>
      <c r="Y50" s="51">
        <f t="shared" si="81"/>
        <v>0</v>
      </c>
      <c r="Z50" s="52" t="str">
        <f t="shared" si="82"/>
        <v>-</v>
      </c>
    </row>
    <row r="51" spans="1:26" x14ac:dyDescent="0.35">
      <c r="A51" t="str">
        <f>+Rentabilitätsvorschau!A48</f>
        <v>Betriebsergebnis</v>
      </c>
      <c r="D51" s="53">
        <f>+D16-D50</f>
        <v>27575</v>
      </c>
      <c r="E51" s="54">
        <f t="shared" si="70"/>
        <v>0.86171874999999998</v>
      </c>
      <c r="F51" s="53">
        <f>+F16-F50</f>
        <v>0</v>
      </c>
      <c r="G51" s="53">
        <f t="shared" si="71"/>
        <v>-27575</v>
      </c>
      <c r="H51" s="54">
        <f t="shared" si="72"/>
        <v>-1</v>
      </c>
      <c r="I51" s="53">
        <f>+I16-I50</f>
        <v>-26340</v>
      </c>
      <c r="J51" s="54" t="str">
        <f t="shared" si="73"/>
        <v/>
      </c>
      <c r="K51" s="54">
        <f t="shared" si="74"/>
        <v>-1.955213055303717</v>
      </c>
      <c r="L51" s="53">
        <f>+L16-L50</f>
        <v>0</v>
      </c>
      <c r="M51" s="53">
        <f t="shared" si="75"/>
        <v>26340</v>
      </c>
      <c r="N51" s="54">
        <f t="shared" si="76"/>
        <v>-1</v>
      </c>
      <c r="O51" s="53">
        <f>+O16-O50</f>
        <v>0</v>
      </c>
      <c r="P51" s="54" t="str">
        <f t="shared" si="77"/>
        <v/>
      </c>
      <c r="Q51" s="54">
        <f t="shared" si="18"/>
        <v>-1</v>
      </c>
      <c r="R51" s="53">
        <f>+R16-R50</f>
        <v>0</v>
      </c>
      <c r="S51" s="53">
        <f t="shared" si="78"/>
        <v>0</v>
      </c>
      <c r="T51" s="54" t="str">
        <f t="shared" si="79"/>
        <v>-</v>
      </c>
      <c r="U51" s="53">
        <f>+U16-U50</f>
        <v>0</v>
      </c>
      <c r="V51" s="54" t="str">
        <f t="shared" si="80"/>
        <v/>
      </c>
      <c r="W51" s="54" t="str">
        <f t="shared" si="22"/>
        <v/>
      </c>
      <c r="X51" s="53">
        <f>+X16-X50</f>
        <v>0</v>
      </c>
      <c r="Y51" s="53">
        <f t="shared" si="81"/>
        <v>0</v>
      </c>
      <c r="Z51" s="54" t="str">
        <f t="shared" si="82"/>
        <v>-</v>
      </c>
    </row>
    <row r="52" spans="1:26" ht="13.15" x14ac:dyDescent="0.4">
      <c r="A52" t="s">
        <v>122</v>
      </c>
      <c r="D52" s="10">
        <f>+Rentabilitätsvorschau!P49</f>
        <v>0</v>
      </c>
      <c r="E52" s="50">
        <f t="shared" si="70"/>
        <v>0</v>
      </c>
      <c r="F52" s="74"/>
      <c r="G52" s="10">
        <f t="shared" si="71"/>
        <v>0</v>
      </c>
      <c r="H52" s="50" t="str">
        <f t="shared" si="72"/>
        <v>-</v>
      </c>
      <c r="I52" s="10">
        <f>+Rentabilitätsvorschau!AC49</f>
        <v>0</v>
      </c>
      <c r="J52" s="50" t="str">
        <f t="shared" si="73"/>
        <v/>
      </c>
      <c r="K52" s="50" t="str">
        <f t="shared" si="74"/>
        <v/>
      </c>
      <c r="L52" s="74"/>
      <c r="M52" s="10">
        <f>IF(+L52-I52=0,0,+L52-I52)</f>
        <v>0</v>
      </c>
      <c r="N52" s="50" t="str">
        <f t="shared" si="76"/>
        <v>-</v>
      </c>
      <c r="O52" s="10">
        <f>+Rentabilitätsvorschau!AP49</f>
        <v>0</v>
      </c>
      <c r="P52" s="50" t="str">
        <f t="shared" si="77"/>
        <v/>
      </c>
      <c r="Q52" s="50" t="str">
        <f t="shared" si="18"/>
        <v/>
      </c>
      <c r="R52" s="74"/>
      <c r="S52" s="10">
        <f>IF(+R52-O52=0,0,+R52-O52)</f>
        <v>0</v>
      </c>
      <c r="T52" s="50" t="str">
        <f t="shared" si="79"/>
        <v>-</v>
      </c>
      <c r="U52" s="10">
        <f>+Rentabilitätsvorschau!BC49</f>
        <v>0</v>
      </c>
      <c r="V52" s="50" t="str">
        <f t="shared" si="80"/>
        <v/>
      </c>
      <c r="W52" s="50" t="str">
        <f t="shared" si="22"/>
        <v/>
      </c>
      <c r="X52" s="74"/>
      <c r="Y52" s="10">
        <f>IF(+X52-U52=0,0,+X52-U52)</f>
        <v>0</v>
      </c>
      <c r="Z52" s="50" t="str">
        <f t="shared" si="82"/>
        <v>-</v>
      </c>
    </row>
    <row r="53" spans="1:26" x14ac:dyDescent="0.35">
      <c r="A53" t="str">
        <f>+Rentabilitätsvorschau!A50</f>
        <v>Gewinn/Verlust vor Steuern</v>
      </c>
      <c r="D53" s="55">
        <f>+D51-D52</f>
        <v>27575</v>
      </c>
      <c r="E53" s="56">
        <f t="shared" si="70"/>
        <v>0.86171874999999998</v>
      </c>
      <c r="F53" s="55">
        <f>+F51-F52</f>
        <v>0</v>
      </c>
      <c r="G53" s="55">
        <f t="shared" si="71"/>
        <v>-27575</v>
      </c>
      <c r="H53" s="56">
        <f t="shared" si="72"/>
        <v>-1</v>
      </c>
      <c r="I53" s="55">
        <f>+I51-I52</f>
        <v>-26340</v>
      </c>
      <c r="J53" s="56" t="str">
        <f t="shared" si="73"/>
        <v/>
      </c>
      <c r="K53" s="56">
        <f t="shared" si="74"/>
        <v>-1.955213055303717</v>
      </c>
      <c r="L53" s="55">
        <f>+L51-L52</f>
        <v>0</v>
      </c>
      <c r="M53" s="55">
        <f>IF(+L53-I53=0,0,+L53-I53)</f>
        <v>26340</v>
      </c>
      <c r="N53" s="56">
        <f t="shared" si="76"/>
        <v>-1</v>
      </c>
      <c r="O53" s="55">
        <f>+O51-O52</f>
        <v>0</v>
      </c>
      <c r="P53" s="56" t="str">
        <f t="shared" si="77"/>
        <v/>
      </c>
      <c r="Q53" s="56">
        <f t="shared" si="18"/>
        <v>-1</v>
      </c>
      <c r="R53" s="55">
        <f>+R51-R52</f>
        <v>0</v>
      </c>
      <c r="S53" s="55">
        <f>IF(+R53-O53=0,0,+R53-O53)</f>
        <v>0</v>
      </c>
      <c r="T53" s="56" t="str">
        <f t="shared" si="79"/>
        <v>-</v>
      </c>
      <c r="U53" s="55">
        <f>+U51-U52</f>
        <v>0</v>
      </c>
      <c r="V53" s="56" t="str">
        <f t="shared" si="80"/>
        <v/>
      </c>
      <c r="W53" s="56" t="str">
        <f t="shared" si="22"/>
        <v/>
      </c>
      <c r="X53" s="55">
        <f>+X51-X52</f>
        <v>0</v>
      </c>
      <c r="Y53" s="55">
        <f>IF(+X53-U53=0,0,+X53-U53)</f>
        <v>0</v>
      </c>
      <c r="Z53" s="56" t="str">
        <f t="shared" si="82"/>
        <v>-</v>
      </c>
    </row>
    <row r="54" spans="1:26" ht="13.15" x14ac:dyDescent="0.4">
      <c r="A54" t="str">
        <f>+Rentabilitätsvorschau!A51</f>
        <v>Sonstige Steuern (betrieblich)</v>
      </c>
      <c r="D54" s="10">
        <f>+Rentabilitätsvorschau!P51</f>
        <v>0</v>
      </c>
      <c r="E54" s="50">
        <f t="shared" si="70"/>
        <v>0</v>
      </c>
      <c r="F54" s="74"/>
      <c r="G54" s="10">
        <f t="shared" si="71"/>
        <v>0</v>
      </c>
      <c r="H54" s="50" t="str">
        <f t="shared" si="72"/>
        <v>-</v>
      </c>
      <c r="I54" s="10">
        <f>+Rentabilitätsvorschau!AC51</f>
        <v>0</v>
      </c>
      <c r="J54" s="50" t="str">
        <f t="shared" si="73"/>
        <v/>
      </c>
      <c r="K54" s="50" t="str">
        <f t="shared" si="74"/>
        <v/>
      </c>
      <c r="L54" s="74"/>
      <c r="M54" s="10">
        <f>IF(+L54-I54=0,0,+L54-I54)</f>
        <v>0</v>
      </c>
      <c r="N54" s="50" t="str">
        <f t="shared" si="76"/>
        <v>-</v>
      </c>
      <c r="O54" s="10">
        <f>+Rentabilitätsvorschau!AP51</f>
        <v>0</v>
      </c>
      <c r="P54" s="50" t="str">
        <f t="shared" si="77"/>
        <v/>
      </c>
      <c r="Q54" s="50" t="str">
        <f t="shared" si="18"/>
        <v/>
      </c>
      <c r="R54" s="74"/>
      <c r="S54" s="10">
        <f>IF(+R54-O54=0,0,+R54-O54)</f>
        <v>0</v>
      </c>
      <c r="T54" s="50" t="str">
        <f t="shared" si="79"/>
        <v>-</v>
      </c>
      <c r="U54" s="10">
        <f>+Rentabilitätsvorschau!BC51</f>
        <v>0</v>
      </c>
      <c r="V54" s="50" t="str">
        <f t="shared" si="80"/>
        <v/>
      </c>
      <c r="W54" s="50" t="str">
        <f t="shared" si="22"/>
        <v/>
      </c>
      <c r="X54" s="74"/>
      <c r="Y54" s="10">
        <f>IF(+X54-U54=0,0,+X54-U54)</f>
        <v>0</v>
      </c>
      <c r="Z54" s="50" t="str">
        <f t="shared" si="82"/>
        <v>-</v>
      </c>
    </row>
    <row r="55" spans="1:26" ht="13.15" thickBot="1" x14ac:dyDescent="0.4">
      <c r="A55" t="str">
        <f>+Rentabilitätsvorschau!A52</f>
        <v>Jahresüberschuß/Jahresfehlbetrag</v>
      </c>
      <c r="D55" s="57">
        <f>+D53-D54</f>
        <v>27575</v>
      </c>
      <c r="E55" s="58">
        <f t="shared" si="70"/>
        <v>0.86171874999999998</v>
      </c>
      <c r="F55" s="57">
        <f>+F53-F54</f>
        <v>0</v>
      </c>
      <c r="G55" s="57">
        <f t="shared" si="71"/>
        <v>-27575</v>
      </c>
      <c r="H55" s="58">
        <f t="shared" si="72"/>
        <v>-1</v>
      </c>
      <c r="I55" s="57">
        <f>+I53-I54</f>
        <v>-26340</v>
      </c>
      <c r="J55" s="58" t="str">
        <f t="shared" si="73"/>
        <v/>
      </c>
      <c r="K55" s="58">
        <f t="shared" si="74"/>
        <v>-1.955213055303717</v>
      </c>
      <c r="L55" s="57">
        <f>+L53-L54</f>
        <v>0</v>
      </c>
      <c r="M55" s="57">
        <f>IF(+L55-I55=0,0,+L55-I55)</f>
        <v>26340</v>
      </c>
      <c r="N55" s="58">
        <f t="shared" si="76"/>
        <v>-1</v>
      </c>
      <c r="O55" s="57">
        <f>+O53-O54</f>
        <v>0</v>
      </c>
      <c r="P55" s="58" t="str">
        <f t="shared" si="77"/>
        <v/>
      </c>
      <c r="Q55" s="58">
        <f t="shared" si="18"/>
        <v>-1</v>
      </c>
      <c r="R55" s="57">
        <f>+R53-R54</f>
        <v>0</v>
      </c>
      <c r="S55" s="57">
        <f>IF(+R55-O55=0,0,+R55-O55)</f>
        <v>0</v>
      </c>
      <c r="T55" s="58" t="str">
        <f t="shared" si="79"/>
        <v>-</v>
      </c>
      <c r="U55" s="57">
        <f>+U53-U54</f>
        <v>0</v>
      </c>
      <c r="V55" s="58" t="str">
        <f t="shared" si="80"/>
        <v/>
      </c>
      <c r="W55" s="58" t="str">
        <f t="shared" si="22"/>
        <v/>
      </c>
      <c r="X55" s="57">
        <f>+X53-X54</f>
        <v>0</v>
      </c>
      <c r="Y55" s="57">
        <f>IF(+X55-U55=0,0,+X55-U55)</f>
        <v>0</v>
      </c>
      <c r="Z55" s="58" t="str">
        <f t="shared" si="82"/>
        <v>-</v>
      </c>
    </row>
    <row r="56" spans="1:26" ht="13.15" thickTop="1" x14ac:dyDescent="0.35">
      <c r="E56" s="59"/>
      <c r="F56" s="59"/>
      <c r="G56" s="59"/>
      <c r="H56" s="59"/>
      <c r="J56" s="59"/>
      <c r="K56" s="59"/>
      <c r="L56" s="59"/>
      <c r="M56" s="59"/>
      <c r="N56" s="59"/>
    </row>
    <row r="57" spans="1:26" x14ac:dyDescent="0.35">
      <c r="A57" s="94"/>
      <c r="B57" s="94"/>
      <c r="C57" s="94"/>
      <c r="D57" s="94"/>
      <c r="E57" s="94"/>
      <c r="F57" s="94"/>
      <c r="G57" s="94"/>
      <c r="H57" s="94"/>
      <c r="I57" s="94"/>
      <c r="J57" s="94"/>
      <c r="K57" s="94"/>
      <c r="L57" s="94"/>
      <c r="M57" s="94"/>
      <c r="N57" s="94"/>
      <c r="O57" s="94"/>
      <c r="P57" s="94"/>
      <c r="Q57" s="94"/>
      <c r="R57" s="94"/>
      <c r="S57" s="94"/>
      <c r="T57" s="94"/>
      <c r="U57" s="94"/>
      <c r="V57" s="94"/>
      <c r="W57" s="94"/>
      <c r="X57" s="94"/>
      <c r="Y57" s="94"/>
    </row>
  </sheetData>
  <sheetProtection sheet="1" formatColumns="0"/>
  <mergeCells count="13">
    <mergeCell ref="A1:C3"/>
    <mergeCell ref="X2:Z2"/>
    <mergeCell ref="D1:H1"/>
    <mergeCell ref="I1:N1"/>
    <mergeCell ref="O1:T1"/>
    <mergeCell ref="U1:Z1"/>
    <mergeCell ref="D2:E2"/>
    <mergeCell ref="I2:K2"/>
    <mergeCell ref="O2:Q2"/>
    <mergeCell ref="U2:W2"/>
    <mergeCell ref="F2:H2"/>
    <mergeCell ref="L2:N2"/>
    <mergeCell ref="R2:T2"/>
  </mergeCells>
  <pageMargins left="0.70866141732283472" right="0.70866141732283472" top="1.1023622047244095" bottom="0.78740157480314965" header="0.31496062992125984" footer="0.31496062992125984"/>
  <pageSetup paperSize="9" scale="58" orientation="landscape" r:id="rId1"/>
  <headerFooter>
    <oddHeader>&amp;L&amp;G&amp;R&amp;"Arial,Fett"&amp;12IHK Köln - das Finanztool&amp;"Arial,Standard"&amp;10
&amp;A</oddHeader>
    <oddFooter>&amp;L&amp;8&amp;Z&amp;F\&amp;A\&amp;D\&amp;T&amp;RRelease 3.10</oddFooter>
  </headerFooter>
  <legacyDrawing r:id="rId2"/>
  <legacyDrawingHF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O65"/>
  <sheetViews>
    <sheetView zoomScaleNormal="100" workbookViewId="0">
      <selection activeCell="A5" sqref="A5:C5"/>
    </sheetView>
  </sheetViews>
  <sheetFormatPr baseColWidth="10" defaultColWidth="11.3984375" defaultRowHeight="12.75" x14ac:dyDescent="0.35"/>
  <cols>
    <col min="1" max="1" width="3.86328125" customWidth="1"/>
    <col min="2" max="2" width="10.1328125" customWidth="1"/>
    <col min="3" max="3" width="54.3984375" customWidth="1"/>
    <col min="7" max="7" width="11.3984375" customWidth="1"/>
  </cols>
  <sheetData>
    <row r="1" spans="1:9" ht="25.5" customHeight="1" x14ac:dyDescent="0.35">
      <c r="D1" s="47">
        <f>+Rentabilitätsvorschau!P1</f>
        <v>2026</v>
      </c>
      <c r="E1" s="47">
        <f>+Rentabilitätsvorschau!AC1</f>
        <v>2027</v>
      </c>
      <c r="F1" s="47">
        <f>+Rentabilitätsvorschau!AP1</f>
        <v>2028</v>
      </c>
      <c r="G1" s="47">
        <f>+Rentabilitätsvorschau!BC1</f>
        <v>2029</v>
      </c>
    </row>
    <row r="2" spans="1:9" ht="25.5" customHeight="1" x14ac:dyDescent="0.4">
      <c r="A2" s="64" t="s">
        <v>183</v>
      </c>
      <c r="D2" s="86">
        <f>+Rentabilitätsvorschau!P52+Rentabilitätsvorschau!P49</f>
        <v>27575</v>
      </c>
      <c r="E2" s="86">
        <f>+Rentabilitätsvorschau!AC52+Rentabilitätsvorschau!AC49</f>
        <v>-26340</v>
      </c>
      <c r="F2" s="86">
        <f>+Rentabilitätsvorschau!AP52+Rentabilitätsvorschau!AP49</f>
        <v>0</v>
      </c>
      <c r="G2" s="86">
        <f>+Rentabilitätsvorschau!BC52+Rentabilitätsvorschau!BC49</f>
        <v>0</v>
      </c>
      <c r="I2" s="18"/>
    </row>
    <row r="3" spans="1:9" ht="13.15" x14ac:dyDescent="0.4">
      <c r="A3" s="64" t="s">
        <v>119</v>
      </c>
      <c r="D3" s="86">
        <f>+Rentabilitätsvorschau!P15</f>
        <v>0</v>
      </c>
      <c r="E3" s="86">
        <f>+Rentabilitätsvorschau!AC15</f>
        <v>0</v>
      </c>
      <c r="F3" s="86">
        <f>+Rentabilitätsvorschau!AP15</f>
        <v>0</v>
      </c>
      <c r="G3" s="86">
        <f>+Rentabilitätsvorschau!BC15</f>
        <v>0</v>
      </c>
    </row>
    <row r="4" spans="1:9" ht="13.15" x14ac:dyDescent="0.4">
      <c r="A4" s="64" t="s">
        <v>153</v>
      </c>
      <c r="D4" s="85">
        <f>SUM(D2:D3)</f>
        <v>27575</v>
      </c>
      <c r="E4" s="85">
        <f>SUM(E2:E3)</f>
        <v>-26340</v>
      </c>
      <c r="F4" s="85">
        <f>SUM(F2:F3)</f>
        <v>0</v>
      </c>
      <c r="G4" s="85">
        <f>SUM(G2:G3)</f>
        <v>0</v>
      </c>
    </row>
    <row r="5" spans="1:9" ht="24" customHeight="1" x14ac:dyDescent="0.4">
      <c r="A5" s="166" t="s">
        <v>155</v>
      </c>
      <c r="B5" s="166"/>
      <c r="C5" s="166"/>
      <c r="D5" s="8"/>
      <c r="E5" s="8"/>
      <c r="F5" s="8"/>
      <c r="G5" s="8"/>
    </row>
    <row r="6" spans="1:9" ht="13.15" x14ac:dyDescent="0.4">
      <c r="B6" s="87"/>
      <c r="C6" t="s">
        <v>152</v>
      </c>
    </row>
    <row r="7" spans="1:9" ht="13.15" x14ac:dyDescent="0.4">
      <c r="B7" s="88"/>
      <c r="C7" t="s">
        <v>151</v>
      </c>
    </row>
    <row r="8" spans="1:9" ht="13.15" x14ac:dyDescent="0.4">
      <c r="B8" s="89"/>
      <c r="C8" t="s">
        <v>164</v>
      </c>
    </row>
    <row r="9" spans="1:9" ht="13.15" x14ac:dyDescent="0.4">
      <c r="B9" s="89"/>
      <c r="C9" t="s">
        <v>154</v>
      </c>
    </row>
    <row r="10" spans="1:9" ht="13.15" x14ac:dyDescent="0.4">
      <c r="B10" s="93"/>
      <c r="C10" t="s">
        <v>149</v>
      </c>
      <c r="D10" s="84">
        <f>IF(B8=0,0,(+B6*B7)/12*(12-Monat+1))</f>
        <v>0</v>
      </c>
      <c r="E10" s="84">
        <f>IF($B8=0,0,(+$B6-SUM($D11:D11))*$B7)</f>
        <v>0</v>
      </c>
      <c r="F10" s="84">
        <f>IF($B8=0,0,(+$B6-SUM($D11:E11))*$B7)</f>
        <v>0</v>
      </c>
      <c r="G10" s="84">
        <f>IF($B8=0,0,(+$B6-SUM($D11:F11))*$B7)</f>
        <v>0</v>
      </c>
    </row>
    <row r="11" spans="1:9" x14ac:dyDescent="0.35">
      <c r="C11" t="s">
        <v>150</v>
      </c>
      <c r="D11" s="8">
        <f>IF($B8=0,0,IF($B9&gt;=1,0,$B6/($B8-$B9)))/12*(13-Monat)</f>
        <v>0</v>
      </c>
      <c r="E11" s="8">
        <f>IF($B8=0,0,IF($B9&gt;=2,0,$B6/($B8-$B9)))</f>
        <v>0</v>
      </c>
      <c r="F11" s="8">
        <f>IF($B8=0,0,IF($B9&gt;=3,0,$B6/($B8-$B9)))</f>
        <v>0</v>
      </c>
      <c r="G11" s="8">
        <f>IF(SUM(D11:F11)&gt;=B6,0,IF($B8=0,0,IF($B9&gt;=4,0,$B6/($B8-$B9))))</f>
        <v>0</v>
      </c>
    </row>
    <row r="12" spans="1:9" x14ac:dyDescent="0.35">
      <c r="D12" s="83">
        <f>SUM(D10:D11)</f>
        <v>0</v>
      </c>
      <c r="E12" s="83">
        <f>SUM(E10:E11)</f>
        <v>0</v>
      </c>
      <c r="F12" s="83">
        <f>SUM(F10:F11)</f>
        <v>0</v>
      </c>
      <c r="G12" s="83">
        <f>SUM(G10:G11)</f>
        <v>0</v>
      </c>
    </row>
    <row r="13" spans="1:9" ht="24" customHeight="1" x14ac:dyDescent="0.4">
      <c r="A13" s="166" t="s">
        <v>156</v>
      </c>
      <c r="B13" s="166"/>
      <c r="C13" s="166"/>
      <c r="D13" s="8"/>
      <c r="E13" s="8"/>
      <c r="F13" s="8"/>
      <c r="G13" s="8"/>
    </row>
    <row r="14" spans="1:9" ht="13.15" x14ac:dyDescent="0.4">
      <c r="B14" s="87"/>
      <c r="C14" t="str">
        <f t="shared" ref="C14:C19" si="0">+C6</f>
        <v>Darlehensbetrag in EUR</v>
      </c>
    </row>
    <row r="15" spans="1:9" ht="13.15" x14ac:dyDescent="0.4">
      <c r="B15" s="88"/>
      <c r="C15" t="str">
        <f t="shared" si="0"/>
        <v>Zinsen p.a.</v>
      </c>
    </row>
    <row r="16" spans="1:9" ht="13.15" x14ac:dyDescent="0.4">
      <c r="B16" s="89"/>
      <c r="C16" t="str">
        <f t="shared" si="0"/>
        <v>Laufzeit (mind. 3 Jahre)</v>
      </c>
    </row>
    <row r="17" spans="1:7" ht="13.15" x14ac:dyDescent="0.4">
      <c r="B17" s="89"/>
      <c r="C17" t="str">
        <f t="shared" si="0"/>
        <v>davon tilgungsfrei (nur ganze Jahre)</v>
      </c>
    </row>
    <row r="18" spans="1:7" x14ac:dyDescent="0.35">
      <c r="C18" t="str">
        <f t="shared" si="0"/>
        <v>Zinsen</v>
      </c>
      <c r="D18" s="84">
        <f>IF(B16=0,0,(+B14*B15)/12*(12-Monat+1))</f>
        <v>0</v>
      </c>
      <c r="E18" s="84">
        <f>IF($B16=0,0,(+$B14-SUM($D19:D19))*$B15)</f>
        <v>0</v>
      </c>
      <c r="F18" s="84">
        <f>IF($B16=0,0,(+$B14-SUM($D19:E19))*$B15)</f>
        <v>0</v>
      </c>
      <c r="G18" s="84">
        <f>IF($B16=0,0,(+$B14-SUM($D19:F19))*$B15)</f>
        <v>0</v>
      </c>
    </row>
    <row r="19" spans="1:7" x14ac:dyDescent="0.35">
      <c r="C19" t="str">
        <f t="shared" si="0"/>
        <v>Tilgung</v>
      </c>
      <c r="D19" s="8">
        <f>IF($B16=0,0,IF($B17&gt;=1,0,$B14/($B16-$B17)))/12*(13-Monat)</f>
        <v>0</v>
      </c>
      <c r="E19" s="8">
        <f>IF($B16=0,0,IF($B17&gt;=2,0,$B14/($B16-$B17)))</f>
        <v>0</v>
      </c>
      <c r="F19" s="8">
        <f>IF($B16=0,0,IF($B17&gt;=3,0,$B14/($B16-$B17)))</f>
        <v>0</v>
      </c>
      <c r="G19" s="8">
        <f>IF(SUM(D19:F19)&gt;=B14,0,IF($B16=0,0,IF($B17&gt;=4,0,$B14/($B16-$B17))))</f>
        <v>0</v>
      </c>
    </row>
    <row r="20" spans="1:7" x14ac:dyDescent="0.35">
      <c r="D20" s="83">
        <f>SUM(D18:D19)</f>
        <v>0</v>
      </c>
      <c r="E20" s="83">
        <f>SUM(E18:E19)</f>
        <v>0</v>
      </c>
      <c r="F20" s="83">
        <f>SUM(F18:F19)</f>
        <v>0</v>
      </c>
      <c r="G20" s="83">
        <f>SUM(G18:G19)</f>
        <v>0</v>
      </c>
    </row>
    <row r="21" spans="1:7" ht="24" customHeight="1" x14ac:dyDescent="0.4">
      <c r="A21" s="166" t="s">
        <v>157</v>
      </c>
      <c r="B21" s="166"/>
      <c r="C21" s="166"/>
      <c r="D21" s="8"/>
      <c r="E21" s="8"/>
      <c r="F21" s="8"/>
      <c r="G21" s="8"/>
    </row>
    <row r="22" spans="1:7" ht="13.15" x14ac:dyDescent="0.4">
      <c r="B22" s="87"/>
      <c r="C22" t="str">
        <f t="shared" ref="C22:C27" si="1">+C6</f>
        <v>Darlehensbetrag in EUR</v>
      </c>
    </row>
    <row r="23" spans="1:7" ht="13.15" x14ac:dyDescent="0.4">
      <c r="B23" s="88"/>
      <c r="C23" t="str">
        <f t="shared" si="1"/>
        <v>Zinsen p.a.</v>
      </c>
    </row>
    <row r="24" spans="1:7" ht="13.15" x14ac:dyDescent="0.4">
      <c r="B24" s="89"/>
      <c r="C24" t="str">
        <f t="shared" si="1"/>
        <v>Laufzeit (mind. 3 Jahre)</v>
      </c>
    </row>
    <row r="25" spans="1:7" ht="13.15" x14ac:dyDescent="0.4">
      <c r="B25" s="89"/>
      <c r="C25" t="str">
        <f t="shared" si="1"/>
        <v>davon tilgungsfrei (nur ganze Jahre)</v>
      </c>
    </row>
    <row r="26" spans="1:7" x14ac:dyDescent="0.35">
      <c r="C26" t="str">
        <f t="shared" si="1"/>
        <v>Zinsen</v>
      </c>
      <c r="D26" s="84">
        <f>IF(B24=0,0,(+B22*B23)/12*(12-Monat+1))</f>
        <v>0</v>
      </c>
      <c r="E26" s="84">
        <f>IF($B24=0,0,(+$B22-SUM($D27:D27))*$B23)</f>
        <v>0</v>
      </c>
      <c r="F26" s="84">
        <f>IF($B24=0,0,(+$B22-SUM($D27:E27))*$B23)</f>
        <v>0</v>
      </c>
      <c r="G26" s="84">
        <f>IF($B24=0,0,(+$B22-SUM($D27:F27))*$B23)</f>
        <v>0</v>
      </c>
    </row>
    <row r="27" spans="1:7" x14ac:dyDescent="0.35">
      <c r="C27" t="str">
        <f t="shared" si="1"/>
        <v>Tilgung</v>
      </c>
      <c r="D27" s="8">
        <f>IF($B24=0,0,IF($B25&gt;=1,0,$B22/($B24-$B25)))/12*(13-Monat)</f>
        <v>0</v>
      </c>
      <c r="E27" s="8">
        <f>IF($B24=0,0,IF($B25&gt;=2,0,$B22/($B24-$B25)))</f>
        <v>0</v>
      </c>
      <c r="F27" s="8">
        <f>IF($B24=0,0,IF($B25&gt;=3,0,$B22/($B24-$B25)))</f>
        <v>0</v>
      </c>
      <c r="G27" s="8">
        <f>IF(SUM(D27:F27)&gt;=B22,0,IF($B24=0,0,IF($B25&gt;=4,0,$B22/($B24-$B25))))</f>
        <v>0</v>
      </c>
    </row>
    <row r="28" spans="1:7" x14ac:dyDescent="0.35">
      <c r="D28" s="83">
        <f>SUM(D26:D27)</f>
        <v>0</v>
      </c>
      <c r="E28" s="83">
        <f>SUM(E26:E27)</f>
        <v>0</v>
      </c>
      <c r="F28" s="83">
        <f>SUM(F26:F27)</f>
        <v>0</v>
      </c>
      <c r="G28" s="83">
        <f>SUM(G26:G27)</f>
        <v>0</v>
      </c>
    </row>
    <row r="29" spans="1:7" ht="24" customHeight="1" x14ac:dyDescent="0.4">
      <c r="A29" s="166" t="s">
        <v>158</v>
      </c>
      <c r="B29" s="166"/>
      <c r="C29" s="166"/>
      <c r="D29" s="8"/>
      <c r="E29" s="8"/>
      <c r="F29" s="8"/>
      <c r="G29" s="8"/>
    </row>
    <row r="30" spans="1:7" ht="13.15" x14ac:dyDescent="0.4">
      <c r="B30" s="87"/>
      <c r="C30" t="str">
        <f t="shared" ref="C30:C35" si="2">+C6</f>
        <v>Darlehensbetrag in EUR</v>
      </c>
    </row>
    <row r="31" spans="1:7" ht="13.15" x14ac:dyDescent="0.4">
      <c r="B31" s="88"/>
      <c r="C31" t="str">
        <f t="shared" si="2"/>
        <v>Zinsen p.a.</v>
      </c>
    </row>
    <row r="32" spans="1:7" ht="13.15" x14ac:dyDescent="0.4">
      <c r="B32" s="89"/>
      <c r="C32" t="str">
        <f t="shared" si="2"/>
        <v>Laufzeit (mind. 3 Jahre)</v>
      </c>
    </row>
    <row r="33" spans="1:7" ht="13.15" x14ac:dyDescent="0.4">
      <c r="B33" s="89"/>
      <c r="C33" t="str">
        <f t="shared" si="2"/>
        <v>davon tilgungsfrei (nur ganze Jahre)</v>
      </c>
    </row>
    <row r="34" spans="1:7" x14ac:dyDescent="0.35">
      <c r="C34" t="str">
        <f t="shared" si="2"/>
        <v>Zinsen</v>
      </c>
      <c r="D34" s="84">
        <f>IF(B32=0,0,(+B30*B31)/12*(12-Monat+1))</f>
        <v>0</v>
      </c>
      <c r="E34" s="84">
        <f>IF($B32=0,0,(+$B30-SUM($D35:D35))*$B31)</f>
        <v>0</v>
      </c>
      <c r="F34" s="84">
        <f>IF($B32=0,0,(+$B30-SUM($D35:E35))*$B31)</f>
        <v>0</v>
      </c>
      <c r="G34" s="84">
        <f>IF($B32=0,0,(+$B30-SUM($D35:F35))*$B31)</f>
        <v>0</v>
      </c>
    </row>
    <row r="35" spans="1:7" x14ac:dyDescent="0.35">
      <c r="C35" t="str">
        <f t="shared" si="2"/>
        <v>Tilgung</v>
      </c>
      <c r="D35" s="8">
        <f>IF($B32=0,0,IF($B33&gt;=1,0,$B30/($B32-$B33)))/12*(13-Monat)</f>
        <v>0</v>
      </c>
      <c r="E35" s="8">
        <f>IF($B32=0,0,IF($B33&gt;=2,0,$B30/($B32-$B33)))</f>
        <v>0</v>
      </c>
      <c r="F35" s="8">
        <f>IF($B32=0,0,IF($B33&gt;=3,0,$B30/($B32-$B33)))</f>
        <v>0</v>
      </c>
      <c r="G35" s="8">
        <f>IF(SUM(D35:F35)&gt;=B30,0,IF($B32=0,0,IF($B33&gt;=4,0,$B30/($B32-$B33))))</f>
        <v>0</v>
      </c>
    </row>
    <row r="36" spans="1:7" x14ac:dyDescent="0.35">
      <c r="D36" s="83">
        <f>SUM(D34:D35)</f>
        <v>0</v>
      </c>
      <c r="E36" s="83">
        <f>SUM(E34:E35)</f>
        <v>0</v>
      </c>
      <c r="F36" s="83">
        <f>SUM(F34:F35)</f>
        <v>0</v>
      </c>
      <c r="G36" s="83">
        <f>SUM(G34:G35)</f>
        <v>0</v>
      </c>
    </row>
    <row r="37" spans="1:7" ht="24" customHeight="1" x14ac:dyDescent="0.4">
      <c r="A37" s="166" t="s">
        <v>159</v>
      </c>
      <c r="B37" s="166"/>
      <c r="C37" s="166"/>
      <c r="D37" s="8"/>
      <c r="E37" s="8"/>
      <c r="F37" s="8"/>
      <c r="G37" s="8"/>
    </row>
    <row r="38" spans="1:7" ht="13.15" x14ac:dyDescent="0.4">
      <c r="B38" s="87"/>
      <c r="C38" t="str">
        <f t="shared" ref="C38:C43" si="3">+C6</f>
        <v>Darlehensbetrag in EUR</v>
      </c>
    </row>
    <row r="39" spans="1:7" ht="13.15" x14ac:dyDescent="0.4">
      <c r="B39" s="88"/>
      <c r="C39" t="str">
        <f t="shared" si="3"/>
        <v>Zinsen p.a.</v>
      </c>
    </row>
    <row r="40" spans="1:7" ht="13.15" x14ac:dyDescent="0.4">
      <c r="B40" s="89"/>
      <c r="C40" t="str">
        <f t="shared" si="3"/>
        <v>Laufzeit (mind. 3 Jahre)</v>
      </c>
    </row>
    <row r="41" spans="1:7" ht="13.15" x14ac:dyDescent="0.4">
      <c r="B41" s="89"/>
      <c r="C41" t="str">
        <f t="shared" si="3"/>
        <v>davon tilgungsfrei (nur ganze Jahre)</v>
      </c>
    </row>
    <row r="42" spans="1:7" x14ac:dyDescent="0.35">
      <c r="C42" t="str">
        <f t="shared" si="3"/>
        <v>Zinsen</v>
      </c>
      <c r="D42" s="84">
        <f>IF(B40=0,0,(+B38*B39)/12*(12-Monat+1))</f>
        <v>0</v>
      </c>
      <c r="E42" s="84">
        <f>IF($B40=0,0,(+$B38-SUM($D43:D43))*$B39)</f>
        <v>0</v>
      </c>
      <c r="F42" s="84">
        <f>IF($B40=0,0,(+$B38-SUM($D43:E43))*$B39)</f>
        <v>0</v>
      </c>
      <c r="G42" s="84">
        <f>IF($B40=0,0,(+$B38-SUM($D43:F43))*$B39)</f>
        <v>0</v>
      </c>
    </row>
    <row r="43" spans="1:7" x14ac:dyDescent="0.35">
      <c r="C43" t="str">
        <f t="shared" si="3"/>
        <v>Tilgung</v>
      </c>
      <c r="D43" s="8">
        <f>IF($B40=0,0,IF($B41&gt;=1,0,$B38/($B40-$B41)))/12*(13-Monat)</f>
        <v>0</v>
      </c>
      <c r="E43" s="8">
        <f>IF($B40=0,0,IF($B41&gt;=2,0,$B38/($B40-$B41)))</f>
        <v>0</v>
      </c>
      <c r="F43" s="8">
        <f>IF($B40=0,0,IF($B41&gt;=3,0,$B38/($B40-$B41)))</f>
        <v>0</v>
      </c>
      <c r="G43" s="8">
        <f>IF(SUM(D43:F43)&gt;=B38,0,IF($B40=0,0,IF($B41&gt;=4,0,$B38/($B40-$B41))))</f>
        <v>0</v>
      </c>
    </row>
    <row r="44" spans="1:7" x14ac:dyDescent="0.35">
      <c r="D44" s="83">
        <f>SUM(D42:D43)</f>
        <v>0</v>
      </c>
      <c r="E44" s="83">
        <f>SUM(E42:E43)</f>
        <v>0</v>
      </c>
      <c r="F44" s="83">
        <f>SUM(F42:F43)</f>
        <v>0</v>
      </c>
      <c r="G44" s="83">
        <f>SUM(G42:G43)</f>
        <v>0</v>
      </c>
    </row>
    <row r="45" spans="1:7" ht="24" customHeight="1" x14ac:dyDescent="0.4">
      <c r="A45" s="166" t="s">
        <v>160</v>
      </c>
      <c r="B45" s="166"/>
      <c r="C45" s="166"/>
      <c r="D45" s="8"/>
      <c r="E45" s="8"/>
      <c r="F45" s="8"/>
      <c r="G45" s="8"/>
    </row>
    <row r="46" spans="1:7" ht="13.15" x14ac:dyDescent="0.4">
      <c r="B46" s="87"/>
      <c r="C46" t="str">
        <f t="shared" ref="C46:C51" si="4">+C6</f>
        <v>Darlehensbetrag in EUR</v>
      </c>
    </row>
    <row r="47" spans="1:7" ht="13.15" x14ac:dyDescent="0.4">
      <c r="B47" s="88"/>
      <c r="C47" t="str">
        <f t="shared" si="4"/>
        <v>Zinsen p.a.</v>
      </c>
    </row>
    <row r="48" spans="1:7" ht="13.15" x14ac:dyDescent="0.4">
      <c r="B48" s="89"/>
      <c r="C48" t="str">
        <f t="shared" si="4"/>
        <v>Laufzeit (mind. 3 Jahre)</v>
      </c>
    </row>
    <row r="49" spans="1:15" ht="13.15" x14ac:dyDescent="0.4">
      <c r="B49" s="89"/>
      <c r="C49" t="str">
        <f t="shared" si="4"/>
        <v>davon tilgungsfrei (nur ganze Jahre)</v>
      </c>
    </row>
    <row r="50" spans="1:15" x14ac:dyDescent="0.35">
      <c r="C50" t="str">
        <f t="shared" si="4"/>
        <v>Zinsen</v>
      </c>
      <c r="D50" s="84">
        <f>IF(B48=0,0,(+B46*B47)/12*(12-Monat+1))</f>
        <v>0</v>
      </c>
      <c r="E50" s="84">
        <f>IF($B48=0,0,(+$B46-SUM($D51:D51))*$B47)</f>
        <v>0</v>
      </c>
      <c r="F50" s="84">
        <f>IF($B48=0,0,(+$B46-SUM($D51:E51))*$B47)</f>
        <v>0</v>
      </c>
      <c r="G50" s="84">
        <f>IF($B48=0,0,(+$B46-SUM($D51:F51))*$B47)</f>
        <v>0</v>
      </c>
    </row>
    <row r="51" spans="1:15" x14ac:dyDescent="0.35">
      <c r="C51" t="str">
        <f t="shared" si="4"/>
        <v>Tilgung</v>
      </c>
      <c r="D51" s="8">
        <f>IF($B48=0,0,IF($B49&gt;=1,0,$B46/($B48-$B49)))/12*(13-Monat)</f>
        <v>0</v>
      </c>
      <c r="E51" s="8">
        <f>IF($B48=0,0,IF($B49&gt;=2,0,$B46/($B48-$B49)))</f>
        <v>0</v>
      </c>
      <c r="F51" s="8">
        <f>IF($B48=0,0,IF($B49&gt;=3,0,$B46/($B48-$B49)))</f>
        <v>0</v>
      </c>
      <c r="G51" s="8">
        <f>IF(SUM(D51:F51)&gt;=B46,0,IF($B48=0,0,IF($B49&gt;=4,0,$B46/($B48-$B49))))</f>
        <v>0</v>
      </c>
    </row>
    <row r="52" spans="1:15" x14ac:dyDescent="0.35">
      <c r="D52" s="83">
        <f>SUM(D50:D51)</f>
        <v>0</v>
      </c>
      <c r="E52" s="83">
        <f>SUM(E50:E51)</f>
        <v>0</v>
      </c>
      <c r="F52" s="83">
        <f>SUM(F50:F51)</f>
        <v>0</v>
      </c>
      <c r="G52" s="83">
        <f>SUM(G50:G51)</f>
        <v>0</v>
      </c>
    </row>
    <row r="53" spans="1:15" ht="13.15" x14ac:dyDescent="0.4">
      <c r="A53" s="166" t="s">
        <v>165</v>
      </c>
      <c r="B53" s="166"/>
      <c r="C53" s="166"/>
      <c r="D53" s="8"/>
      <c r="E53" s="8"/>
      <c r="F53" s="8"/>
      <c r="G53" s="8"/>
      <c r="L53" s="13"/>
      <c r="N53" s="13"/>
      <c r="O53" s="13"/>
    </row>
    <row r="54" spans="1:15" ht="13.15" x14ac:dyDescent="0.4">
      <c r="B54" s="87"/>
      <c r="C54" t="str">
        <f t="shared" ref="C54:C59" si="5">+C6</f>
        <v>Darlehensbetrag in EUR</v>
      </c>
    </row>
    <row r="55" spans="1:15" ht="13.15" x14ac:dyDescent="0.4">
      <c r="B55" s="88"/>
      <c r="C55" t="str">
        <f t="shared" si="5"/>
        <v>Zinsen p.a.</v>
      </c>
    </row>
    <row r="56" spans="1:15" ht="13.15" x14ac:dyDescent="0.4">
      <c r="B56" s="89"/>
      <c r="C56" t="str">
        <f t="shared" si="5"/>
        <v>Laufzeit (mind. 3 Jahre)</v>
      </c>
    </row>
    <row r="57" spans="1:15" ht="13.15" x14ac:dyDescent="0.4">
      <c r="B57" s="89"/>
      <c r="C57" t="str">
        <f t="shared" si="5"/>
        <v>davon tilgungsfrei (nur ganze Jahre)</v>
      </c>
    </row>
    <row r="58" spans="1:15" x14ac:dyDescent="0.35">
      <c r="C58" t="str">
        <f t="shared" si="5"/>
        <v>Zinsen</v>
      </c>
      <c r="D58" s="84">
        <f>IF(B56=0,0,(+B54*B55)/12*(12-Monat+1))</f>
        <v>0</v>
      </c>
      <c r="E58" s="84">
        <f>IF($B56=0,0,(+$B54-SUM($D59:D59))*$B55)</f>
        <v>0</v>
      </c>
      <c r="F58" s="84">
        <f>IF($B56=0,0,(+$B54-SUM($D59:E59))*$B55)</f>
        <v>0</v>
      </c>
      <c r="G58" s="84">
        <f>IF($B56=0,0,(+$B54-SUM($D59:F59))*$B55)</f>
        <v>0</v>
      </c>
    </row>
    <row r="59" spans="1:15" x14ac:dyDescent="0.35">
      <c r="C59" t="str">
        <f t="shared" si="5"/>
        <v>Tilgung</v>
      </c>
      <c r="D59" s="8">
        <f>IF($B56=0,0,IF($B57&gt;=1,0,$B54/($B56-$B57)))/12*(13-Monat)</f>
        <v>0</v>
      </c>
      <c r="E59" s="8">
        <f>IF($B56=0,0,IF($B57&gt;=2,0,$B54/($B56-$B57)))</f>
        <v>0</v>
      </c>
      <c r="F59" s="8">
        <f>IF($B56=0,0,IF($B57&gt;=3,0,$B54/($B56-$B57)))</f>
        <v>0</v>
      </c>
      <c r="G59" s="8">
        <f>IF(SUM(D59:F59)&gt;=B54,0,IF($B56=0,0,IF($B57&gt;=4,0,$B54/($B56-$B57))))</f>
        <v>0</v>
      </c>
    </row>
    <row r="60" spans="1:15" ht="13.15" x14ac:dyDescent="0.4">
      <c r="A60" s="82"/>
      <c r="B60" s="82"/>
      <c r="C60" s="82"/>
      <c r="D60" s="83">
        <f>SUM(D58:D59)</f>
        <v>0</v>
      </c>
      <c r="E60" s="83">
        <f>SUM(E58:E59)</f>
        <v>0</v>
      </c>
      <c r="F60" s="83">
        <f>SUM(F58:F59)</f>
        <v>0</v>
      </c>
      <c r="G60" s="83">
        <f>SUM(G58:G59)</f>
        <v>0</v>
      </c>
    </row>
    <row r="61" spans="1:15" ht="3" customHeight="1" x14ac:dyDescent="0.4">
      <c r="D61" s="82"/>
      <c r="E61" s="82"/>
      <c r="F61" s="82"/>
      <c r="G61" s="82"/>
    </row>
    <row r="62" spans="1:15" x14ac:dyDescent="0.35">
      <c r="A62" t="s">
        <v>161</v>
      </c>
      <c r="D62" s="83">
        <f>+D12+D20+D28+D36+D44+D52+D60</f>
        <v>0</v>
      </c>
      <c r="E62" s="83">
        <f>+E12+E20+E28+E36+E44+E52+E60</f>
        <v>0</v>
      </c>
      <c r="F62" s="83">
        <f>+F12+F20+F28+F36+F44+F52+F60</f>
        <v>0</v>
      </c>
      <c r="G62" s="83">
        <f>+G12+G20+G28+G36+G44+G52+G60</f>
        <v>0</v>
      </c>
    </row>
    <row r="63" spans="1:15" ht="3" customHeight="1" x14ac:dyDescent="0.4">
      <c r="D63" s="82"/>
      <c r="E63" s="82"/>
      <c r="F63" s="82"/>
      <c r="G63" s="82"/>
    </row>
    <row r="64" spans="1:15" ht="13.15" thickBot="1" x14ac:dyDescent="0.4">
      <c r="A64" t="s">
        <v>180</v>
      </c>
      <c r="D64" s="34">
        <f>+D12+D60</f>
        <v>0</v>
      </c>
      <c r="E64" s="34">
        <f>+E12+E60</f>
        <v>0</v>
      </c>
      <c r="F64" s="34">
        <f>+F12+F60</f>
        <v>0</v>
      </c>
      <c r="G64" s="34">
        <f>+G12+G60</f>
        <v>0</v>
      </c>
    </row>
    <row r="65" ht="13.15" thickTop="1" x14ac:dyDescent="0.35"/>
  </sheetData>
  <mergeCells count="7">
    <mergeCell ref="A53:C53"/>
    <mergeCell ref="A45:C45"/>
    <mergeCell ref="A5:C5"/>
    <mergeCell ref="A13:C13"/>
    <mergeCell ref="A21:C21"/>
    <mergeCell ref="A29:C29"/>
    <mergeCell ref="A37:C37"/>
  </mergeCells>
  <pageMargins left="0.70866141732283472" right="0.70866141732283472" top="1.5748031496062993" bottom="0.78740157480314965" header="0.31496062992125984" footer="0.31496062992125984"/>
  <pageSetup paperSize="9" scale="76" orientation="portrait" r:id="rId1"/>
  <headerFooter>
    <oddHeader>&amp;L&amp;G&amp;R&amp;"Arial,Fett"&amp;12IHK Köln - das Gründungstool&amp;"Arial,Standard"&amp;10
&amp;A</oddHeader>
    <oddFooter>&amp;L&amp;Z&amp;F\&amp;A\&amp;D\&amp;T&amp;RRelease 3.5</oddFooter>
  </headerFooter>
  <legacyDrawing r:id="rId2"/>
  <legacyDrawingHF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R23"/>
  <sheetViews>
    <sheetView zoomScale="190" zoomScaleNormal="190" workbookViewId="0">
      <selection activeCell="A17" sqref="A17"/>
    </sheetView>
  </sheetViews>
  <sheetFormatPr baseColWidth="10" defaultColWidth="11.59765625" defaultRowHeight="12.75" x14ac:dyDescent="0.35"/>
  <cols>
    <col min="1" max="2" width="11.1328125" customWidth="1"/>
    <col min="3" max="4" width="10.59765625" hidden="1" customWidth="1"/>
    <col min="5" max="5" width="0.73046875" hidden="1" customWidth="1"/>
    <col min="6" max="6" width="4.1328125" customWidth="1"/>
    <col min="7" max="7" width="7.86328125" customWidth="1"/>
    <col min="8" max="8" width="6.265625" customWidth="1"/>
    <col min="9" max="9" width="7.86328125" customWidth="1"/>
    <col min="10" max="10" width="6.265625" customWidth="1"/>
    <col min="11" max="11" width="8.1328125" customWidth="1"/>
    <col min="12" max="12" width="11.59765625" customWidth="1"/>
    <col min="13" max="13" width="54.59765625" customWidth="1"/>
    <col min="14" max="23" width="11.59765625" customWidth="1"/>
    <col min="263" max="264" width="8.59765625" customWidth="1"/>
    <col min="265" max="265" width="9.1328125" customWidth="1"/>
    <col min="266" max="266" width="10.86328125" customWidth="1"/>
    <col min="267" max="267" width="11.59765625" customWidth="1"/>
    <col min="268" max="269" width="8.73046875" customWidth="1"/>
    <col min="270" max="270" width="10" customWidth="1"/>
    <col min="271" max="271" width="7.265625" bestFit="1" customWidth="1"/>
    <col min="272" max="275" width="12.3984375" customWidth="1"/>
    <col min="276" max="276" width="3.73046875" bestFit="1" customWidth="1"/>
    <col min="277" max="277" width="7.1328125" bestFit="1" customWidth="1"/>
    <col min="519" max="520" width="8.59765625" customWidth="1"/>
    <col min="521" max="521" width="9.1328125" customWidth="1"/>
    <col min="522" max="522" width="10.86328125" customWidth="1"/>
    <col min="523" max="523" width="11.59765625" customWidth="1"/>
    <col min="524" max="525" width="8.73046875" customWidth="1"/>
    <col min="526" max="526" width="10" customWidth="1"/>
    <col min="527" max="527" width="7.265625" bestFit="1" customWidth="1"/>
    <col min="528" max="531" width="12.3984375" customWidth="1"/>
    <col min="532" max="532" width="3.73046875" bestFit="1" customWidth="1"/>
    <col min="533" max="533" width="7.1328125" bestFit="1" customWidth="1"/>
    <col min="775" max="776" width="8.59765625" customWidth="1"/>
    <col min="777" max="777" width="9.1328125" customWidth="1"/>
    <col min="778" max="778" width="10.86328125" customWidth="1"/>
    <col min="779" max="779" width="11.59765625" customWidth="1"/>
    <col min="780" max="781" width="8.73046875" customWidth="1"/>
    <col min="782" max="782" width="10" customWidth="1"/>
    <col min="783" max="783" width="7.265625" bestFit="1" customWidth="1"/>
    <col min="784" max="787" width="12.3984375" customWidth="1"/>
    <col min="788" max="788" width="3.73046875" bestFit="1" customWidth="1"/>
    <col min="789" max="789" width="7.1328125" bestFit="1" customWidth="1"/>
    <col min="1031" max="1032" width="8.59765625" customWidth="1"/>
    <col min="1033" max="1033" width="9.1328125" customWidth="1"/>
    <col min="1034" max="1034" width="10.86328125" customWidth="1"/>
    <col min="1035" max="1035" width="11.59765625" customWidth="1"/>
    <col min="1036" max="1037" width="8.73046875" customWidth="1"/>
    <col min="1038" max="1038" width="10" customWidth="1"/>
    <col min="1039" max="1039" width="7.265625" bestFit="1" customWidth="1"/>
    <col min="1040" max="1043" width="12.3984375" customWidth="1"/>
    <col min="1044" max="1044" width="3.73046875" bestFit="1" customWidth="1"/>
    <col min="1045" max="1045" width="7.1328125" bestFit="1" customWidth="1"/>
    <col min="1287" max="1288" width="8.59765625" customWidth="1"/>
    <col min="1289" max="1289" width="9.1328125" customWidth="1"/>
    <col min="1290" max="1290" width="10.86328125" customWidth="1"/>
    <col min="1291" max="1291" width="11.59765625" customWidth="1"/>
    <col min="1292" max="1293" width="8.73046875" customWidth="1"/>
    <col min="1294" max="1294" width="10" customWidth="1"/>
    <col min="1295" max="1295" width="7.265625" bestFit="1" customWidth="1"/>
    <col min="1296" max="1299" width="12.3984375" customWidth="1"/>
    <col min="1300" max="1300" width="3.73046875" bestFit="1" customWidth="1"/>
    <col min="1301" max="1301" width="7.1328125" bestFit="1" customWidth="1"/>
    <col min="1543" max="1544" width="8.59765625" customWidth="1"/>
    <col min="1545" max="1545" width="9.1328125" customWidth="1"/>
    <col min="1546" max="1546" width="10.86328125" customWidth="1"/>
    <col min="1547" max="1547" width="11.59765625" customWidth="1"/>
    <col min="1548" max="1549" width="8.73046875" customWidth="1"/>
    <col min="1550" max="1550" width="10" customWidth="1"/>
    <col min="1551" max="1551" width="7.265625" bestFit="1" customWidth="1"/>
    <col min="1552" max="1555" width="12.3984375" customWidth="1"/>
    <col min="1556" max="1556" width="3.73046875" bestFit="1" customWidth="1"/>
    <col min="1557" max="1557" width="7.1328125" bestFit="1" customWidth="1"/>
    <col min="1799" max="1800" width="8.59765625" customWidth="1"/>
    <col min="1801" max="1801" width="9.1328125" customWidth="1"/>
    <col min="1802" max="1802" width="10.86328125" customWidth="1"/>
    <col min="1803" max="1803" width="11.59765625" customWidth="1"/>
    <col min="1804" max="1805" width="8.73046875" customWidth="1"/>
    <col min="1806" max="1806" width="10" customWidth="1"/>
    <col min="1807" max="1807" width="7.265625" bestFit="1" customWidth="1"/>
    <col min="1808" max="1811" width="12.3984375" customWidth="1"/>
    <col min="1812" max="1812" width="3.73046875" bestFit="1" customWidth="1"/>
    <col min="1813" max="1813" width="7.1328125" bestFit="1" customWidth="1"/>
    <col min="2055" max="2056" width="8.59765625" customWidth="1"/>
    <col min="2057" max="2057" width="9.1328125" customWidth="1"/>
    <col min="2058" max="2058" width="10.86328125" customWidth="1"/>
    <col min="2059" max="2059" width="11.59765625" customWidth="1"/>
    <col min="2060" max="2061" width="8.73046875" customWidth="1"/>
    <col min="2062" max="2062" width="10" customWidth="1"/>
    <col min="2063" max="2063" width="7.265625" bestFit="1" customWidth="1"/>
    <col min="2064" max="2067" width="12.3984375" customWidth="1"/>
    <col min="2068" max="2068" width="3.73046875" bestFit="1" customWidth="1"/>
    <col min="2069" max="2069" width="7.1328125" bestFit="1" customWidth="1"/>
    <col min="2311" max="2312" width="8.59765625" customWidth="1"/>
    <col min="2313" max="2313" width="9.1328125" customWidth="1"/>
    <col min="2314" max="2314" width="10.86328125" customWidth="1"/>
    <col min="2315" max="2315" width="11.59765625" customWidth="1"/>
    <col min="2316" max="2317" width="8.73046875" customWidth="1"/>
    <col min="2318" max="2318" width="10" customWidth="1"/>
    <col min="2319" max="2319" width="7.265625" bestFit="1" customWidth="1"/>
    <col min="2320" max="2323" width="12.3984375" customWidth="1"/>
    <col min="2324" max="2324" width="3.73046875" bestFit="1" customWidth="1"/>
    <col min="2325" max="2325" width="7.1328125" bestFit="1" customWidth="1"/>
    <col min="2567" max="2568" width="8.59765625" customWidth="1"/>
    <col min="2569" max="2569" width="9.1328125" customWidth="1"/>
    <col min="2570" max="2570" width="10.86328125" customWidth="1"/>
    <col min="2571" max="2571" width="11.59765625" customWidth="1"/>
    <col min="2572" max="2573" width="8.73046875" customWidth="1"/>
    <col min="2574" max="2574" width="10" customWidth="1"/>
    <col min="2575" max="2575" width="7.265625" bestFit="1" customWidth="1"/>
    <col min="2576" max="2579" width="12.3984375" customWidth="1"/>
    <col min="2580" max="2580" width="3.73046875" bestFit="1" customWidth="1"/>
    <col min="2581" max="2581" width="7.1328125" bestFit="1" customWidth="1"/>
    <col min="2823" max="2824" width="8.59765625" customWidth="1"/>
    <col min="2825" max="2825" width="9.1328125" customWidth="1"/>
    <col min="2826" max="2826" width="10.86328125" customWidth="1"/>
    <col min="2827" max="2827" width="11.59765625" customWidth="1"/>
    <col min="2828" max="2829" width="8.73046875" customWidth="1"/>
    <col min="2830" max="2830" width="10" customWidth="1"/>
    <col min="2831" max="2831" width="7.265625" bestFit="1" customWidth="1"/>
    <col min="2832" max="2835" width="12.3984375" customWidth="1"/>
    <col min="2836" max="2836" width="3.73046875" bestFit="1" customWidth="1"/>
    <col min="2837" max="2837" width="7.1328125" bestFit="1" customWidth="1"/>
    <col min="3079" max="3080" width="8.59765625" customWidth="1"/>
    <col min="3081" max="3081" width="9.1328125" customWidth="1"/>
    <col min="3082" max="3082" width="10.86328125" customWidth="1"/>
    <col min="3083" max="3083" width="11.59765625" customWidth="1"/>
    <col min="3084" max="3085" width="8.73046875" customWidth="1"/>
    <col min="3086" max="3086" width="10" customWidth="1"/>
    <col min="3087" max="3087" width="7.265625" bestFit="1" customWidth="1"/>
    <col min="3088" max="3091" width="12.3984375" customWidth="1"/>
    <col min="3092" max="3092" width="3.73046875" bestFit="1" customWidth="1"/>
    <col min="3093" max="3093" width="7.1328125" bestFit="1" customWidth="1"/>
    <col min="3335" max="3336" width="8.59765625" customWidth="1"/>
    <col min="3337" max="3337" width="9.1328125" customWidth="1"/>
    <col min="3338" max="3338" width="10.86328125" customWidth="1"/>
    <col min="3339" max="3339" width="11.59765625" customWidth="1"/>
    <col min="3340" max="3341" width="8.73046875" customWidth="1"/>
    <col min="3342" max="3342" width="10" customWidth="1"/>
    <col min="3343" max="3343" width="7.265625" bestFit="1" customWidth="1"/>
    <col min="3344" max="3347" width="12.3984375" customWidth="1"/>
    <col min="3348" max="3348" width="3.73046875" bestFit="1" customWidth="1"/>
    <col min="3349" max="3349" width="7.1328125" bestFit="1" customWidth="1"/>
    <col min="3591" max="3592" width="8.59765625" customWidth="1"/>
    <col min="3593" max="3593" width="9.1328125" customWidth="1"/>
    <col min="3594" max="3594" width="10.86328125" customWidth="1"/>
    <col min="3595" max="3595" width="11.59765625" customWidth="1"/>
    <col min="3596" max="3597" width="8.73046875" customWidth="1"/>
    <col min="3598" max="3598" width="10" customWidth="1"/>
    <col min="3599" max="3599" width="7.265625" bestFit="1" customWidth="1"/>
    <col min="3600" max="3603" width="12.3984375" customWidth="1"/>
    <col min="3604" max="3604" width="3.73046875" bestFit="1" customWidth="1"/>
    <col min="3605" max="3605" width="7.1328125" bestFit="1" customWidth="1"/>
    <col min="3847" max="3848" width="8.59765625" customWidth="1"/>
    <col min="3849" max="3849" width="9.1328125" customWidth="1"/>
    <col min="3850" max="3850" width="10.86328125" customWidth="1"/>
    <col min="3851" max="3851" width="11.59765625" customWidth="1"/>
    <col min="3852" max="3853" width="8.73046875" customWidth="1"/>
    <col min="3854" max="3854" width="10" customWidth="1"/>
    <col min="3855" max="3855" width="7.265625" bestFit="1" customWidth="1"/>
    <col min="3856" max="3859" width="12.3984375" customWidth="1"/>
    <col min="3860" max="3860" width="3.73046875" bestFit="1" customWidth="1"/>
    <col min="3861" max="3861" width="7.1328125" bestFit="1" customWidth="1"/>
    <col min="4103" max="4104" width="8.59765625" customWidth="1"/>
    <col min="4105" max="4105" width="9.1328125" customWidth="1"/>
    <col min="4106" max="4106" width="10.86328125" customWidth="1"/>
    <col min="4107" max="4107" width="11.59765625" customWidth="1"/>
    <col min="4108" max="4109" width="8.73046875" customWidth="1"/>
    <col min="4110" max="4110" width="10" customWidth="1"/>
    <col min="4111" max="4111" width="7.265625" bestFit="1" customWidth="1"/>
    <col min="4112" max="4115" width="12.3984375" customWidth="1"/>
    <col min="4116" max="4116" width="3.73046875" bestFit="1" customWidth="1"/>
    <col min="4117" max="4117" width="7.1328125" bestFit="1" customWidth="1"/>
    <col min="4359" max="4360" width="8.59765625" customWidth="1"/>
    <col min="4361" max="4361" width="9.1328125" customWidth="1"/>
    <col min="4362" max="4362" width="10.86328125" customWidth="1"/>
    <col min="4363" max="4363" width="11.59765625" customWidth="1"/>
    <col min="4364" max="4365" width="8.73046875" customWidth="1"/>
    <col min="4366" max="4366" width="10" customWidth="1"/>
    <col min="4367" max="4367" width="7.265625" bestFit="1" customWidth="1"/>
    <col min="4368" max="4371" width="12.3984375" customWidth="1"/>
    <col min="4372" max="4372" width="3.73046875" bestFit="1" customWidth="1"/>
    <col min="4373" max="4373" width="7.1328125" bestFit="1" customWidth="1"/>
    <col min="4615" max="4616" width="8.59765625" customWidth="1"/>
    <col min="4617" max="4617" width="9.1328125" customWidth="1"/>
    <col min="4618" max="4618" width="10.86328125" customWidth="1"/>
    <col min="4619" max="4619" width="11.59765625" customWidth="1"/>
    <col min="4620" max="4621" width="8.73046875" customWidth="1"/>
    <col min="4622" max="4622" width="10" customWidth="1"/>
    <col min="4623" max="4623" width="7.265625" bestFit="1" customWidth="1"/>
    <col min="4624" max="4627" width="12.3984375" customWidth="1"/>
    <col min="4628" max="4628" width="3.73046875" bestFit="1" customWidth="1"/>
    <col min="4629" max="4629" width="7.1328125" bestFit="1" customWidth="1"/>
    <col min="4871" max="4872" width="8.59765625" customWidth="1"/>
    <col min="4873" max="4873" width="9.1328125" customWidth="1"/>
    <col min="4874" max="4874" width="10.86328125" customWidth="1"/>
    <col min="4875" max="4875" width="11.59765625" customWidth="1"/>
    <col min="4876" max="4877" width="8.73046875" customWidth="1"/>
    <col min="4878" max="4878" width="10" customWidth="1"/>
    <col min="4879" max="4879" width="7.265625" bestFit="1" customWidth="1"/>
    <col min="4880" max="4883" width="12.3984375" customWidth="1"/>
    <col min="4884" max="4884" width="3.73046875" bestFit="1" customWidth="1"/>
    <col min="4885" max="4885" width="7.1328125" bestFit="1" customWidth="1"/>
    <col min="5127" max="5128" width="8.59765625" customWidth="1"/>
    <col min="5129" max="5129" width="9.1328125" customWidth="1"/>
    <col min="5130" max="5130" width="10.86328125" customWidth="1"/>
    <col min="5131" max="5131" width="11.59765625" customWidth="1"/>
    <col min="5132" max="5133" width="8.73046875" customWidth="1"/>
    <col min="5134" max="5134" width="10" customWidth="1"/>
    <col min="5135" max="5135" width="7.265625" bestFit="1" customWidth="1"/>
    <col min="5136" max="5139" width="12.3984375" customWidth="1"/>
    <col min="5140" max="5140" width="3.73046875" bestFit="1" customWidth="1"/>
    <col min="5141" max="5141" width="7.1328125" bestFit="1" customWidth="1"/>
    <col min="5383" max="5384" width="8.59765625" customWidth="1"/>
    <col min="5385" max="5385" width="9.1328125" customWidth="1"/>
    <col min="5386" max="5386" width="10.86328125" customWidth="1"/>
    <col min="5387" max="5387" width="11.59765625" customWidth="1"/>
    <col min="5388" max="5389" width="8.73046875" customWidth="1"/>
    <col min="5390" max="5390" width="10" customWidth="1"/>
    <col min="5391" max="5391" width="7.265625" bestFit="1" customWidth="1"/>
    <col min="5392" max="5395" width="12.3984375" customWidth="1"/>
    <col min="5396" max="5396" width="3.73046875" bestFit="1" customWidth="1"/>
    <col min="5397" max="5397" width="7.1328125" bestFit="1" customWidth="1"/>
    <col min="5639" max="5640" width="8.59765625" customWidth="1"/>
    <col min="5641" max="5641" width="9.1328125" customWidth="1"/>
    <col min="5642" max="5642" width="10.86328125" customWidth="1"/>
    <col min="5643" max="5643" width="11.59765625" customWidth="1"/>
    <col min="5644" max="5645" width="8.73046875" customWidth="1"/>
    <col min="5646" max="5646" width="10" customWidth="1"/>
    <col min="5647" max="5647" width="7.265625" bestFit="1" customWidth="1"/>
    <col min="5648" max="5651" width="12.3984375" customWidth="1"/>
    <col min="5652" max="5652" width="3.73046875" bestFit="1" customWidth="1"/>
    <col min="5653" max="5653" width="7.1328125" bestFit="1" customWidth="1"/>
    <col min="5895" max="5896" width="8.59765625" customWidth="1"/>
    <col min="5897" max="5897" width="9.1328125" customWidth="1"/>
    <col min="5898" max="5898" width="10.86328125" customWidth="1"/>
    <col min="5899" max="5899" width="11.59765625" customWidth="1"/>
    <col min="5900" max="5901" width="8.73046875" customWidth="1"/>
    <col min="5902" max="5902" width="10" customWidth="1"/>
    <col min="5903" max="5903" width="7.265625" bestFit="1" customWidth="1"/>
    <col min="5904" max="5907" width="12.3984375" customWidth="1"/>
    <col min="5908" max="5908" width="3.73046875" bestFit="1" customWidth="1"/>
    <col min="5909" max="5909" width="7.1328125" bestFit="1" customWidth="1"/>
    <col min="6151" max="6152" width="8.59765625" customWidth="1"/>
    <col min="6153" max="6153" width="9.1328125" customWidth="1"/>
    <col min="6154" max="6154" width="10.86328125" customWidth="1"/>
    <col min="6155" max="6155" width="11.59765625" customWidth="1"/>
    <col min="6156" max="6157" width="8.73046875" customWidth="1"/>
    <col min="6158" max="6158" width="10" customWidth="1"/>
    <col min="6159" max="6159" width="7.265625" bestFit="1" customWidth="1"/>
    <col min="6160" max="6163" width="12.3984375" customWidth="1"/>
    <col min="6164" max="6164" width="3.73046875" bestFit="1" customWidth="1"/>
    <col min="6165" max="6165" width="7.1328125" bestFit="1" customWidth="1"/>
    <col min="6407" max="6408" width="8.59765625" customWidth="1"/>
    <col min="6409" max="6409" width="9.1328125" customWidth="1"/>
    <col min="6410" max="6410" width="10.86328125" customWidth="1"/>
    <col min="6411" max="6411" width="11.59765625" customWidth="1"/>
    <col min="6412" max="6413" width="8.73046875" customWidth="1"/>
    <col min="6414" max="6414" width="10" customWidth="1"/>
    <col min="6415" max="6415" width="7.265625" bestFit="1" customWidth="1"/>
    <col min="6416" max="6419" width="12.3984375" customWidth="1"/>
    <col min="6420" max="6420" width="3.73046875" bestFit="1" customWidth="1"/>
    <col min="6421" max="6421" width="7.1328125" bestFit="1" customWidth="1"/>
    <col min="6663" max="6664" width="8.59765625" customWidth="1"/>
    <col min="6665" max="6665" width="9.1328125" customWidth="1"/>
    <col min="6666" max="6666" width="10.86328125" customWidth="1"/>
    <col min="6667" max="6667" width="11.59765625" customWidth="1"/>
    <col min="6668" max="6669" width="8.73046875" customWidth="1"/>
    <col min="6670" max="6670" width="10" customWidth="1"/>
    <col min="6671" max="6671" width="7.265625" bestFit="1" customWidth="1"/>
    <col min="6672" max="6675" width="12.3984375" customWidth="1"/>
    <col min="6676" max="6676" width="3.73046875" bestFit="1" customWidth="1"/>
    <col min="6677" max="6677" width="7.1328125" bestFit="1" customWidth="1"/>
    <col min="6919" max="6920" width="8.59765625" customWidth="1"/>
    <col min="6921" max="6921" width="9.1328125" customWidth="1"/>
    <col min="6922" max="6922" width="10.86328125" customWidth="1"/>
    <col min="6923" max="6923" width="11.59765625" customWidth="1"/>
    <col min="6924" max="6925" width="8.73046875" customWidth="1"/>
    <col min="6926" max="6926" width="10" customWidth="1"/>
    <col min="6927" max="6927" width="7.265625" bestFit="1" customWidth="1"/>
    <col min="6928" max="6931" width="12.3984375" customWidth="1"/>
    <col min="6932" max="6932" width="3.73046875" bestFit="1" customWidth="1"/>
    <col min="6933" max="6933" width="7.1328125" bestFit="1" customWidth="1"/>
    <col min="7175" max="7176" width="8.59765625" customWidth="1"/>
    <col min="7177" max="7177" width="9.1328125" customWidth="1"/>
    <col min="7178" max="7178" width="10.86328125" customWidth="1"/>
    <col min="7179" max="7179" width="11.59765625" customWidth="1"/>
    <col min="7180" max="7181" width="8.73046875" customWidth="1"/>
    <col min="7182" max="7182" width="10" customWidth="1"/>
    <col min="7183" max="7183" width="7.265625" bestFit="1" customWidth="1"/>
    <col min="7184" max="7187" width="12.3984375" customWidth="1"/>
    <col min="7188" max="7188" width="3.73046875" bestFit="1" customWidth="1"/>
    <col min="7189" max="7189" width="7.1328125" bestFit="1" customWidth="1"/>
    <col min="7431" max="7432" width="8.59765625" customWidth="1"/>
    <col min="7433" max="7433" width="9.1328125" customWidth="1"/>
    <col min="7434" max="7434" width="10.86328125" customWidth="1"/>
    <col min="7435" max="7435" width="11.59765625" customWidth="1"/>
    <col min="7436" max="7437" width="8.73046875" customWidth="1"/>
    <col min="7438" max="7438" width="10" customWidth="1"/>
    <col min="7439" max="7439" width="7.265625" bestFit="1" customWidth="1"/>
    <col min="7440" max="7443" width="12.3984375" customWidth="1"/>
    <col min="7444" max="7444" width="3.73046875" bestFit="1" customWidth="1"/>
    <col min="7445" max="7445" width="7.1328125" bestFit="1" customWidth="1"/>
    <col min="7687" max="7688" width="8.59765625" customWidth="1"/>
    <col min="7689" max="7689" width="9.1328125" customWidth="1"/>
    <col min="7690" max="7690" width="10.86328125" customWidth="1"/>
    <col min="7691" max="7691" width="11.59765625" customWidth="1"/>
    <col min="7692" max="7693" width="8.73046875" customWidth="1"/>
    <col min="7694" max="7694" width="10" customWidth="1"/>
    <col min="7695" max="7695" width="7.265625" bestFit="1" customWidth="1"/>
    <col min="7696" max="7699" width="12.3984375" customWidth="1"/>
    <col min="7700" max="7700" width="3.73046875" bestFit="1" customWidth="1"/>
    <col min="7701" max="7701" width="7.1328125" bestFit="1" customWidth="1"/>
    <col min="7943" max="7944" width="8.59765625" customWidth="1"/>
    <col min="7945" max="7945" width="9.1328125" customWidth="1"/>
    <col min="7946" max="7946" width="10.86328125" customWidth="1"/>
    <col min="7947" max="7947" width="11.59765625" customWidth="1"/>
    <col min="7948" max="7949" width="8.73046875" customWidth="1"/>
    <col min="7950" max="7950" width="10" customWidth="1"/>
    <col min="7951" max="7951" width="7.265625" bestFit="1" customWidth="1"/>
    <col min="7952" max="7955" width="12.3984375" customWidth="1"/>
    <col min="7956" max="7956" width="3.73046875" bestFit="1" customWidth="1"/>
    <col min="7957" max="7957" width="7.1328125" bestFit="1" customWidth="1"/>
    <col min="8199" max="8200" width="8.59765625" customWidth="1"/>
    <col min="8201" max="8201" width="9.1328125" customWidth="1"/>
    <col min="8202" max="8202" width="10.86328125" customWidth="1"/>
    <col min="8203" max="8203" width="11.59765625" customWidth="1"/>
    <col min="8204" max="8205" width="8.73046875" customWidth="1"/>
    <col min="8206" max="8206" width="10" customWidth="1"/>
    <col min="8207" max="8207" width="7.265625" bestFit="1" customWidth="1"/>
    <col min="8208" max="8211" width="12.3984375" customWidth="1"/>
    <col min="8212" max="8212" width="3.73046875" bestFit="1" customWidth="1"/>
    <col min="8213" max="8213" width="7.1328125" bestFit="1" customWidth="1"/>
    <col min="8455" max="8456" width="8.59765625" customWidth="1"/>
    <col min="8457" max="8457" width="9.1328125" customWidth="1"/>
    <col min="8458" max="8458" width="10.86328125" customWidth="1"/>
    <col min="8459" max="8459" width="11.59765625" customWidth="1"/>
    <col min="8460" max="8461" width="8.73046875" customWidth="1"/>
    <col min="8462" max="8462" width="10" customWidth="1"/>
    <col min="8463" max="8463" width="7.265625" bestFit="1" customWidth="1"/>
    <col min="8464" max="8467" width="12.3984375" customWidth="1"/>
    <col min="8468" max="8468" width="3.73046875" bestFit="1" customWidth="1"/>
    <col min="8469" max="8469" width="7.1328125" bestFit="1" customWidth="1"/>
    <col min="8711" max="8712" width="8.59765625" customWidth="1"/>
    <col min="8713" max="8713" width="9.1328125" customWidth="1"/>
    <col min="8714" max="8714" width="10.86328125" customWidth="1"/>
    <col min="8715" max="8715" width="11.59765625" customWidth="1"/>
    <col min="8716" max="8717" width="8.73046875" customWidth="1"/>
    <col min="8718" max="8718" width="10" customWidth="1"/>
    <col min="8719" max="8719" width="7.265625" bestFit="1" customWidth="1"/>
    <col min="8720" max="8723" width="12.3984375" customWidth="1"/>
    <col min="8724" max="8724" width="3.73046875" bestFit="1" customWidth="1"/>
    <col min="8725" max="8725" width="7.1328125" bestFit="1" customWidth="1"/>
    <col min="8967" max="8968" width="8.59765625" customWidth="1"/>
    <col min="8969" max="8969" width="9.1328125" customWidth="1"/>
    <col min="8970" max="8970" width="10.86328125" customWidth="1"/>
    <col min="8971" max="8971" width="11.59765625" customWidth="1"/>
    <col min="8972" max="8973" width="8.73046875" customWidth="1"/>
    <col min="8974" max="8974" width="10" customWidth="1"/>
    <col min="8975" max="8975" width="7.265625" bestFit="1" customWidth="1"/>
    <col min="8976" max="8979" width="12.3984375" customWidth="1"/>
    <col min="8980" max="8980" width="3.73046875" bestFit="1" customWidth="1"/>
    <col min="8981" max="8981" width="7.1328125" bestFit="1" customWidth="1"/>
    <col min="9223" max="9224" width="8.59765625" customWidth="1"/>
    <col min="9225" max="9225" width="9.1328125" customWidth="1"/>
    <col min="9226" max="9226" width="10.86328125" customWidth="1"/>
    <col min="9227" max="9227" width="11.59765625" customWidth="1"/>
    <col min="9228" max="9229" width="8.73046875" customWidth="1"/>
    <col min="9230" max="9230" width="10" customWidth="1"/>
    <col min="9231" max="9231" width="7.265625" bestFit="1" customWidth="1"/>
    <col min="9232" max="9235" width="12.3984375" customWidth="1"/>
    <col min="9236" max="9236" width="3.73046875" bestFit="1" customWidth="1"/>
    <col min="9237" max="9237" width="7.1328125" bestFit="1" customWidth="1"/>
    <col min="9479" max="9480" width="8.59765625" customWidth="1"/>
    <col min="9481" max="9481" width="9.1328125" customWidth="1"/>
    <col min="9482" max="9482" width="10.86328125" customWidth="1"/>
    <col min="9483" max="9483" width="11.59765625" customWidth="1"/>
    <col min="9484" max="9485" width="8.73046875" customWidth="1"/>
    <col min="9486" max="9486" width="10" customWidth="1"/>
    <col min="9487" max="9487" width="7.265625" bestFit="1" customWidth="1"/>
    <col min="9488" max="9491" width="12.3984375" customWidth="1"/>
    <col min="9492" max="9492" width="3.73046875" bestFit="1" customWidth="1"/>
    <col min="9493" max="9493" width="7.1328125" bestFit="1" customWidth="1"/>
    <col min="9735" max="9736" width="8.59765625" customWidth="1"/>
    <col min="9737" max="9737" width="9.1328125" customWidth="1"/>
    <col min="9738" max="9738" width="10.86328125" customWidth="1"/>
    <col min="9739" max="9739" width="11.59765625" customWidth="1"/>
    <col min="9740" max="9741" width="8.73046875" customWidth="1"/>
    <col min="9742" max="9742" width="10" customWidth="1"/>
    <col min="9743" max="9743" width="7.265625" bestFit="1" customWidth="1"/>
    <col min="9744" max="9747" width="12.3984375" customWidth="1"/>
    <col min="9748" max="9748" width="3.73046875" bestFit="1" customWidth="1"/>
    <col min="9749" max="9749" width="7.1328125" bestFit="1" customWidth="1"/>
    <col min="9991" max="9992" width="8.59765625" customWidth="1"/>
    <col min="9993" max="9993" width="9.1328125" customWidth="1"/>
    <col min="9994" max="9994" width="10.86328125" customWidth="1"/>
    <col min="9995" max="9995" width="11.59765625" customWidth="1"/>
    <col min="9996" max="9997" width="8.73046875" customWidth="1"/>
    <col min="9998" max="9998" width="10" customWidth="1"/>
    <col min="9999" max="9999" width="7.265625" bestFit="1" customWidth="1"/>
    <col min="10000" max="10003" width="12.3984375" customWidth="1"/>
    <col min="10004" max="10004" width="3.73046875" bestFit="1" customWidth="1"/>
    <col min="10005" max="10005" width="7.1328125" bestFit="1" customWidth="1"/>
    <col min="10247" max="10248" width="8.59765625" customWidth="1"/>
    <col min="10249" max="10249" width="9.1328125" customWidth="1"/>
    <col min="10250" max="10250" width="10.86328125" customWidth="1"/>
    <col min="10251" max="10251" width="11.59765625" customWidth="1"/>
    <col min="10252" max="10253" width="8.73046875" customWidth="1"/>
    <col min="10254" max="10254" width="10" customWidth="1"/>
    <col min="10255" max="10255" width="7.265625" bestFit="1" customWidth="1"/>
    <col min="10256" max="10259" width="12.3984375" customWidth="1"/>
    <col min="10260" max="10260" width="3.73046875" bestFit="1" customWidth="1"/>
    <col min="10261" max="10261" width="7.1328125" bestFit="1" customWidth="1"/>
    <col min="10503" max="10504" width="8.59765625" customWidth="1"/>
    <col min="10505" max="10505" width="9.1328125" customWidth="1"/>
    <col min="10506" max="10506" width="10.86328125" customWidth="1"/>
    <col min="10507" max="10507" width="11.59765625" customWidth="1"/>
    <col min="10508" max="10509" width="8.73046875" customWidth="1"/>
    <col min="10510" max="10510" width="10" customWidth="1"/>
    <col min="10511" max="10511" width="7.265625" bestFit="1" customWidth="1"/>
    <col min="10512" max="10515" width="12.3984375" customWidth="1"/>
    <col min="10516" max="10516" width="3.73046875" bestFit="1" customWidth="1"/>
    <col min="10517" max="10517" width="7.1328125" bestFit="1" customWidth="1"/>
    <col min="10759" max="10760" width="8.59765625" customWidth="1"/>
    <col min="10761" max="10761" width="9.1328125" customWidth="1"/>
    <col min="10762" max="10762" width="10.86328125" customWidth="1"/>
    <col min="10763" max="10763" width="11.59765625" customWidth="1"/>
    <col min="10764" max="10765" width="8.73046875" customWidth="1"/>
    <col min="10766" max="10766" width="10" customWidth="1"/>
    <col min="10767" max="10767" width="7.265625" bestFit="1" customWidth="1"/>
    <col min="10768" max="10771" width="12.3984375" customWidth="1"/>
    <col min="10772" max="10772" width="3.73046875" bestFit="1" customWidth="1"/>
    <col min="10773" max="10773" width="7.1328125" bestFit="1" customWidth="1"/>
    <col min="11015" max="11016" width="8.59765625" customWidth="1"/>
    <col min="11017" max="11017" width="9.1328125" customWidth="1"/>
    <col min="11018" max="11018" width="10.86328125" customWidth="1"/>
    <col min="11019" max="11019" width="11.59765625" customWidth="1"/>
    <col min="11020" max="11021" width="8.73046875" customWidth="1"/>
    <col min="11022" max="11022" width="10" customWidth="1"/>
    <col min="11023" max="11023" width="7.265625" bestFit="1" customWidth="1"/>
    <col min="11024" max="11027" width="12.3984375" customWidth="1"/>
    <col min="11028" max="11028" width="3.73046875" bestFit="1" customWidth="1"/>
    <col min="11029" max="11029" width="7.1328125" bestFit="1" customWidth="1"/>
    <col min="11271" max="11272" width="8.59765625" customWidth="1"/>
    <col min="11273" max="11273" width="9.1328125" customWidth="1"/>
    <col min="11274" max="11274" width="10.86328125" customWidth="1"/>
    <col min="11275" max="11275" width="11.59765625" customWidth="1"/>
    <col min="11276" max="11277" width="8.73046875" customWidth="1"/>
    <col min="11278" max="11278" width="10" customWidth="1"/>
    <col min="11279" max="11279" width="7.265625" bestFit="1" customWidth="1"/>
    <col min="11280" max="11283" width="12.3984375" customWidth="1"/>
    <col min="11284" max="11284" width="3.73046875" bestFit="1" customWidth="1"/>
    <col min="11285" max="11285" width="7.1328125" bestFit="1" customWidth="1"/>
    <col min="11527" max="11528" width="8.59765625" customWidth="1"/>
    <col min="11529" max="11529" width="9.1328125" customWidth="1"/>
    <col min="11530" max="11530" width="10.86328125" customWidth="1"/>
    <col min="11531" max="11531" width="11.59765625" customWidth="1"/>
    <col min="11532" max="11533" width="8.73046875" customWidth="1"/>
    <col min="11534" max="11534" width="10" customWidth="1"/>
    <col min="11535" max="11535" width="7.265625" bestFit="1" customWidth="1"/>
    <col min="11536" max="11539" width="12.3984375" customWidth="1"/>
    <col min="11540" max="11540" width="3.73046875" bestFit="1" customWidth="1"/>
    <col min="11541" max="11541" width="7.1328125" bestFit="1" customWidth="1"/>
    <col min="11783" max="11784" width="8.59765625" customWidth="1"/>
    <col min="11785" max="11785" width="9.1328125" customWidth="1"/>
    <col min="11786" max="11786" width="10.86328125" customWidth="1"/>
    <col min="11787" max="11787" width="11.59765625" customWidth="1"/>
    <col min="11788" max="11789" width="8.73046875" customWidth="1"/>
    <col min="11790" max="11790" width="10" customWidth="1"/>
    <col min="11791" max="11791" width="7.265625" bestFit="1" customWidth="1"/>
    <col min="11792" max="11795" width="12.3984375" customWidth="1"/>
    <col min="11796" max="11796" width="3.73046875" bestFit="1" customWidth="1"/>
    <col min="11797" max="11797" width="7.1328125" bestFit="1" customWidth="1"/>
    <col min="12039" max="12040" width="8.59765625" customWidth="1"/>
    <col min="12041" max="12041" width="9.1328125" customWidth="1"/>
    <col min="12042" max="12042" width="10.86328125" customWidth="1"/>
    <col min="12043" max="12043" width="11.59765625" customWidth="1"/>
    <col min="12044" max="12045" width="8.73046875" customWidth="1"/>
    <col min="12046" max="12046" width="10" customWidth="1"/>
    <col min="12047" max="12047" width="7.265625" bestFit="1" customWidth="1"/>
    <col min="12048" max="12051" width="12.3984375" customWidth="1"/>
    <col min="12052" max="12052" width="3.73046875" bestFit="1" customWidth="1"/>
    <col min="12053" max="12053" width="7.1328125" bestFit="1" customWidth="1"/>
    <col min="12295" max="12296" width="8.59765625" customWidth="1"/>
    <col min="12297" max="12297" width="9.1328125" customWidth="1"/>
    <col min="12298" max="12298" width="10.86328125" customWidth="1"/>
    <col min="12299" max="12299" width="11.59765625" customWidth="1"/>
    <col min="12300" max="12301" width="8.73046875" customWidth="1"/>
    <col min="12302" max="12302" width="10" customWidth="1"/>
    <col min="12303" max="12303" width="7.265625" bestFit="1" customWidth="1"/>
    <col min="12304" max="12307" width="12.3984375" customWidth="1"/>
    <col min="12308" max="12308" width="3.73046875" bestFit="1" customWidth="1"/>
    <col min="12309" max="12309" width="7.1328125" bestFit="1" customWidth="1"/>
    <col min="12551" max="12552" width="8.59765625" customWidth="1"/>
    <col min="12553" max="12553" width="9.1328125" customWidth="1"/>
    <col min="12554" max="12554" width="10.86328125" customWidth="1"/>
    <col min="12555" max="12555" width="11.59765625" customWidth="1"/>
    <col min="12556" max="12557" width="8.73046875" customWidth="1"/>
    <col min="12558" max="12558" width="10" customWidth="1"/>
    <col min="12559" max="12559" width="7.265625" bestFit="1" customWidth="1"/>
    <col min="12560" max="12563" width="12.3984375" customWidth="1"/>
    <col min="12564" max="12564" width="3.73046875" bestFit="1" customWidth="1"/>
    <col min="12565" max="12565" width="7.1328125" bestFit="1" customWidth="1"/>
    <col min="12807" max="12808" width="8.59765625" customWidth="1"/>
    <col min="12809" max="12809" width="9.1328125" customWidth="1"/>
    <col min="12810" max="12810" width="10.86328125" customWidth="1"/>
    <col min="12811" max="12811" width="11.59765625" customWidth="1"/>
    <col min="12812" max="12813" width="8.73046875" customWidth="1"/>
    <col min="12814" max="12814" width="10" customWidth="1"/>
    <col min="12815" max="12815" width="7.265625" bestFit="1" customWidth="1"/>
    <col min="12816" max="12819" width="12.3984375" customWidth="1"/>
    <col min="12820" max="12820" width="3.73046875" bestFit="1" customWidth="1"/>
    <col min="12821" max="12821" width="7.1328125" bestFit="1" customWidth="1"/>
    <col min="13063" max="13064" width="8.59765625" customWidth="1"/>
    <col min="13065" max="13065" width="9.1328125" customWidth="1"/>
    <col min="13066" max="13066" width="10.86328125" customWidth="1"/>
    <col min="13067" max="13067" width="11.59765625" customWidth="1"/>
    <col min="13068" max="13069" width="8.73046875" customWidth="1"/>
    <col min="13070" max="13070" width="10" customWidth="1"/>
    <col min="13071" max="13071" width="7.265625" bestFit="1" customWidth="1"/>
    <col min="13072" max="13075" width="12.3984375" customWidth="1"/>
    <col min="13076" max="13076" width="3.73046875" bestFit="1" customWidth="1"/>
    <col min="13077" max="13077" width="7.1328125" bestFit="1" customWidth="1"/>
    <col min="13319" max="13320" width="8.59765625" customWidth="1"/>
    <col min="13321" max="13321" width="9.1328125" customWidth="1"/>
    <col min="13322" max="13322" width="10.86328125" customWidth="1"/>
    <col min="13323" max="13323" width="11.59765625" customWidth="1"/>
    <col min="13324" max="13325" width="8.73046875" customWidth="1"/>
    <col min="13326" max="13326" width="10" customWidth="1"/>
    <col min="13327" max="13327" width="7.265625" bestFit="1" customWidth="1"/>
    <col min="13328" max="13331" width="12.3984375" customWidth="1"/>
    <col min="13332" max="13332" width="3.73046875" bestFit="1" customWidth="1"/>
    <col min="13333" max="13333" width="7.1328125" bestFit="1" customWidth="1"/>
    <col min="13575" max="13576" width="8.59765625" customWidth="1"/>
    <col min="13577" max="13577" width="9.1328125" customWidth="1"/>
    <col min="13578" max="13578" width="10.86328125" customWidth="1"/>
    <col min="13579" max="13579" width="11.59765625" customWidth="1"/>
    <col min="13580" max="13581" width="8.73046875" customWidth="1"/>
    <col min="13582" max="13582" width="10" customWidth="1"/>
    <col min="13583" max="13583" width="7.265625" bestFit="1" customWidth="1"/>
    <col min="13584" max="13587" width="12.3984375" customWidth="1"/>
    <col min="13588" max="13588" width="3.73046875" bestFit="1" customWidth="1"/>
    <col min="13589" max="13589" width="7.1328125" bestFit="1" customWidth="1"/>
    <col min="13831" max="13832" width="8.59765625" customWidth="1"/>
    <col min="13833" max="13833" width="9.1328125" customWidth="1"/>
    <col min="13834" max="13834" width="10.86328125" customWidth="1"/>
    <col min="13835" max="13835" width="11.59765625" customWidth="1"/>
    <col min="13836" max="13837" width="8.73046875" customWidth="1"/>
    <col min="13838" max="13838" width="10" customWidth="1"/>
    <col min="13839" max="13839" width="7.265625" bestFit="1" customWidth="1"/>
    <col min="13840" max="13843" width="12.3984375" customWidth="1"/>
    <col min="13844" max="13844" width="3.73046875" bestFit="1" customWidth="1"/>
    <col min="13845" max="13845" width="7.1328125" bestFit="1" customWidth="1"/>
    <col min="14087" max="14088" width="8.59765625" customWidth="1"/>
    <col min="14089" max="14089" width="9.1328125" customWidth="1"/>
    <col min="14090" max="14090" width="10.86328125" customWidth="1"/>
    <col min="14091" max="14091" width="11.59765625" customWidth="1"/>
    <col min="14092" max="14093" width="8.73046875" customWidth="1"/>
    <col min="14094" max="14094" width="10" customWidth="1"/>
    <col min="14095" max="14095" width="7.265625" bestFit="1" customWidth="1"/>
    <col min="14096" max="14099" width="12.3984375" customWidth="1"/>
    <col min="14100" max="14100" width="3.73046875" bestFit="1" customWidth="1"/>
    <col min="14101" max="14101" width="7.1328125" bestFit="1" customWidth="1"/>
    <col min="14343" max="14344" width="8.59765625" customWidth="1"/>
    <col min="14345" max="14345" width="9.1328125" customWidth="1"/>
    <col min="14346" max="14346" width="10.86328125" customWidth="1"/>
    <col min="14347" max="14347" width="11.59765625" customWidth="1"/>
    <col min="14348" max="14349" width="8.73046875" customWidth="1"/>
    <col min="14350" max="14350" width="10" customWidth="1"/>
    <col min="14351" max="14351" width="7.265625" bestFit="1" customWidth="1"/>
    <col min="14352" max="14355" width="12.3984375" customWidth="1"/>
    <col min="14356" max="14356" width="3.73046875" bestFit="1" customWidth="1"/>
    <col min="14357" max="14357" width="7.1328125" bestFit="1" customWidth="1"/>
    <col min="14599" max="14600" width="8.59765625" customWidth="1"/>
    <col min="14601" max="14601" width="9.1328125" customWidth="1"/>
    <col min="14602" max="14602" width="10.86328125" customWidth="1"/>
    <col min="14603" max="14603" width="11.59765625" customWidth="1"/>
    <col min="14604" max="14605" width="8.73046875" customWidth="1"/>
    <col min="14606" max="14606" width="10" customWidth="1"/>
    <col min="14607" max="14607" width="7.265625" bestFit="1" customWidth="1"/>
    <col min="14608" max="14611" width="12.3984375" customWidth="1"/>
    <col min="14612" max="14612" width="3.73046875" bestFit="1" customWidth="1"/>
    <col min="14613" max="14613" width="7.1328125" bestFit="1" customWidth="1"/>
    <col min="14855" max="14856" width="8.59765625" customWidth="1"/>
    <col min="14857" max="14857" width="9.1328125" customWidth="1"/>
    <col min="14858" max="14858" width="10.86328125" customWidth="1"/>
    <col min="14859" max="14859" width="11.59765625" customWidth="1"/>
    <col min="14860" max="14861" width="8.73046875" customWidth="1"/>
    <col min="14862" max="14862" width="10" customWidth="1"/>
    <col min="14863" max="14863" width="7.265625" bestFit="1" customWidth="1"/>
    <col min="14864" max="14867" width="12.3984375" customWidth="1"/>
    <col min="14868" max="14868" width="3.73046875" bestFit="1" customWidth="1"/>
    <col min="14869" max="14869" width="7.1328125" bestFit="1" customWidth="1"/>
    <col min="15111" max="15112" width="8.59765625" customWidth="1"/>
    <col min="15113" max="15113" width="9.1328125" customWidth="1"/>
    <col min="15114" max="15114" width="10.86328125" customWidth="1"/>
    <col min="15115" max="15115" width="11.59765625" customWidth="1"/>
    <col min="15116" max="15117" width="8.73046875" customWidth="1"/>
    <col min="15118" max="15118" width="10" customWidth="1"/>
    <col min="15119" max="15119" width="7.265625" bestFit="1" customWidth="1"/>
    <col min="15120" max="15123" width="12.3984375" customWidth="1"/>
    <col min="15124" max="15124" width="3.73046875" bestFit="1" customWidth="1"/>
    <col min="15125" max="15125" width="7.1328125" bestFit="1" customWidth="1"/>
    <col min="15367" max="15368" width="8.59765625" customWidth="1"/>
    <col min="15369" max="15369" width="9.1328125" customWidth="1"/>
    <col min="15370" max="15370" width="10.86328125" customWidth="1"/>
    <col min="15371" max="15371" width="11.59765625" customWidth="1"/>
    <col min="15372" max="15373" width="8.73046875" customWidth="1"/>
    <col min="15374" max="15374" width="10" customWidth="1"/>
    <col min="15375" max="15375" width="7.265625" bestFit="1" customWidth="1"/>
    <col min="15376" max="15379" width="12.3984375" customWidth="1"/>
    <col min="15380" max="15380" width="3.73046875" bestFit="1" customWidth="1"/>
    <col min="15381" max="15381" width="7.1328125" bestFit="1" customWidth="1"/>
    <col min="15623" max="15624" width="8.59765625" customWidth="1"/>
    <col min="15625" max="15625" width="9.1328125" customWidth="1"/>
    <col min="15626" max="15626" width="10.86328125" customWidth="1"/>
    <col min="15627" max="15627" width="11.59765625" customWidth="1"/>
    <col min="15628" max="15629" width="8.73046875" customWidth="1"/>
    <col min="15630" max="15630" width="10" customWidth="1"/>
    <col min="15631" max="15631" width="7.265625" bestFit="1" customWidth="1"/>
    <col min="15632" max="15635" width="12.3984375" customWidth="1"/>
    <col min="15636" max="15636" width="3.73046875" bestFit="1" customWidth="1"/>
    <col min="15637" max="15637" width="7.1328125" bestFit="1" customWidth="1"/>
    <col min="15879" max="15880" width="8.59765625" customWidth="1"/>
    <col min="15881" max="15881" width="9.1328125" customWidth="1"/>
    <col min="15882" max="15882" width="10.86328125" customWidth="1"/>
    <col min="15883" max="15883" width="11.59765625" customWidth="1"/>
    <col min="15884" max="15885" width="8.73046875" customWidth="1"/>
    <col min="15886" max="15886" width="10" customWidth="1"/>
    <col min="15887" max="15887" width="7.265625" bestFit="1" customWidth="1"/>
    <col min="15888" max="15891" width="12.3984375" customWidth="1"/>
    <col min="15892" max="15892" width="3.73046875" bestFit="1" customWidth="1"/>
    <col min="15893" max="15893" width="7.1328125" bestFit="1" customWidth="1"/>
    <col min="16135" max="16136" width="8.59765625" customWidth="1"/>
    <col min="16137" max="16137" width="9.1328125" customWidth="1"/>
    <col min="16138" max="16138" width="10.86328125" customWidth="1"/>
    <col min="16139" max="16139" width="11.59765625" customWidth="1"/>
    <col min="16140" max="16141" width="8.73046875" customWidth="1"/>
    <col min="16142" max="16142" width="10" customWidth="1"/>
    <col min="16143" max="16143" width="7.265625" bestFit="1" customWidth="1"/>
    <col min="16144" max="16147" width="12.3984375" customWidth="1"/>
    <col min="16148" max="16148" width="3.73046875" bestFit="1" customWidth="1"/>
    <col min="16149" max="16149" width="7.1328125" bestFit="1" customWidth="1"/>
  </cols>
  <sheetData>
    <row r="1" spans="1:18" ht="25.5" x14ac:dyDescent="0.35">
      <c r="A1" s="11" t="s">
        <v>211</v>
      </c>
      <c r="B1" s="11" t="s">
        <v>210</v>
      </c>
      <c r="C1" t="s">
        <v>188</v>
      </c>
      <c r="D1" t="s">
        <v>189</v>
      </c>
      <c r="E1" t="s">
        <v>190</v>
      </c>
    </row>
    <row r="2" spans="1:18" x14ac:dyDescent="0.35">
      <c r="A2" s="67">
        <f>IF('Infos vor dem Start'!$A17="x",19%,0)</f>
        <v>0.19</v>
      </c>
      <c r="B2" s="67">
        <f>IF('Infos vor dem Start'!$A17="x",19%,0)</f>
        <v>0.19</v>
      </c>
      <c r="C2" s="110">
        <f>IF('Infos vor dem Start'!C17="x",19%,0)</f>
        <v>0</v>
      </c>
      <c r="D2" s="110">
        <f>IF('Infos vor dem Start'!D17="x",19%,0)</f>
        <v>0</v>
      </c>
      <c r="E2" s="110">
        <f>IF('Infos vor dem Start'!E17="x",19%,0)</f>
        <v>0</v>
      </c>
      <c r="F2" t="s">
        <v>71</v>
      </c>
    </row>
    <row r="3" spans="1:18" x14ac:dyDescent="0.35">
      <c r="A3" s="67">
        <f>IF(USt=0,0,7%)</f>
        <v>7.0000000000000007E-2</v>
      </c>
      <c r="B3" s="67">
        <f>IF(USteins=0,0,7%)</f>
        <v>7.0000000000000007E-2</v>
      </c>
      <c r="C3" s="110">
        <f>IF(USt=0,0,7%)</f>
        <v>7.0000000000000007E-2</v>
      </c>
      <c r="D3" s="110">
        <f>IF(USt=0,0,7%)</f>
        <v>7.0000000000000007E-2</v>
      </c>
      <c r="E3" s="110">
        <f>IF(USt=0,0,7%)</f>
        <v>7.0000000000000007E-2</v>
      </c>
      <c r="F3" t="s">
        <v>72</v>
      </c>
    </row>
    <row r="4" spans="1:18" x14ac:dyDescent="0.35">
      <c r="A4" s="67">
        <f>IF('Infos vor dem Start'!$A17="x",USt,0)</f>
        <v>0.19</v>
      </c>
      <c r="B4" s="67">
        <f>IF('Infos vor dem Start'!$A17="x",USteins,0)</f>
        <v>0.19</v>
      </c>
      <c r="C4" s="110">
        <f>IF('Infos vor dem Start'!C17="x",USt,0)</f>
        <v>0</v>
      </c>
      <c r="D4" s="110">
        <f>IF('Infos vor dem Start'!D17="x",USt,0)</f>
        <v>0</v>
      </c>
      <c r="E4" s="110">
        <f>IF('Infos vor dem Start'!E17="x",USt,0)</f>
        <v>0</v>
      </c>
      <c r="F4" t="s">
        <v>44</v>
      </c>
    </row>
    <row r="5" spans="1:18" x14ac:dyDescent="0.35">
      <c r="A5" s="67">
        <f>IF('Infos vor dem Start'!$A17="x",USterm,0)</f>
        <v>7.0000000000000007E-2</v>
      </c>
      <c r="B5" s="67">
        <f>IF('Infos vor dem Start'!$A17="x",UStermeins,0)</f>
        <v>7.0000000000000007E-2</v>
      </c>
      <c r="C5" s="110">
        <f>IF('Infos vor dem Start'!C17="x",USterm,0)</f>
        <v>0</v>
      </c>
      <c r="D5" s="110">
        <f>IF('Infos vor dem Start'!D17="x",USterm,0)</f>
        <v>0</v>
      </c>
      <c r="E5" s="110">
        <f>IF('Infos vor dem Start'!E17="x",USterm,0)</f>
        <v>0</v>
      </c>
      <c r="F5" t="s">
        <v>73</v>
      </c>
    </row>
    <row r="6" spans="1:18" x14ac:dyDescent="0.35">
      <c r="A6" s="67">
        <f>IF(L9=0,VSt,G10)</f>
        <v>0.19</v>
      </c>
      <c r="B6" s="67">
        <f>IF(L9=0,VSteins,I10)</f>
        <v>0.19</v>
      </c>
      <c r="C6" s="110"/>
      <c r="D6" s="110"/>
      <c r="E6" s="110"/>
      <c r="F6" t="s">
        <v>208</v>
      </c>
    </row>
    <row r="7" spans="1:18" ht="13.15" x14ac:dyDescent="0.4">
      <c r="A7" s="67"/>
      <c r="B7" s="67"/>
      <c r="C7" s="110"/>
      <c r="D7" s="110"/>
      <c r="E7" s="110"/>
      <c r="G7" s="119" t="s">
        <v>207</v>
      </c>
    </row>
    <row r="8" spans="1:18" x14ac:dyDescent="0.35">
      <c r="A8" s="67"/>
      <c r="B8" s="67"/>
      <c r="C8" s="67"/>
      <c r="D8" s="67"/>
      <c r="E8" s="67"/>
      <c r="G8" s="107">
        <f>+H8*$K8</f>
        <v>0</v>
      </c>
      <c r="H8" s="106">
        <f>+USt</f>
        <v>0.19</v>
      </c>
      <c r="I8" s="107">
        <f>+J8*$K8</f>
        <v>0</v>
      </c>
      <c r="J8" s="106">
        <f>+VSteins</f>
        <v>0.19</v>
      </c>
      <c r="K8" s="106">
        <f>IF(L$10=0,0,+L8/L$10)</f>
        <v>0</v>
      </c>
      <c r="L8" s="8">
        <f>+Rentabilitätsvorschau!P3</f>
        <v>0</v>
      </c>
      <c r="M8" t="s">
        <v>185</v>
      </c>
    </row>
    <row r="9" spans="1:18" x14ac:dyDescent="0.35">
      <c r="A9" s="67"/>
      <c r="B9" s="67"/>
      <c r="C9" s="67"/>
      <c r="D9" s="67"/>
      <c r="E9" s="67"/>
      <c r="G9" s="107">
        <f>+H9*$K9</f>
        <v>0</v>
      </c>
      <c r="H9" s="106">
        <f>+USterm</f>
        <v>7.0000000000000007E-2</v>
      </c>
      <c r="I9" s="107">
        <f>+J9*$K9</f>
        <v>0</v>
      </c>
      <c r="J9" s="106">
        <f>+VStermeins</f>
        <v>7.0000000000000007E-2</v>
      </c>
      <c r="K9" s="106">
        <f>IF(L$10=0,0,+L9/L$10)</f>
        <v>0</v>
      </c>
      <c r="L9" s="8">
        <f>+Rentabilitätsvorschau!P4</f>
        <v>0</v>
      </c>
      <c r="M9" t="s">
        <v>186</v>
      </c>
    </row>
    <row r="10" spans="1:18" ht="25.9" thickBot="1" x14ac:dyDescent="0.4">
      <c r="A10" s="67"/>
      <c r="B10" s="67"/>
      <c r="C10" s="67"/>
      <c r="D10" s="67"/>
      <c r="E10" s="67"/>
      <c r="G10" s="118" t="str">
        <f>IF(SUM(G8:G9)=0,"nicht relevant",ROUND(SUM(G8:G9),2))</f>
        <v>nicht relevant</v>
      </c>
      <c r="H10" s="114"/>
      <c r="I10" s="118" t="str">
        <f>IF(SUM(I8:I9)=0,"nicht relevant",ROUND(SUM(I8:I9),2))</f>
        <v>nicht relevant</v>
      </c>
      <c r="J10" s="115"/>
      <c r="K10" s="116">
        <v>1</v>
      </c>
      <c r="L10" s="117">
        <f>SUM(L8:L9)</f>
        <v>0</v>
      </c>
      <c r="M10" s="94" t="s">
        <v>209</v>
      </c>
    </row>
    <row r="11" spans="1:18" ht="13.15" thickTop="1" x14ac:dyDescent="0.35">
      <c r="A11" s="101"/>
      <c r="B11" s="101"/>
      <c r="C11" s="111">
        <f>+K10</f>
        <v>1</v>
      </c>
      <c r="D11" s="111">
        <f>+L10</f>
        <v>0</v>
      </c>
      <c r="E11" s="111" t="e">
        <f>+#REF!</f>
        <v>#REF!</v>
      </c>
    </row>
    <row r="12" spans="1:18" ht="13.15" x14ac:dyDescent="0.4">
      <c r="A12" s="108">
        <v>800</v>
      </c>
      <c r="B12" s="108"/>
      <c r="C12" s="108"/>
      <c r="D12" s="108"/>
      <c r="E12" s="108"/>
      <c r="F12" t="s">
        <v>115</v>
      </c>
    </row>
    <row r="13" spans="1:18" ht="13.15" x14ac:dyDescent="0.4">
      <c r="A13" s="46"/>
      <c r="B13" s="46"/>
      <c r="C13" s="46"/>
      <c r="D13" s="46"/>
      <c r="E13" s="46"/>
    </row>
    <row r="14" spans="1:18" x14ac:dyDescent="0.35">
      <c r="A14" s="120" t="s">
        <v>212</v>
      </c>
      <c r="B14" s="121"/>
      <c r="C14" s="121"/>
      <c r="D14" s="121"/>
      <c r="E14" s="121"/>
      <c r="F14" s="122"/>
      <c r="G14" s="122"/>
      <c r="H14" s="122"/>
      <c r="I14" s="123"/>
      <c r="J14" s="123"/>
      <c r="K14" s="124"/>
      <c r="L14" s="125"/>
      <c r="M14" s="102"/>
      <c r="R14" s="102"/>
    </row>
    <row r="15" spans="1:18" x14ac:dyDescent="0.35">
      <c r="A15" s="49"/>
      <c r="B15" s="49"/>
      <c r="C15" s="49"/>
      <c r="D15" s="49"/>
      <c r="E15" s="49"/>
      <c r="F15" s="86"/>
      <c r="G15" s="86"/>
      <c r="H15" s="86"/>
      <c r="I15" s="8"/>
      <c r="J15" s="8"/>
      <c r="K15" s="60"/>
      <c r="M15" s="102"/>
    </row>
    <row r="16" spans="1:18" x14ac:dyDescent="0.35">
      <c r="A16" s="80" t="s">
        <v>213</v>
      </c>
      <c r="B16" s="49"/>
      <c r="C16" s="49"/>
      <c r="D16" s="49"/>
      <c r="E16" s="49"/>
      <c r="F16" s="86"/>
      <c r="G16" s="86"/>
      <c r="H16" s="86"/>
      <c r="I16" s="8"/>
      <c r="J16" s="8"/>
      <c r="K16" s="103"/>
      <c r="L16" s="104"/>
      <c r="M16" s="102"/>
    </row>
    <row r="17" spans="1:14" x14ac:dyDescent="0.35">
      <c r="A17" s="81">
        <v>44007</v>
      </c>
      <c r="B17" s="49"/>
      <c r="C17" s="49"/>
      <c r="D17" s="49"/>
      <c r="E17" s="49"/>
      <c r="F17" s="100"/>
      <c r="G17" s="100"/>
      <c r="H17" s="100"/>
      <c r="N17" s="105"/>
    </row>
    <row r="18" spans="1:14" x14ac:dyDescent="0.35">
      <c r="A18" s="49"/>
      <c r="B18" s="49"/>
      <c r="C18" s="49"/>
      <c r="D18" s="49"/>
      <c r="E18" s="49"/>
      <c r="F18" s="100"/>
      <c r="G18" s="100"/>
      <c r="H18" s="100"/>
    </row>
    <row r="19" spans="1:14" x14ac:dyDescent="0.35">
      <c r="A19" s="16"/>
      <c r="B19" s="16"/>
      <c r="C19" s="16"/>
      <c r="D19" s="16"/>
      <c r="E19" s="16"/>
      <c r="F19" s="100"/>
      <c r="G19" s="100"/>
      <c r="H19" s="100"/>
    </row>
    <row r="20" spans="1:14" x14ac:dyDescent="0.35">
      <c r="A20" s="16"/>
      <c r="B20" s="16"/>
      <c r="C20" s="16"/>
      <c r="D20" s="16"/>
      <c r="E20" s="16"/>
    </row>
    <row r="21" spans="1:14" x14ac:dyDescent="0.35">
      <c r="A21" s="16"/>
      <c r="B21" s="16"/>
      <c r="C21" s="16"/>
      <c r="D21" s="16"/>
      <c r="E21" s="16"/>
    </row>
    <row r="22" spans="1:14" x14ac:dyDescent="0.35">
      <c r="A22" s="16"/>
      <c r="B22" s="16"/>
      <c r="C22" s="16"/>
      <c r="D22" s="16"/>
      <c r="E22" s="16"/>
    </row>
    <row r="23" spans="1:14" x14ac:dyDescent="0.35">
      <c r="A23" s="16"/>
      <c r="B23" s="16"/>
      <c r="C23" s="16"/>
      <c r="D23" s="16"/>
      <c r="E23" s="16"/>
    </row>
  </sheetData>
  <pageMargins left="0.70866141732283472" right="0.70866141732283472" top="0.78740157480314965" bottom="0.78740157480314965" header="0.31496062992125984" footer="0.31496062992125984"/>
  <pageSetup paperSize="9" orientation="landscape" r:id="rId1"/>
  <headerFooter>
    <oddHeader>&amp;C&amp;"Arial,Fett"&amp;12Industrie- und Handelskammer zu Köln&amp;"Arial,Standard"&amp;10
Tools für die Gründungsplanung
&amp;A</oddHeader>
    <oddFooter>&amp;L&amp;Z&amp;F\&amp;A\&amp;D\&amp;T&amp;RRelease 3.3</oddFooter>
  </headerFooter>
  <drawing r:id="rId2"/>
  <legacy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
  <sheetViews>
    <sheetView workbookViewId="0">
      <selection sqref="A1:XFD1048576"/>
    </sheetView>
  </sheetViews>
  <sheetFormatPr baseColWidth="10" defaultRowHeight="12.75" x14ac:dyDescent="0.35"/>
  <sheetData/>
  <pageMargins left="0.70866141732283472" right="0.70866141732283472" top="0.78740157480314965" bottom="0.78740157480314965" header="0.31496062992125984" footer="0.31496062992125984"/>
  <pageSetup paperSize="9" orientation="landscape" r:id="rId1"/>
  <headerFooter>
    <oddHeader>&amp;L&amp;A</oddHeader>
    <oddFooter>&amp;L&amp;Z&amp;F\&amp;A\&amp;D\&amp;T</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
  <sheetViews>
    <sheetView workbookViewId="0"/>
  </sheetViews>
  <sheetFormatPr baseColWidth="10" defaultRowHeight="12.75" x14ac:dyDescent="0.35"/>
  <sheetData/>
  <pageMargins left="0.7" right="0.7" top="0.78740157499999996" bottom="0.78740157499999996"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
  <sheetViews>
    <sheetView workbookViewId="0"/>
  </sheetViews>
  <sheetFormatPr baseColWidth="10" defaultRowHeight="12.75" x14ac:dyDescent="0.35"/>
  <sheetData/>
  <pageMargins left="0.7" right="0.7" top="0.78740157499999996" bottom="0.78740157499999996"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
  <sheetViews>
    <sheetView workbookViewId="0"/>
  </sheetViews>
  <sheetFormatPr baseColWidth="10" defaultRowHeight="12.75" x14ac:dyDescent="0.35"/>
  <sheetData/>
  <pageMargins left="0.7" right="0.7" top="0.78740157499999996" bottom="0.78740157499999996"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
  <sheetViews>
    <sheetView workbookViewId="0">
      <selection activeCell="B11" sqref="B11"/>
    </sheetView>
  </sheetViews>
  <sheetFormatPr baseColWidth="10" defaultRowHeight="12.75" x14ac:dyDescent="0.35"/>
  <sheetData/>
  <pageMargins left="0.70866141732283472" right="0.70866141732283472" top="1.5748031496062993" bottom="0.78740157480314965" header="0.31496062992125984" footer="0.31496062992125984"/>
  <pageSetup paperSize="9" orientation="portrait" r:id="rId1"/>
  <headerFooter>
    <oddHeader>&amp;L&amp;G&amp;R&amp;"Arial,Fett"&amp;12IHK Köln - das Gründungstool&amp;"Arial,Standard"&amp;10
&amp;A</oddHeader>
    <oddFooter>&amp;L&amp;Z&amp;F\&amp;A\&amp;D\&amp;T</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workbookViewId="0">
      <selection activeCell="B11" sqref="B11"/>
    </sheetView>
  </sheetViews>
  <sheetFormatPr baseColWidth="10" defaultRowHeight="12.75" x14ac:dyDescent="0.35"/>
  <sheetData/>
  <pageMargins left="0.70866141732283472" right="0.70866141732283472" top="1.5748031496062993" bottom="0.78740157480314965" header="0.31496062992125984" footer="0.31496062992125984"/>
  <pageSetup paperSize="9" orientation="portrait" r:id="rId1"/>
  <headerFooter>
    <oddHeader>&amp;L&amp;G&amp;R&amp;"Arial,Fett"&amp;12IHK Köln - das Gründungstool&amp;"Arial,Standard"&amp;10
&amp;A</oddHeader>
    <oddFooter>&amp;L&amp;Z&amp;F\&amp;A\&amp;D\&amp;T</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K42"/>
  <sheetViews>
    <sheetView zoomScaleNormal="100" workbookViewId="0">
      <selection activeCell="K2" sqref="K2"/>
    </sheetView>
  </sheetViews>
  <sheetFormatPr baseColWidth="10" defaultRowHeight="12.75" outlineLevelCol="1" x14ac:dyDescent="0.35"/>
  <cols>
    <col min="1" max="1" width="2.86328125" customWidth="1"/>
    <col min="2" max="2" width="15" customWidth="1"/>
    <col min="3" max="3" width="30.73046875" customWidth="1"/>
    <col min="4" max="7" width="11.3984375" customWidth="1" outlineLevel="1"/>
  </cols>
  <sheetData>
    <row r="1" spans="1:11" x14ac:dyDescent="0.35">
      <c r="A1" s="167" t="s">
        <v>174</v>
      </c>
      <c r="B1" s="168"/>
      <c r="C1" s="169"/>
      <c r="D1" s="170" t="s">
        <v>177</v>
      </c>
      <c r="E1" s="171"/>
      <c r="F1" s="171"/>
      <c r="G1" s="172"/>
      <c r="H1" s="170" t="s">
        <v>178</v>
      </c>
      <c r="I1" s="171"/>
      <c r="J1" s="171"/>
      <c r="K1" s="172"/>
    </row>
    <row r="2" spans="1:11" x14ac:dyDescent="0.35">
      <c r="A2" s="18"/>
      <c r="B2" s="18"/>
      <c r="C2" s="18"/>
      <c r="D2" s="133">
        <f>+gj</f>
        <v>2026</v>
      </c>
      <c r="E2" s="133">
        <f>+gj+1</f>
        <v>2027</v>
      </c>
      <c r="F2" s="133">
        <f>+gj+2</f>
        <v>2028</v>
      </c>
      <c r="G2" s="133">
        <f>+gj+3</f>
        <v>2029</v>
      </c>
      <c r="H2" s="133">
        <f>+D2</f>
        <v>2026</v>
      </c>
      <c r="I2" s="133">
        <f>+E2</f>
        <v>2027</v>
      </c>
      <c r="J2" s="133">
        <f>+F2</f>
        <v>2028</v>
      </c>
      <c r="K2" s="133">
        <f>+G2</f>
        <v>2029</v>
      </c>
    </row>
    <row r="3" spans="1:11" ht="13.15" x14ac:dyDescent="0.4">
      <c r="A3" s="158" t="s">
        <v>155</v>
      </c>
      <c r="B3" s="158"/>
      <c r="C3" s="158"/>
    </row>
    <row r="4" spans="1:11" ht="13.15" x14ac:dyDescent="0.4">
      <c r="B4" s="43"/>
      <c r="C4" t="s">
        <v>152</v>
      </c>
    </row>
    <row r="5" spans="1:11" ht="13.15" x14ac:dyDescent="0.4">
      <c r="B5" s="95"/>
      <c r="C5" t="s">
        <v>184</v>
      </c>
    </row>
    <row r="6" spans="1:11" ht="13.15" x14ac:dyDescent="0.4">
      <c r="B6" s="96"/>
      <c r="C6" t="s">
        <v>164</v>
      </c>
    </row>
    <row r="7" spans="1:11" ht="13.15" x14ac:dyDescent="0.4">
      <c r="B7" s="96"/>
      <c r="C7" t="s">
        <v>154</v>
      </c>
    </row>
    <row r="8" spans="1:11" ht="13.15" x14ac:dyDescent="0.4">
      <c r="B8" s="93"/>
      <c r="C8" t="s">
        <v>149</v>
      </c>
      <c r="D8" s="13">
        <f>IF(B6=0,0,(+B4*B5)/12*(12-Monat+1))</f>
        <v>0</v>
      </c>
      <c r="E8" s="13">
        <f>IF($B6=0,0,(+$B4-SUM($D9:D9))*$B5)</f>
        <v>0</v>
      </c>
      <c r="F8" s="13">
        <f>IF($B6=0,0,(+$B4-SUM($D9:E9))*$B5)</f>
        <v>0</v>
      </c>
      <c r="G8" s="13">
        <f>IF($B6=0,0,(+$B4-SUM($D9:F9))*$B5)</f>
        <v>0</v>
      </c>
      <c r="H8" s="13">
        <f>+D8/(12-Monat+1)</f>
        <v>0</v>
      </c>
      <c r="I8" s="13">
        <f t="shared" ref="I8:K9" si="0">+E8/12</f>
        <v>0</v>
      </c>
      <c r="J8" s="13">
        <f t="shared" si="0"/>
        <v>0</v>
      </c>
      <c r="K8" s="13">
        <f t="shared" si="0"/>
        <v>0</v>
      </c>
    </row>
    <row r="9" spans="1:11" x14ac:dyDescent="0.35">
      <c r="C9" t="s">
        <v>150</v>
      </c>
      <c r="D9" s="13">
        <f>IF($B6=0,0,IF($B7&gt;=1,0,$B4/($B6-$B7)))/12*(13-Monat)</f>
        <v>0</v>
      </c>
      <c r="E9" s="13">
        <f>IF($B6=0,0,IF($B7&gt;=2,0,$B4/($B6-$B7)))</f>
        <v>0</v>
      </c>
      <c r="F9" s="13">
        <f>IF($B6=0,0,IF($B7&gt;=3,0,$B4/($B6-$B7)))</f>
        <v>0</v>
      </c>
      <c r="G9" s="13">
        <f>IF(SUM(D9:F9)&gt;=B4,0,IF($B6=0,0,IF($B7&gt;=4,0,$B4/($B6-$B7))))</f>
        <v>0</v>
      </c>
      <c r="H9" s="13">
        <f>+D9/(12-Monat+1)</f>
        <v>0</v>
      </c>
      <c r="I9" s="13">
        <f t="shared" si="0"/>
        <v>0</v>
      </c>
      <c r="J9" s="13">
        <f t="shared" si="0"/>
        <v>0</v>
      </c>
      <c r="K9" s="13">
        <f t="shared" si="0"/>
        <v>0</v>
      </c>
    </row>
    <row r="10" spans="1:11" x14ac:dyDescent="0.35">
      <c r="D10" s="98">
        <f t="shared" ref="D10:K10" si="1">SUM(D8:D9)</f>
        <v>0</v>
      </c>
      <c r="E10" s="98">
        <f t="shared" si="1"/>
        <v>0</v>
      </c>
      <c r="F10" s="98">
        <f t="shared" si="1"/>
        <v>0</v>
      </c>
      <c r="G10" s="98">
        <f t="shared" si="1"/>
        <v>0</v>
      </c>
      <c r="H10" s="98">
        <f t="shared" si="1"/>
        <v>0</v>
      </c>
      <c r="I10" s="98">
        <f t="shared" si="1"/>
        <v>0</v>
      </c>
      <c r="J10" s="98">
        <f t="shared" si="1"/>
        <v>0</v>
      </c>
      <c r="K10" s="98">
        <f t="shared" si="1"/>
        <v>0</v>
      </c>
    </row>
    <row r="11" spans="1:11" ht="13.15" x14ac:dyDescent="0.4">
      <c r="A11" s="158" t="s">
        <v>156</v>
      </c>
      <c r="B11" s="158"/>
      <c r="C11" s="158"/>
      <c r="D11" s="13"/>
      <c r="E11" s="13"/>
      <c r="F11" s="13"/>
      <c r="G11" s="13"/>
      <c r="H11" s="13"/>
      <c r="I11" s="13"/>
      <c r="J11" s="13"/>
      <c r="K11" s="13"/>
    </row>
    <row r="12" spans="1:11" ht="13.15" x14ac:dyDescent="0.4">
      <c r="B12" s="43"/>
      <c r="C12" t="str">
        <f t="shared" ref="C12:C17" si="2">+C4</f>
        <v>Darlehensbetrag in EUR</v>
      </c>
      <c r="D12" s="13"/>
      <c r="E12" s="13"/>
      <c r="F12" s="13"/>
      <c r="G12" s="13"/>
      <c r="H12" s="13"/>
      <c r="I12" s="13"/>
      <c r="J12" s="13"/>
      <c r="K12" s="13"/>
    </row>
    <row r="13" spans="1:11" ht="13.15" x14ac:dyDescent="0.4">
      <c r="B13" s="95"/>
      <c r="C13" t="str">
        <f t="shared" si="2"/>
        <v>Zinsen p.a. (nominal)</v>
      </c>
      <c r="D13" s="13"/>
      <c r="E13" s="13"/>
      <c r="F13" s="13"/>
      <c r="G13" s="13"/>
      <c r="H13" s="13"/>
      <c r="I13" s="13"/>
      <c r="J13" s="13"/>
      <c r="K13" s="13"/>
    </row>
    <row r="14" spans="1:11" ht="13.15" x14ac:dyDescent="0.4">
      <c r="B14" s="96"/>
      <c r="C14" t="str">
        <f t="shared" si="2"/>
        <v>Laufzeit (mind. 3 Jahre)</v>
      </c>
      <c r="D14" s="13"/>
      <c r="E14" s="13"/>
      <c r="F14" s="13"/>
      <c r="G14" s="13"/>
      <c r="H14" s="13"/>
      <c r="I14" s="13"/>
      <c r="J14" s="13"/>
      <c r="K14" s="13"/>
    </row>
    <row r="15" spans="1:11" ht="13.15" x14ac:dyDescent="0.4">
      <c r="B15" s="96"/>
      <c r="C15" t="str">
        <f t="shared" si="2"/>
        <v>davon tilgungsfrei (nur ganze Jahre)</v>
      </c>
      <c r="D15" s="13"/>
      <c r="E15" s="13"/>
      <c r="F15" s="13"/>
      <c r="G15" s="13"/>
      <c r="H15" s="13"/>
      <c r="I15" s="13"/>
      <c r="J15" s="13"/>
      <c r="K15" s="13"/>
    </row>
    <row r="16" spans="1:11" x14ac:dyDescent="0.35">
      <c r="C16" t="str">
        <f t="shared" si="2"/>
        <v>Zinsen</v>
      </c>
      <c r="D16" s="13">
        <f>IF(B14=0,0,(+B12*B13)/12*(12-Monat+1))</f>
        <v>0</v>
      </c>
      <c r="E16" s="13">
        <f>IF($B14=0,0,(+$B12-SUM($D17:D17))*$B13)</f>
        <v>0</v>
      </c>
      <c r="F16" s="13">
        <f>IF($B14=0,0,(+$B12-SUM($D17:E17))*$B13)</f>
        <v>0</v>
      </c>
      <c r="G16" s="13">
        <f>IF($B14=0,0,(+$B12-SUM($D17:F17))*$B13)</f>
        <v>0</v>
      </c>
      <c r="H16" s="13">
        <f>+D16/(12-Monat+1)</f>
        <v>0</v>
      </c>
      <c r="I16" s="13">
        <f t="shared" ref="I16:K17" si="3">+E16/12</f>
        <v>0</v>
      </c>
      <c r="J16" s="13">
        <f t="shared" si="3"/>
        <v>0</v>
      </c>
      <c r="K16" s="13">
        <f t="shared" si="3"/>
        <v>0</v>
      </c>
    </row>
    <row r="17" spans="1:11" x14ac:dyDescent="0.35">
      <c r="C17" t="str">
        <f t="shared" si="2"/>
        <v>Tilgung</v>
      </c>
      <c r="D17" s="13">
        <f>IF($B14=0,0,IF($B15&gt;=1,0,$B12/($B14-$B15)))/12*(13-Monat)</f>
        <v>0</v>
      </c>
      <c r="E17" s="13">
        <f>IF($B14=0,0,IF($B15&gt;=2,0,$B12/($B14-$B15)))</f>
        <v>0</v>
      </c>
      <c r="F17" s="13">
        <f>IF($B14=0,0,IF($B15&gt;=3,0,$B12/($B14-$B15)))</f>
        <v>0</v>
      </c>
      <c r="G17" s="13">
        <f>IF(SUM(D17:F17)&gt;=B12,0,IF($B14=0,0,IF($B15&gt;=4,0,$B12/($B14-$B15))))</f>
        <v>0</v>
      </c>
      <c r="H17" s="13">
        <f>+D17/(12-Monat+1)</f>
        <v>0</v>
      </c>
      <c r="I17" s="13">
        <f t="shared" si="3"/>
        <v>0</v>
      </c>
      <c r="J17" s="13">
        <f t="shared" si="3"/>
        <v>0</v>
      </c>
      <c r="K17" s="13">
        <f t="shared" si="3"/>
        <v>0</v>
      </c>
    </row>
    <row r="18" spans="1:11" x14ac:dyDescent="0.35">
      <c r="D18" s="98">
        <f t="shared" ref="D18:K18" si="4">SUM(D16:D17)</f>
        <v>0</v>
      </c>
      <c r="E18" s="98">
        <f t="shared" si="4"/>
        <v>0</v>
      </c>
      <c r="F18" s="98">
        <f t="shared" si="4"/>
        <v>0</v>
      </c>
      <c r="G18" s="98">
        <f t="shared" si="4"/>
        <v>0</v>
      </c>
      <c r="H18" s="98">
        <f t="shared" si="4"/>
        <v>0</v>
      </c>
      <c r="I18" s="98">
        <f t="shared" si="4"/>
        <v>0</v>
      </c>
      <c r="J18" s="98">
        <f t="shared" si="4"/>
        <v>0</v>
      </c>
      <c r="K18" s="98">
        <f t="shared" si="4"/>
        <v>0</v>
      </c>
    </row>
    <row r="19" spans="1:11" ht="13.15" x14ac:dyDescent="0.4">
      <c r="A19" s="158" t="s">
        <v>157</v>
      </c>
      <c r="B19" s="158"/>
      <c r="C19" s="158"/>
      <c r="D19" s="13"/>
      <c r="E19" s="13"/>
      <c r="F19" s="13"/>
      <c r="G19" s="13"/>
      <c r="H19" s="13"/>
      <c r="I19" s="13"/>
      <c r="J19" s="13"/>
      <c r="K19" s="13"/>
    </row>
    <row r="20" spans="1:11" ht="13.15" x14ac:dyDescent="0.4">
      <c r="B20" s="43"/>
      <c r="C20" t="str">
        <f t="shared" ref="C20:C25" si="5">+C4</f>
        <v>Darlehensbetrag in EUR</v>
      </c>
      <c r="D20" s="13"/>
      <c r="E20" s="13"/>
      <c r="F20" s="13"/>
      <c r="G20" s="13"/>
      <c r="H20" s="13"/>
      <c r="I20" s="13"/>
      <c r="J20" s="13"/>
      <c r="K20" s="13"/>
    </row>
    <row r="21" spans="1:11" ht="13.15" x14ac:dyDescent="0.4">
      <c r="B21" s="95"/>
      <c r="C21" t="str">
        <f t="shared" si="5"/>
        <v>Zinsen p.a. (nominal)</v>
      </c>
      <c r="D21" s="13"/>
      <c r="E21" s="13"/>
      <c r="F21" s="13"/>
      <c r="G21" s="13"/>
      <c r="H21" s="13"/>
      <c r="I21" s="13"/>
      <c r="J21" s="13"/>
      <c r="K21" s="13"/>
    </row>
    <row r="22" spans="1:11" ht="13.15" x14ac:dyDescent="0.4">
      <c r="B22" s="96"/>
      <c r="C22" t="str">
        <f t="shared" si="5"/>
        <v>Laufzeit (mind. 3 Jahre)</v>
      </c>
      <c r="D22" s="13"/>
      <c r="E22" s="13"/>
      <c r="F22" s="13"/>
      <c r="G22" s="13"/>
      <c r="H22" s="13"/>
      <c r="I22" s="13"/>
      <c r="J22" s="13"/>
      <c r="K22" s="13"/>
    </row>
    <row r="23" spans="1:11" ht="13.15" x14ac:dyDescent="0.4">
      <c r="B23" s="96"/>
      <c r="C23" t="str">
        <f t="shared" si="5"/>
        <v>davon tilgungsfrei (nur ganze Jahre)</v>
      </c>
      <c r="D23" s="13"/>
      <c r="E23" s="13"/>
      <c r="F23" s="13"/>
      <c r="G23" s="13"/>
      <c r="H23" s="13"/>
      <c r="I23" s="13"/>
      <c r="J23" s="13"/>
      <c r="K23" s="13"/>
    </row>
    <row r="24" spans="1:11" x14ac:dyDescent="0.35">
      <c r="C24" t="str">
        <f t="shared" si="5"/>
        <v>Zinsen</v>
      </c>
      <c r="D24" s="13">
        <f>IF(B22=0,0,(+B20*B21)/12*(12-Monat+1))</f>
        <v>0</v>
      </c>
      <c r="E24" s="13">
        <f>IF($B22=0,0,(+$B20-SUM($D25:D25))*$B21)</f>
        <v>0</v>
      </c>
      <c r="F24" s="13">
        <f>IF($B22=0,0,(+$B20-SUM($D25:E25))*$B21)</f>
        <v>0</v>
      </c>
      <c r="G24" s="13">
        <f>IF($B22=0,0,(+$B20-SUM($D25:F25))*$B21)</f>
        <v>0</v>
      </c>
      <c r="H24" s="13">
        <f>+D24/(12-Monat+1)</f>
        <v>0</v>
      </c>
      <c r="I24" s="13">
        <f t="shared" ref="I24:K25" si="6">+E24/12</f>
        <v>0</v>
      </c>
      <c r="J24" s="13">
        <f t="shared" si="6"/>
        <v>0</v>
      </c>
      <c r="K24" s="13">
        <f t="shared" si="6"/>
        <v>0</v>
      </c>
    </row>
    <row r="25" spans="1:11" x14ac:dyDescent="0.35">
      <c r="C25" t="str">
        <f t="shared" si="5"/>
        <v>Tilgung</v>
      </c>
      <c r="D25" s="13">
        <f>IF($B22=0,0,IF($B23&gt;=1,0,$B20/($B22-$B23)))/12*(13-Monat)</f>
        <v>0</v>
      </c>
      <c r="E25" s="13">
        <f>IF($B22=0,0,IF($B23&gt;=2,0,$B20/($B22-$B23)))</f>
        <v>0</v>
      </c>
      <c r="F25" s="13">
        <f>IF($B22=0,0,IF($B23&gt;=3,0,$B20/($B22-$B23)))</f>
        <v>0</v>
      </c>
      <c r="G25" s="13">
        <f>IF(SUM(D25:F25)&gt;=B20,0,IF($B22=0,0,IF($B23&gt;=4,0,$B20/($B22-$B23))))</f>
        <v>0</v>
      </c>
      <c r="H25" s="13">
        <f>+D25/(12-Monat+1)</f>
        <v>0</v>
      </c>
      <c r="I25" s="13">
        <f t="shared" si="6"/>
        <v>0</v>
      </c>
      <c r="J25" s="13">
        <f t="shared" si="6"/>
        <v>0</v>
      </c>
      <c r="K25" s="13">
        <f t="shared" si="6"/>
        <v>0</v>
      </c>
    </row>
    <row r="26" spans="1:11" x14ac:dyDescent="0.35">
      <c r="D26" s="98">
        <f t="shared" ref="D26:K26" si="7">SUM(D24:D25)</f>
        <v>0</v>
      </c>
      <c r="E26" s="98">
        <f t="shared" si="7"/>
        <v>0</v>
      </c>
      <c r="F26" s="98">
        <f t="shared" si="7"/>
        <v>0</v>
      </c>
      <c r="G26" s="98">
        <f t="shared" si="7"/>
        <v>0</v>
      </c>
      <c r="H26" s="98">
        <f t="shared" si="7"/>
        <v>0</v>
      </c>
      <c r="I26" s="98">
        <f t="shared" si="7"/>
        <v>0</v>
      </c>
      <c r="J26" s="98">
        <f t="shared" si="7"/>
        <v>0</v>
      </c>
      <c r="K26" s="98">
        <f t="shared" si="7"/>
        <v>0</v>
      </c>
    </row>
    <row r="27" spans="1:11" ht="13.15" x14ac:dyDescent="0.4">
      <c r="A27" s="158" t="s">
        <v>158</v>
      </c>
      <c r="B27" s="158"/>
      <c r="C27" s="158"/>
      <c r="D27" s="13"/>
      <c r="E27" s="13"/>
      <c r="F27" s="13"/>
      <c r="G27" s="13"/>
      <c r="H27" s="13"/>
      <c r="I27" s="13"/>
      <c r="J27" s="13"/>
      <c r="K27" s="13"/>
    </row>
    <row r="28" spans="1:11" ht="13.15" x14ac:dyDescent="0.4">
      <c r="B28" s="43"/>
      <c r="C28" t="str">
        <f t="shared" ref="C28:C33" si="8">+C4</f>
        <v>Darlehensbetrag in EUR</v>
      </c>
      <c r="D28" s="13"/>
      <c r="E28" s="13"/>
      <c r="F28" s="13"/>
      <c r="G28" s="13"/>
      <c r="H28" s="13"/>
      <c r="I28" s="13"/>
      <c r="J28" s="13"/>
      <c r="K28" s="13"/>
    </row>
    <row r="29" spans="1:11" ht="13.15" x14ac:dyDescent="0.4">
      <c r="B29" s="95"/>
      <c r="C29" t="str">
        <f t="shared" si="8"/>
        <v>Zinsen p.a. (nominal)</v>
      </c>
      <c r="D29" s="13"/>
      <c r="E29" s="13"/>
      <c r="F29" s="13"/>
      <c r="G29" s="13"/>
      <c r="H29" s="13"/>
      <c r="I29" s="13"/>
      <c r="J29" s="13"/>
      <c r="K29" s="13"/>
    </row>
    <row r="30" spans="1:11" ht="13.15" x14ac:dyDescent="0.4">
      <c r="B30" s="96"/>
      <c r="C30" t="str">
        <f t="shared" si="8"/>
        <v>Laufzeit (mind. 3 Jahre)</v>
      </c>
      <c r="D30" s="13"/>
      <c r="E30" s="13"/>
      <c r="F30" s="13"/>
      <c r="G30" s="13"/>
      <c r="H30" s="13"/>
      <c r="I30" s="13"/>
      <c r="J30" s="13"/>
      <c r="K30" s="13"/>
    </row>
    <row r="31" spans="1:11" ht="13.15" x14ac:dyDescent="0.4">
      <c r="B31" s="96"/>
      <c r="C31" t="str">
        <f t="shared" si="8"/>
        <v>davon tilgungsfrei (nur ganze Jahre)</v>
      </c>
      <c r="D31" s="13"/>
      <c r="E31" s="13"/>
      <c r="F31" s="13"/>
      <c r="G31" s="13"/>
      <c r="H31" s="13"/>
      <c r="I31" s="13"/>
      <c r="J31" s="13"/>
      <c r="K31" s="13"/>
    </row>
    <row r="32" spans="1:11" x14ac:dyDescent="0.35">
      <c r="C32" t="str">
        <f t="shared" si="8"/>
        <v>Zinsen</v>
      </c>
      <c r="D32" s="13">
        <f>IF(B30=0,0,(+B28*B29)/12*(12-Monat+1))</f>
        <v>0</v>
      </c>
      <c r="E32" s="13">
        <f>IF($B30=0,0,(+$B28-SUM($D33:D33))*$B29)</f>
        <v>0</v>
      </c>
      <c r="F32" s="13">
        <f>IF($B30=0,0,(+$B28-SUM($D33:E33))*$B29)</f>
        <v>0</v>
      </c>
      <c r="G32" s="13">
        <f>IF($B30=0,0,(+$B28-SUM($D33:F33))*$B29)</f>
        <v>0</v>
      </c>
      <c r="H32" s="13">
        <f>+D32/(12-Monat+1)</f>
        <v>0</v>
      </c>
      <c r="I32" s="13">
        <f t="shared" ref="I32:K33" si="9">+E32/12</f>
        <v>0</v>
      </c>
      <c r="J32" s="13">
        <f t="shared" si="9"/>
        <v>0</v>
      </c>
      <c r="K32" s="13">
        <f t="shared" si="9"/>
        <v>0</v>
      </c>
    </row>
    <row r="33" spans="1:11" x14ac:dyDescent="0.35">
      <c r="C33" t="str">
        <f t="shared" si="8"/>
        <v>Tilgung</v>
      </c>
      <c r="D33" s="13">
        <f>IF($B30=0,0,IF($B31&gt;=1,0,$B28/($B30-$B31)))/12*(13-Monat)</f>
        <v>0</v>
      </c>
      <c r="E33" s="13">
        <f>IF($B30=0,0,IF($B31&gt;=2,0,$B28/($B30-$B31)))</f>
        <v>0</v>
      </c>
      <c r="F33" s="13">
        <f>IF($B30=0,0,IF($B31&gt;=3,0,$B28/($B30-$B31)))</f>
        <v>0</v>
      </c>
      <c r="G33" s="13">
        <f>IF(SUM(D33:F33)&gt;=B28,0,IF($B30=0,0,IF($B31&gt;=4,0,$B28/($B30-$B31))))</f>
        <v>0</v>
      </c>
      <c r="H33" s="13">
        <f>+D33/(12-Monat+1)</f>
        <v>0</v>
      </c>
      <c r="I33" s="13">
        <f t="shared" si="9"/>
        <v>0</v>
      </c>
      <c r="J33" s="13">
        <f t="shared" si="9"/>
        <v>0</v>
      </c>
      <c r="K33" s="13">
        <f t="shared" si="9"/>
        <v>0</v>
      </c>
    </row>
    <row r="34" spans="1:11" x14ac:dyDescent="0.35">
      <c r="D34" s="98">
        <f t="shared" ref="D34:K34" si="10">SUM(D32:D33)</f>
        <v>0</v>
      </c>
      <c r="E34" s="98">
        <f t="shared" si="10"/>
        <v>0</v>
      </c>
      <c r="F34" s="98">
        <f t="shared" si="10"/>
        <v>0</v>
      </c>
      <c r="G34" s="98">
        <f t="shared" si="10"/>
        <v>0</v>
      </c>
      <c r="H34" s="98">
        <f t="shared" si="10"/>
        <v>0</v>
      </c>
      <c r="I34" s="98">
        <f t="shared" si="10"/>
        <v>0</v>
      </c>
      <c r="J34" s="98">
        <f t="shared" si="10"/>
        <v>0</v>
      </c>
      <c r="K34" s="98">
        <f t="shared" si="10"/>
        <v>0</v>
      </c>
    </row>
    <row r="35" spans="1:11" x14ac:dyDescent="0.35">
      <c r="A35" t="s">
        <v>181</v>
      </c>
      <c r="D35" s="13">
        <f>+D8+D16+D24+D32</f>
        <v>0</v>
      </c>
      <c r="E35" s="13">
        <f t="shared" ref="E35:K35" si="11">+E8+E16+E24+E32</f>
        <v>0</v>
      </c>
      <c r="F35" s="13">
        <f t="shared" si="11"/>
        <v>0</v>
      </c>
      <c r="G35" s="13">
        <f t="shared" si="11"/>
        <v>0</v>
      </c>
      <c r="H35" s="13">
        <f t="shared" si="11"/>
        <v>0</v>
      </c>
      <c r="I35" s="13">
        <f t="shared" si="11"/>
        <v>0</v>
      </c>
      <c r="J35" s="13">
        <f t="shared" si="11"/>
        <v>0</v>
      </c>
      <c r="K35" s="13">
        <f t="shared" si="11"/>
        <v>0</v>
      </c>
    </row>
    <row r="36" spans="1:11" x14ac:dyDescent="0.35">
      <c r="A36" t="s">
        <v>182</v>
      </c>
      <c r="D36" s="13">
        <f>+D9+D17+D25+D33</f>
        <v>0</v>
      </c>
      <c r="E36" s="13">
        <f t="shared" ref="E36:K36" si="12">+E9+E17+E25+E33</f>
        <v>0</v>
      </c>
      <c r="F36" s="13">
        <f t="shared" si="12"/>
        <v>0</v>
      </c>
      <c r="G36" s="13">
        <f t="shared" si="12"/>
        <v>0</v>
      </c>
      <c r="H36" s="13">
        <f t="shared" si="12"/>
        <v>0</v>
      </c>
      <c r="I36" s="13">
        <f t="shared" si="12"/>
        <v>0</v>
      </c>
      <c r="J36" s="13">
        <f t="shared" si="12"/>
        <v>0</v>
      </c>
      <c r="K36" s="13">
        <f t="shared" si="12"/>
        <v>0</v>
      </c>
    </row>
    <row r="37" spans="1:11" ht="13.15" thickBot="1" x14ac:dyDescent="0.4">
      <c r="D37" s="99">
        <f>SUM(D35:D36)</f>
        <v>0</v>
      </c>
      <c r="E37" s="99">
        <f t="shared" ref="E37:K37" si="13">SUM(E35:E36)</f>
        <v>0</v>
      </c>
      <c r="F37" s="99">
        <f t="shared" si="13"/>
        <v>0</v>
      </c>
      <c r="G37" s="99">
        <f t="shared" si="13"/>
        <v>0</v>
      </c>
      <c r="H37" s="99">
        <f t="shared" si="13"/>
        <v>0</v>
      </c>
      <c r="I37" s="99">
        <f t="shared" si="13"/>
        <v>0</v>
      </c>
      <c r="J37" s="99">
        <f t="shared" si="13"/>
        <v>0</v>
      </c>
      <c r="K37" s="99">
        <f t="shared" si="13"/>
        <v>0</v>
      </c>
    </row>
    <row r="38" spans="1:11" ht="13.15" thickTop="1" x14ac:dyDescent="0.35"/>
    <row r="39" spans="1:11" x14ac:dyDescent="0.35">
      <c r="A39" t="s">
        <v>175</v>
      </c>
    </row>
    <row r="40" spans="1:11" x14ac:dyDescent="0.35">
      <c r="A40" t="s">
        <v>179</v>
      </c>
    </row>
    <row r="42" spans="1:11" x14ac:dyDescent="0.35">
      <c r="A42" s="97"/>
    </row>
  </sheetData>
  <sheetProtection algorithmName="SHA-512" hashValue="zDBONV6U24TDt6tXi1vP/QJG6mUuGcZjtCSiu/j018kAaJwORUjiIGTre8I1J6Z1N9qNMnDB0zrMRWqFi30x3w==" saltValue="6xRK/n8f7Aalug6QH12tfQ==" spinCount="100000" sheet="1" formatColumns="0"/>
  <mergeCells count="7">
    <mergeCell ref="A27:C27"/>
    <mergeCell ref="A1:C1"/>
    <mergeCell ref="D1:G1"/>
    <mergeCell ref="H1:K1"/>
    <mergeCell ref="A3:C3"/>
    <mergeCell ref="A11:C11"/>
    <mergeCell ref="A19:C19"/>
  </mergeCells>
  <pageMargins left="0.70866141732283472" right="0.70866141732283472" top="1.5748031496062993" bottom="0.78740157480314965" header="0.31496062992125984" footer="0.31496062992125984"/>
  <pageSetup paperSize="9" scale="83" orientation="landscape" r:id="rId1"/>
  <headerFooter>
    <oddHeader>&amp;L&amp;G&amp;R&amp;"Arial,Fett"&amp;12IHK Köln - das Finanztool&amp;"Arial,Standard"&amp;10
&amp;A</oddHeader>
    <oddFooter>&amp;L&amp;8&amp;Z&amp;F\&amp;A\&amp;D\&amp;T&amp;RRelease 3.10</oddFooter>
  </headerFooter>
  <legacy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C19"/>
  <sheetViews>
    <sheetView zoomScale="115" zoomScaleNormal="115" workbookViewId="0">
      <pane xSplit="3" ySplit="2" topLeftCell="D3" activePane="bottomRight" state="frozen"/>
      <selection pane="topRight" activeCell="D1" sqref="D1"/>
      <selection pane="bottomLeft" activeCell="A3" sqref="A3"/>
      <selection pane="bottomRight" activeCell="D13" sqref="D13"/>
    </sheetView>
  </sheetViews>
  <sheetFormatPr baseColWidth="10" defaultRowHeight="12.75" x14ac:dyDescent="0.35"/>
  <cols>
    <col min="1" max="1" width="3.1328125" customWidth="1"/>
  </cols>
  <sheetData>
    <row r="1" spans="1:55" ht="45" customHeight="1" x14ac:dyDescent="0.35">
      <c r="A1" s="173" t="s">
        <v>176</v>
      </c>
      <c r="B1" s="174"/>
      <c r="C1" s="175"/>
      <c r="D1" s="47" t="str">
        <f>+'Umsatzplan Dienstleistungen'!G1</f>
        <v>Januar</v>
      </c>
      <c r="E1" s="47" t="str">
        <f>+'Umsatzplan Dienstleistungen'!H1</f>
        <v>Februar</v>
      </c>
      <c r="F1" s="47" t="str">
        <f>+'Umsatzplan Dienstleistungen'!I1</f>
        <v>März</v>
      </c>
      <c r="G1" s="47" t="str">
        <f>+'Umsatzplan Dienstleistungen'!J1</f>
        <v>April</v>
      </c>
      <c r="H1" s="47" t="str">
        <f>+'Umsatzplan Dienstleistungen'!K1</f>
        <v>Mai</v>
      </c>
      <c r="I1" s="47" t="str">
        <f>+'Umsatzplan Dienstleistungen'!L1</f>
        <v>Juni</v>
      </c>
      <c r="J1" s="47" t="str">
        <f>+'Umsatzplan Dienstleistungen'!M1</f>
        <v>Juli</v>
      </c>
      <c r="K1" s="47" t="str">
        <f>+'Umsatzplan Dienstleistungen'!N1</f>
        <v>August</v>
      </c>
      <c r="L1" s="47" t="str">
        <f>+'Umsatzplan Dienstleistungen'!O1</f>
        <v>September</v>
      </c>
      <c r="M1" s="47" t="str">
        <f>+'Umsatzplan Dienstleistungen'!P1</f>
        <v>Oktober</v>
      </c>
      <c r="N1" s="47" t="str">
        <f>+'Umsatzplan Dienstleistungen'!Q1</f>
        <v>November</v>
      </c>
      <c r="O1" s="47" t="str">
        <f>+'Umsatzplan Dienstleistungen'!R1</f>
        <v>Dezember</v>
      </c>
      <c r="P1" s="131">
        <f>+gj</f>
        <v>2026</v>
      </c>
      <c r="Q1" s="47" t="str">
        <f>+'Umsatzplan Dienstleistungen'!T1</f>
        <v>Januar</v>
      </c>
      <c r="R1" s="47" t="str">
        <f>+'Umsatzplan Dienstleistungen'!U1</f>
        <v>Februar</v>
      </c>
      <c r="S1" s="47" t="str">
        <f>+'Umsatzplan Dienstleistungen'!V1</f>
        <v>März</v>
      </c>
      <c r="T1" s="47" t="str">
        <f>+'Umsatzplan Dienstleistungen'!W1</f>
        <v>April</v>
      </c>
      <c r="U1" s="47" t="str">
        <f>+'Umsatzplan Dienstleistungen'!X1</f>
        <v>Mai</v>
      </c>
      <c r="V1" s="47" t="str">
        <f>+'Umsatzplan Dienstleistungen'!Y1</f>
        <v>Juni</v>
      </c>
      <c r="W1" s="47" t="str">
        <f>+'Umsatzplan Dienstleistungen'!Z1</f>
        <v>Juli</v>
      </c>
      <c r="X1" s="47" t="str">
        <f>+'Umsatzplan Dienstleistungen'!AA1</f>
        <v>August</v>
      </c>
      <c r="Y1" s="47" t="str">
        <f>+'Umsatzplan Dienstleistungen'!AB1</f>
        <v>September</v>
      </c>
      <c r="Z1" s="47" t="str">
        <f>+'Umsatzplan Dienstleistungen'!AC1</f>
        <v>Oktober</v>
      </c>
      <c r="AA1" s="47" t="str">
        <f>+'Umsatzplan Dienstleistungen'!AD1</f>
        <v>November</v>
      </c>
      <c r="AB1" s="47" t="str">
        <f>+'Umsatzplan Dienstleistungen'!AE1</f>
        <v>Dezember</v>
      </c>
      <c r="AC1" s="131">
        <f>+gj+1</f>
        <v>2027</v>
      </c>
      <c r="AD1" s="47" t="str">
        <f>+'Umsatzplan Dienstleistungen'!AG1</f>
        <v>Januar</v>
      </c>
      <c r="AE1" s="47" t="str">
        <f>+'Umsatzplan Dienstleistungen'!AH1</f>
        <v>Februar</v>
      </c>
      <c r="AF1" s="47" t="str">
        <f>+'Umsatzplan Dienstleistungen'!AI1</f>
        <v>März</v>
      </c>
      <c r="AG1" s="47" t="str">
        <f>+'Umsatzplan Dienstleistungen'!AJ1</f>
        <v>April</v>
      </c>
      <c r="AH1" s="47" t="str">
        <f>+'Umsatzplan Dienstleistungen'!AK1</f>
        <v>Mai</v>
      </c>
      <c r="AI1" s="47" t="str">
        <f>+'Umsatzplan Dienstleistungen'!AL1</f>
        <v>Juni</v>
      </c>
      <c r="AJ1" s="47" t="str">
        <f>+'Umsatzplan Dienstleistungen'!AM1</f>
        <v>Juli</v>
      </c>
      <c r="AK1" s="47" t="str">
        <f>+'Umsatzplan Dienstleistungen'!AN1</f>
        <v>August</v>
      </c>
      <c r="AL1" s="47" t="str">
        <f>+'Umsatzplan Dienstleistungen'!AO1</f>
        <v>September</v>
      </c>
      <c r="AM1" s="47" t="str">
        <f>+'Umsatzplan Dienstleistungen'!AP1</f>
        <v>Oktober</v>
      </c>
      <c r="AN1" s="47" t="str">
        <f>+'Umsatzplan Dienstleistungen'!AQ1</f>
        <v>November</v>
      </c>
      <c r="AO1" s="47" t="str">
        <f>+'Umsatzplan Dienstleistungen'!AR1</f>
        <v>Dezember</v>
      </c>
      <c r="AP1" s="131">
        <f>+gj+2</f>
        <v>2028</v>
      </c>
      <c r="AQ1" s="47" t="str">
        <f>+'Umsatzplan Dienstleistungen'!AT1</f>
        <v>Januar</v>
      </c>
      <c r="AR1" s="47" t="str">
        <f>+'Umsatzplan Dienstleistungen'!AU1</f>
        <v>Februar</v>
      </c>
      <c r="AS1" s="47" t="str">
        <f>+'Umsatzplan Dienstleistungen'!AV1</f>
        <v>März</v>
      </c>
      <c r="AT1" s="47" t="str">
        <f>+'Umsatzplan Dienstleistungen'!AW1</f>
        <v>April</v>
      </c>
      <c r="AU1" s="47" t="str">
        <f>+'Umsatzplan Dienstleistungen'!AX1</f>
        <v>Mai</v>
      </c>
      <c r="AV1" s="47" t="str">
        <f>+'Umsatzplan Dienstleistungen'!AY1</f>
        <v>Juni</v>
      </c>
      <c r="AW1" s="47" t="str">
        <f>+'Umsatzplan Dienstleistungen'!AZ1</f>
        <v>Juli</v>
      </c>
      <c r="AX1" s="47" t="str">
        <f>+'Umsatzplan Dienstleistungen'!BA1</f>
        <v>August</v>
      </c>
      <c r="AY1" s="47" t="str">
        <f>+'Umsatzplan Dienstleistungen'!BB1</f>
        <v>September</v>
      </c>
      <c r="AZ1" s="47" t="str">
        <f>+'Umsatzplan Dienstleistungen'!BC1</f>
        <v>Oktober</v>
      </c>
      <c r="BA1" s="47" t="str">
        <f>+'Umsatzplan Dienstleistungen'!BD1</f>
        <v>November</v>
      </c>
      <c r="BB1" s="47" t="str">
        <f>+'Umsatzplan Dienstleistungen'!BE1</f>
        <v>Dezember</v>
      </c>
      <c r="BC1" s="131">
        <f>+gj+3</f>
        <v>2029</v>
      </c>
    </row>
    <row r="2" spans="1:55" ht="20.25" customHeight="1" x14ac:dyDescent="0.35">
      <c r="A2" t="s">
        <v>203</v>
      </c>
      <c r="D2" s="8"/>
      <c r="E2" s="8"/>
      <c r="F2" s="8"/>
      <c r="G2" s="8"/>
      <c r="H2" s="8"/>
      <c r="I2" s="8"/>
      <c r="J2" s="8"/>
      <c r="K2" s="8"/>
      <c r="L2" s="8"/>
      <c r="M2" s="8"/>
      <c r="N2" s="8"/>
      <c r="O2" s="8"/>
      <c r="P2" s="27"/>
      <c r="Q2" s="8"/>
      <c r="R2" s="8"/>
      <c r="S2" s="8"/>
      <c r="T2" s="8"/>
      <c r="U2" s="8"/>
      <c r="V2" s="8"/>
      <c r="W2" s="8"/>
      <c r="X2" s="8"/>
      <c r="Y2" s="8"/>
      <c r="Z2" s="8"/>
      <c r="AA2" s="8"/>
      <c r="AB2" s="8"/>
      <c r="AC2" s="27"/>
      <c r="AD2" s="8"/>
      <c r="AE2" s="8"/>
      <c r="AF2" s="8"/>
      <c r="AG2" s="8"/>
      <c r="AH2" s="8"/>
      <c r="AI2" s="8"/>
      <c r="AJ2" s="8"/>
      <c r="AK2" s="8"/>
      <c r="AL2" s="8"/>
      <c r="AM2" s="8"/>
      <c r="AN2" s="8"/>
      <c r="AO2" s="8"/>
      <c r="AP2" s="27"/>
      <c r="AQ2" s="8"/>
      <c r="AR2" s="8"/>
      <c r="AS2" s="8"/>
      <c r="AT2" s="8"/>
      <c r="AU2" s="8"/>
      <c r="AV2" s="8"/>
      <c r="AW2" s="8"/>
      <c r="AX2" s="8"/>
      <c r="AY2" s="8"/>
      <c r="AZ2" s="8"/>
      <c r="BA2" s="8"/>
      <c r="BB2" s="8"/>
      <c r="BC2" s="27"/>
    </row>
    <row r="3" spans="1:55" ht="13.15" x14ac:dyDescent="0.4">
      <c r="B3" s="140" t="s">
        <v>192</v>
      </c>
      <c r="C3" s="140"/>
      <c r="D3" s="43"/>
      <c r="E3" s="43"/>
      <c r="F3" s="43"/>
      <c r="G3" s="43"/>
      <c r="H3" s="43"/>
      <c r="I3" s="43"/>
      <c r="J3" s="43"/>
      <c r="K3" s="43"/>
      <c r="L3" s="43"/>
      <c r="M3" s="43"/>
      <c r="N3" s="43"/>
      <c r="O3" s="43"/>
      <c r="P3" s="27">
        <f>SUM(D3:O3)</f>
        <v>0</v>
      </c>
      <c r="Q3" s="43"/>
      <c r="R3" s="43"/>
      <c r="S3" s="43"/>
      <c r="T3" s="43"/>
      <c r="U3" s="43"/>
      <c r="V3" s="43"/>
      <c r="W3" s="43"/>
      <c r="X3" s="43"/>
      <c r="Y3" s="43"/>
      <c r="Z3" s="43"/>
      <c r="AA3" s="43"/>
      <c r="AB3" s="43"/>
      <c r="AC3" s="27">
        <f>SUM(Q3:AB3)</f>
        <v>0</v>
      </c>
      <c r="AD3" s="43"/>
      <c r="AE3" s="43"/>
      <c r="AF3" s="43"/>
      <c r="AG3" s="43"/>
      <c r="AH3" s="43"/>
      <c r="AI3" s="43"/>
      <c r="AJ3" s="43"/>
      <c r="AK3" s="43"/>
      <c r="AL3" s="43"/>
      <c r="AM3" s="43"/>
      <c r="AN3" s="43"/>
      <c r="AO3" s="43"/>
      <c r="AP3" s="27">
        <f t="shared" ref="AP3" si="0">SUM(AD3:AO3)</f>
        <v>0</v>
      </c>
      <c r="AQ3" s="43"/>
      <c r="AR3" s="43"/>
      <c r="AS3" s="43"/>
      <c r="AT3" s="43"/>
      <c r="AU3" s="43"/>
      <c r="AV3" s="43"/>
      <c r="AW3" s="43"/>
      <c r="AX3" s="43"/>
      <c r="AY3" s="43"/>
      <c r="AZ3" s="43"/>
      <c r="BA3" s="43"/>
      <c r="BB3" s="43"/>
      <c r="BC3" s="27">
        <f t="shared" ref="BC3" si="1">SUM(AQ3:BB3)</f>
        <v>0</v>
      </c>
    </row>
    <row r="4" spans="1:55" ht="13.15" x14ac:dyDescent="0.4">
      <c r="B4" s="140" t="s">
        <v>193</v>
      </c>
      <c r="C4" s="140"/>
      <c r="D4" s="43"/>
      <c r="E4" s="43"/>
      <c r="F4" s="43"/>
      <c r="G4" s="43"/>
      <c r="H4" s="43"/>
      <c r="I4" s="43"/>
      <c r="J4" s="43"/>
      <c r="K4" s="43"/>
      <c r="L4" s="43"/>
      <c r="M4" s="43"/>
      <c r="N4" s="43"/>
      <c r="O4" s="43"/>
      <c r="P4" s="27">
        <f>SUM(D4:O4)</f>
        <v>0</v>
      </c>
      <c r="Q4" s="43"/>
      <c r="R4" s="43"/>
      <c r="S4" s="43"/>
      <c r="T4" s="43"/>
      <c r="U4" s="43"/>
      <c r="V4" s="43"/>
      <c r="W4" s="43"/>
      <c r="X4" s="43"/>
      <c r="Y4" s="43"/>
      <c r="Z4" s="43"/>
      <c r="AA4" s="43"/>
      <c r="AB4" s="43"/>
      <c r="AC4" s="27">
        <f>SUM(Q4:AB4)</f>
        <v>0</v>
      </c>
      <c r="AD4" s="43"/>
      <c r="AE4" s="43"/>
      <c r="AF4" s="43"/>
      <c r="AG4" s="43"/>
      <c r="AH4" s="43"/>
      <c r="AI4" s="43"/>
      <c r="AJ4" s="43"/>
      <c r="AK4" s="43"/>
      <c r="AL4" s="43"/>
      <c r="AM4" s="43"/>
      <c r="AN4" s="43"/>
      <c r="AO4" s="43"/>
      <c r="AP4" s="27">
        <f>SUM(AD4:AO4)</f>
        <v>0</v>
      </c>
      <c r="AQ4" s="43"/>
      <c r="AR4" s="43"/>
      <c r="AS4" s="43"/>
      <c r="AT4" s="43"/>
      <c r="AU4" s="43"/>
      <c r="AV4" s="43"/>
      <c r="AW4" s="43"/>
      <c r="AX4" s="43"/>
      <c r="AY4" s="43"/>
      <c r="AZ4" s="43"/>
      <c r="BA4" s="43"/>
      <c r="BB4" s="43"/>
      <c r="BC4" s="27">
        <f>SUM(AQ4:BB4)</f>
        <v>0</v>
      </c>
    </row>
    <row r="5" spans="1:55" ht="13.15" x14ac:dyDescent="0.4">
      <c r="B5" s="140" t="s">
        <v>194</v>
      </c>
      <c r="C5" s="140"/>
      <c r="D5" s="43"/>
      <c r="E5" s="43"/>
      <c r="F5" s="43"/>
      <c r="G5" s="43"/>
      <c r="H5" s="43"/>
      <c r="I5" s="43"/>
      <c r="J5" s="43"/>
      <c r="K5" s="43"/>
      <c r="L5" s="43"/>
      <c r="M5" s="43"/>
      <c r="N5" s="43"/>
      <c r="O5" s="43"/>
      <c r="P5" s="27">
        <f t="shared" ref="P5:P12" si="2">SUM(D5:O5)</f>
        <v>0</v>
      </c>
      <c r="Q5" s="43"/>
      <c r="R5" s="43"/>
      <c r="S5" s="43"/>
      <c r="T5" s="43"/>
      <c r="U5" s="43"/>
      <c r="V5" s="43"/>
      <c r="W5" s="43"/>
      <c r="X5" s="43"/>
      <c r="Y5" s="43"/>
      <c r="Z5" s="43"/>
      <c r="AA5" s="43"/>
      <c r="AB5" s="43"/>
      <c r="AC5" s="27">
        <f t="shared" ref="AC5:AC12" si="3">SUM(Q5:AB5)</f>
        <v>0</v>
      </c>
      <c r="AD5" s="43"/>
      <c r="AE5" s="43"/>
      <c r="AF5" s="43"/>
      <c r="AG5" s="43"/>
      <c r="AH5" s="43"/>
      <c r="AI5" s="43"/>
      <c r="AJ5" s="43"/>
      <c r="AK5" s="43"/>
      <c r="AL5" s="43"/>
      <c r="AM5" s="43"/>
      <c r="AN5" s="43"/>
      <c r="AO5" s="43"/>
      <c r="AP5" s="27">
        <f t="shared" ref="AP5:AP12" si="4">SUM(AD5:AO5)</f>
        <v>0</v>
      </c>
      <c r="AQ5" s="43"/>
      <c r="AR5" s="43"/>
      <c r="AS5" s="43"/>
      <c r="AT5" s="43"/>
      <c r="AU5" s="43"/>
      <c r="AV5" s="43"/>
      <c r="AW5" s="43"/>
      <c r="AX5" s="43"/>
      <c r="AY5" s="43"/>
      <c r="AZ5" s="43"/>
      <c r="BA5" s="43"/>
      <c r="BB5" s="43"/>
      <c r="BC5" s="27">
        <f t="shared" ref="BC5:BC12" si="5">SUM(AQ5:BB5)</f>
        <v>0</v>
      </c>
    </row>
    <row r="6" spans="1:55" ht="13.15" x14ac:dyDescent="0.4">
      <c r="B6" s="140" t="s">
        <v>195</v>
      </c>
      <c r="C6" s="140"/>
      <c r="D6" s="43"/>
      <c r="E6" s="43"/>
      <c r="F6" s="43"/>
      <c r="G6" s="43"/>
      <c r="H6" s="43"/>
      <c r="I6" s="43"/>
      <c r="J6" s="43"/>
      <c r="K6" s="43"/>
      <c r="L6" s="43"/>
      <c r="M6" s="43"/>
      <c r="N6" s="43"/>
      <c r="O6" s="43"/>
      <c r="P6" s="27">
        <f t="shared" si="2"/>
        <v>0</v>
      </c>
      <c r="Q6" s="43"/>
      <c r="R6" s="43"/>
      <c r="S6" s="43"/>
      <c r="T6" s="43"/>
      <c r="U6" s="43"/>
      <c r="V6" s="43"/>
      <c r="W6" s="43"/>
      <c r="X6" s="43"/>
      <c r="Y6" s="43"/>
      <c r="Z6" s="43"/>
      <c r="AA6" s="43"/>
      <c r="AB6" s="43"/>
      <c r="AC6" s="27">
        <f t="shared" si="3"/>
        <v>0</v>
      </c>
      <c r="AD6" s="43"/>
      <c r="AE6" s="43"/>
      <c r="AF6" s="43"/>
      <c r="AG6" s="43"/>
      <c r="AH6" s="43"/>
      <c r="AI6" s="43"/>
      <c r="AJ6" s="43"/>
      <c r="AK6" s="43"/>
      <c r="AL6" s="43"/>
      <c r="AM6" s="43"/>
      <c r="AN6" s="43"/>
      <c r="AO6" s="43"/>
      <c r="AP6" s="27">
        <f t="shared" si="4"/>
        <v>0</v>
      </c>
      <c r="AQ6" s="43"/>
      <c r="AR6" s="43"/>
      <c r="AS6" s="43"/>
      <c r="AT6" s="43"/>
      <c r="AU6" s="43"/>
      <c r="AV6" s="43"/>
      <c r="AW6" s="43"/>
      <c r="AX6" s="43"/>
      <c r="AY6" s="43"/>
      <c r="AZ6" s="43"/>
      <c r="BA6" s="43"/>
      <c r="BB6" s="43"/>
      <c r="BC6" s="27">
        <f t="shared" si="5"/>
        <v>0</v>
      </c>
    </row>
    <row r="7" spans="1:55" ht="13.15" x14ac:dyDescent="0.4">
      <c r="B7" s="140" t="s">
        <v>196</v>
      </c>
      <c r="C7" s="140"/>
      <c r="D7" s="43"/>
      <c r="E7" s="43"/>
      <c r="F7" s="43"/>
      <c r="G7" s="43"/>
      <c r="H7" s="43"/>
      <c r="I7" s="43"/>
      <c r="J7" s="43"/>
      <c r="K7" s="43"/>
      <c r="L7" s="43"/>
      <c r="M7" s="43"/>
      <c r="N7" s="43"/>
      <c r="O7" s="43"/>
      <c r="P7" s="27">
        <f t="shared" si="2"/>
        <v>0</v>
      </c>
      <c r="Q7" s="43"/>
      <c r="R7" s="43"/>
      <c r="S7" s="43"/>
      <c r="T7" s="43"/>
      <c r="U7" s="43"/>
      <c r="V7" s="43"/>
      <c r="W7" s="43"/>
      <c r="X7" s="43"/>
      <c r="Y7" s="43"/>
      <c r="Z7" s="43"/>
      <c r="AA7" s="43"/>
      <c r="AB7" s="43"/>
      <c r="AC7" s="27">
        <f t="shared" si="3"/>
        <v>0</v>
      </c>
      <c r="AD7" s="43"/>
      <c r="AE7" s="43"/>
      <c r="AF7" s="43"/>
      <c r="AG7" s="43"/>
      <c r="AH7" s="43"/>
      <c r="AI7" s="43"/>
      <c r="AJ7" s="43"/>
      <c r="AK7" s="43"/>
      <c r="AL7" s="43"/>
      <c r="AM7" s="43"/>
      <c r="AN7" s="43"/>
      <c r="AO7" s="43"/>
      <c r="AP7" s="27">
        <f t="shared" si="4"/>
        <v>0</v>
      </c>
      <c r="AQ7" s="43"/>
      <c r="AR7" s="43"/>
      <c r="AS7" s="43"/>
      <c r="AT7" s="43"/>
      <c r="AU7" s="43"/>
      <c r="AV7" s="43"/>
      <c r="AW7" s="43"/>
      <c r="AX7" s="43"/>
      <c r="AY7" s="43"/>
      <c r="AZ7" s="43"/>
      <c r="BA7" s="43"/>
      <c r="BB7" s="43"/>
      <c r="BC7" s="27">
        <f t="shared" si="5"/>
        <v>0</v>
      </c>
    </row>
    <row r="8" spans="1:55" ht="13.15" x14ac:dyDescent="0.4">
      <c r="B8" s="140" t="s">
        <v>197</v>
      </c>
      <c r="C8" s="140"/>
      <c r="D8" s="43"/>
      <c r="E8" s="43"/>
      <c r="F8" s="43"/>
      <c r="G8" s="43"/>
      <c r="H8" s="43"/>
      <c r="I8" s="43"/>
      <c r="J8" s="43"/>
      <c r="K8" s="43"/>
      <c r="L8" s="43"/>
      <c r="M8" s="43"/>
      <c r="N8" s="43"/>
      <c r="O8" s="43"/>
      <c r="P8" s="27">
        <f t="shared" si="2"/>
        <v>0</v>
      </c>
      <c r="Q8" s="43"/>
      <c r="R8" s="43"/>
      <c r="S8" s="43"/>
      <c r="T8" s="43"/>
      <c r="U8" s="43"/>
      <c r="V8" s="43"/>
      <c r="W8" s="43"/>
      <c r="X8" s="43"/>
      <c r="Y8" s="43"/>
      <c r="Z8" s="43"/>
      <c r="AA8" s="43"/>
      <c r="AB8" s="43"/>
      <c r="AC8" s="27">
        <f t="shared" si="3"/>
        <v>0</v>
      </c>
      <c r="AD8" s="43"/>
      <c r="AE8" s="43"/>
      <c r="AF8" s="43"/>
      <c r="AG8" s="43"/>
      <c r="AH8" s="43"/>
      <c r="AI8" s="43"/>
      <c r="AJ8" s="43"/>
      <c r="AK8" s="43"/>
      <c r="AL8" s="43"/>
      <c r="AM8" s="43"/>
      <c r="AN8" s="43"/>
      <c r="AO8" s="43"/>
      <c r="AP8" s="27">
        <f t="shared" si="4"/>
        <v>0</v>
      </c>
      <c r="AQ8" s="43"/>
      <c r="AR8" s="43"/>
      <c r="AS8" s="43"/>
      <c r="AT8" s="43"/>
      <c r="AU8" s="43"/>
      <c r="AV8" s="43"/>
      <c r="AW8" s="43"/>
      <c r="AX8" s="43"/>
      <c r="AY8" s="43"/>
      <c r="AZ8" s="43"/>
      <c r="BA8" s="43"/>
      <c r="BB8" s="43"/>
      <c r="BC8" s="27">
        <f t="shared" si="5"/>
        <v>0</v>
      </c>
    </row>
    <row r="9" spans="1:55" ht="13.15" x14ac:dyDescent="0.4">
      <c r="B9" s="140" t="s">
        <v>198</v>
      </c>
      <c r="C9" s="140"/>
      <c r="D9" s="43"/>
      <c r="E9" s="43"/>
      <c r="F9" s="43"/>
      <c r="G9" s="43"/>
      <c r="H9" s="43"/>
      <c r="I9" s="43"/>
      <c r="J9" s="43"/>
      <c r="K9" s="43"/>
      <c r="L9" s="43"/>
      <c r="M9" s="43"/>
      <c r="N9" s="43"/>
      <c r="O9" s="43"/>
      <c r="P9" s="27">
        <f t="shared" si="2"/>
        <v>0</v>
      </c>
      <c r="Q9" s="43"/>
      <c r="R9" s="43"/>
      <c r="S9" s="43"/>
      <c r="T9" s="43"/>
      <c r="U9" s="43"/>
      <c r="V9" s="43"/>
      <c r="W9" s="43"/>
      <c r="X9" s="43"/>
      <c r="Y9" s="43"/>
      <c r="Z9" s="43"/>
      <c r="AA9" s="43"/>
      <c r="AB9" s="43"/>
      <c r="AC9" s="27">
        <f t="shared" si="3"/>
        <v>0</v>
      </c>
      <c r="AD9" s="43"/>
      <c r="AE9" s="43"/>
      <c r="AF9" s="43"/>
      <c r="AG9" s="43"/>
      <c r="AH9" s="43"/>
      <c r="AI9" s="43"/>
      <c r="AJ9" s="43"/>
      <c r="AK9" s="43"/>
      <c r="AL9" s="43"/>
      <c r="AM9" s="43"/>
      <c r="AN9" s="43"/>
      <c r="AO9" s="43"/>
      <c r="AP9" s="27">
        <f t="shared" si="4"/>
        <v>0</v>
      </c>
      <c r="AQ9" s="43"/>
      <c r="AR9" s="43"/>
      <c r="AS9" s="43"/>
      <c r="AT9" s="43"/>
      <c r="AU9" s="43"/>
      <c r="AV9" s="43"/>
      <c r="AW9" s="43"/>
      <c r="AX9" s="43"/>
      <c r="AY9" s="43"/>
      <c r="AZ9" s="43"/>
      <c r="BA9" s="43"/>
      <c r="BB9" s="43"/>
      <c r="BC9" s="27">
        <f t="shared" si="5"/>
        <v>0</v>
      </c>
    </row>
    <row r="10" spans="1:55" ht="13.15" x14ac:dyDescent="0.4">
      <c r="B10" s="140" t="s">
        <v>199</v>
      </c>
      <c r="C10" s="140"/>
      <c r="D10" s="43"/>
      <c r="E10" s="43"/>
      <c r="F10" s="43"/>
      <c r="G10" s="43"/>
      <c r="H10" s="43"/>
      <c r="I10" s="43"/>
      <c r="J10" s="43"/>
      <c r="K10" s="43"/>
      <c r="L10" s="43"/>
      <c r="M10" s="43"/>
      <c r="N10" s="43"/>
      <c r="O10" s="43"/>
      <c r="P10" s="27">
        <f t="shared" si="2"/>
        <v>0</v>
      </c>
      <c r="Q10" s="43"/>
      <c r="R10" s="43"/>
      <c r="S10" s="43"/>
      <c r="T10" s="43"/>
      <c r="U10" s="43"/>
      <c r="V10" s="43"/>
      <c r="W10" s="43"/>
      <c r="X10" s="43"/>
      <c r="Y10" s="43"/>
      <c r="Z10" s="43"/>
      <c r="AA10" s="43"/>
      <c r="AB10" s="43"/>
      <c r="AC10" s="27">
        <f t="shared" si="3"/>
        <v>0</v>
      </c>
      <c r="AD10" s="43"/>
      <c r="AE10" s="43"/>
      <c r="AF10" s="43"/>
      <c r="AG10" s="43"/>
      <c r="AH10" s="43"/>
      <c r="AI10" s="43"/>
      <c r="AJ10" s="43"/>
      <c r="AK10" s="43"/>
      <c r="AL10" s="43"/>
      <c r="AM10" s="43"/>
      <c r="AN10" s="43"/>
      <c r="AO10" s="43"/>
      <c r="AP10" s="27">
        <f t="shared" si="4"/>
        <v>0</v>
      </c>
      <c r="AQ10" s="43"/>
      <c r="AR10" s="43"/>
      <c r="AS10" s="43"/>
      <c r="AT10" s="43"/>
      <c r="AU10" s="43"/>
      <c r="AV10" s="43"/>
      <c r="AW10" s="43"/>
      <c r="AX10" s="43"/>
      <c r="AY10" s="43"/>
      <c r="AZ10" s="43"/>
      <c r="BA10" s="43"/>
      <c r="BB10" s="43"/>
      <c r="BC10" s="27">
        <f t="shared" si="5"/>
        <v>0</v>
      </c>
    </row>
    <row r="11" spans="1:55" ht="13.15" x14ac:dyDescent="0.4">
      <c r="B11" s="140" t="s">
        <v>200</v>
      </c>
      <c r="C11" s="140"/>
      <c r="D11" s="43"/>
      <c r="E11" s="43"/>
      <c r="F11" s="43"/>
      <c r="G11" s="43"/>
      <c r="H11" s="43"/>
      <c r="I11" s="43"/>
      <c r="J11" s="43"/>
      <c r="K11" s="43"/>
      <c r="L11" s="43"/>
      <c r="M11" s="43"/>
      <c r="N11" s="43"/>
      <c r="O11" s="43"/>
      <c r="P11" s="27">
        <f t="shared" si="2"/>
        <v>0</v>
      </c>
      <c r="Q11" s="43"/>
      <c r="R11" s="43"/>
      <c r="S11" s="43"/>
      <c r="T11" s="43"/>
      <c r="U11" s="43"/>
      <c r="V11" s="43"/>
      <c r="W11" s="43"/>
      <c r="X11" s="43"/>
      <c r="Y11" s="43"/>
      <c r="Z11" s="43"/>
      <c r="AA11" s="43"/>
      <c r="AB11" s="43"/>
      <c r="AC11" s="27">
        <f t="shared" si="3"/>
        <v>0</v>
      </c>
      <c r="AD11" s="43"/>
      <c r="AE11" s="43"/>
      <c r="AF11" s="43"/>
      <c r="AG11" s="43"/>
      <c r="AH11" s="43"/>
      <c r="AI11" s="43"/>
      <c r="AJ11" s="43"/>
      <c r="AK11" s="43"/>
      <c r="AL11" s="43"/>
      <c r="AM11" s="43"/>
      <c r="AN11" s="43"/>
      <c r="AO11" s="43"/>
      <c r="AP11" s="27">
        <f t="shared" si="4"/>
        <v>0</v>
      </c>
      <c r="AQ11" s="43"/>
      <c r="AR11" s="43"/>
      <c r="AS11" s="43"/>
      <c r="AT11" s="43"/>
      <c r="AU11" s="43"/>
      <c r="AV11" s="43"/>
      <c r="AW11" s="43"/>
      <c r="AX11" s="43"/>
      <c r="AY11" s="43"/>
      <c r="AZ11" s="43"/>
      <c r="BA11" s="43"/>
      <c r="BB11" s="43"/>
      <c r="BC11" s="27">
        <f t="shared" si="5"/>
        <v>0</v>
      </c>
    </row>
    <row r="12" spans="1:55" ht="13.15" x14ac:dyDescent="0.4">
      <c r="B12" s="140" t="s">
        <v>201</v>
      </c>
      <c r="C12" s="140"/>
      <c r="D12" s="43"/>
      <c r="E12" s="43"/>
      <c r="F12" s="43"/>
      <c r="G12" s="43"/>
      <c r="H12" s="43"/>
      <c r="I12" s="43"/>
      <c r="J12" s="43"/>
      <c r="K12" s="43"/>
      <c r="L12" s="43"/>
      <c r="M12" s="43"/>
      <c r="N12" s="43"/>
      <c r="O12" s="43"/>
      <c r="P12" s="27">
        <f t="shared" si="2"/>
        <v>0</v>
      </c>
      <c r="Q12" s="43"/>
      <c r="R12" s="43"/>
      <c r="S12" s="43"/>
      <c r="T12" s="43"/>
      <c r="U12" s="43"/>
      <c r="V12" s="43"/>
      <c r="W12" s="43"/>
      <c r="X12" s="43"/>
      <c r="Y12" s="43"/>
      <c r="Z12" s="43"/>
      <c r="AA12" s="43"/>
      <c r="AB12" s="43"/>
      <c r="AC12" s="27">
        <f t="shared" si="3"/>
        <v>0</v>
      </c>
      <c r="AD12" s="43"/>
      <c r="AE12" s="43"/>
      <c r="AF12" s="43"/>
      <c r="AG12" s="43"/>
      <c r="AH12" s="43"/>
      <c r="AI12" s="43"/>
      <c r="AJ12" s="43"/>
      <c r="AK12" s="43"/>
      <c r="AL12" s="43"/>
      <c r="AM12" s="43"/>
      <c r="AN12" s="43"/>
      <c r="AO12" s="43"/>
      <c r="AP12" s="27">
        <f t="shared" si="4"/>
        <v>0</v>
      </c>
      <c r="AQ12" s="43"/>
      <c r="AR12" s="43"/>
      <c r="AS12" s="43"/>
      <c r="AT12" s="43"/>
      <c r="AU12" s="43"/>
      <c r="AV12" s="43"/>
      <c r="AW12" s="43"/>
      <c r="AX12" s="43"/>
      <c r="AY12" s="43"/>
      <c r="AZ12" s="43"/>
      <c r="BA12" s="43"/>
      <c r="BB12" s="43"/>
      <c r="BC12" s="27">
        <f t="shared" si="5"/>
        <v>0</v>
      </c>
    </row>
    <row r="13" spans="1:55" ht="13.15" thickBot="1" x14ac:dyDescent="0.4">
      <c r="D13" s="34">
        <f>SUM(D3:D12)</f>
        <v>0</v>
      </c>
      <c r="E13" s="34">
        <f t="shared" ref="E13:BC13" si="6">SUM(E3:E12)</f>
        <v>0</v>
      </c>
      <c r="F13" s="34">
        <f t="shared" si="6"/>
        <v>0</v>
      </c>
      <c r="G13" s="34">
        <f t="shared" si="6"/>
        <v>0</v>
      </c>
      <c r="H13" s="34">
        <f t="shared" si="6"/>
        <v>0</v>
      </c>
      <c r="I13" s="34">
        <f t="shared" si="6"/>
        <v>0</v>
      </c>
      <c r="J13" s="34">
        <f t="shared" si="6"/>
        <v>0</v>
      </c>
      <c r="K13" s="34">
        <f t="shared" si="6"/>
        <v>0</v>
      </c>
      <c r="L13" s="34">
        <f t="shared" si="6"/>
        <v>0</v>
      </c>
      <c r="M13" s="34">
        <f t="shared" si="6"/>
        <v>0</v>
      </c>
      <c r="N13" s="34">
        <f t="shared" si="6"/>
        <v>0</v>
      </c>
      <c r="O13" s="34">
        <f t="shared" si="6"/>
        <v>0</v>
      </c>
      <c r="P13" s="34">
        <f t="shared" si="6"/>
        <v>0</v>
      </c>
      <c r="Q13" s="34">
        <f t="shared" si="6"/>
        <v>0</v>
      </c>
      <c r="R13" s="34">
        <f t="shared" si="6"/>
        <v>0</v>
      </c>
      <c r="S13" s="34">
        <f t="shared" si="6"/>
        <v>0</v>
      </c>
      <c r="T13" s="34">
        <f t="shared" si="6"/>
        <v>0</v>
      </c>
      <c r="U13" s="34">
        <f t="shared" si="6"/>
        <v>0</v>
      </c>
      <c r="V13" s="34">
        <f t="shared" si="6"/>
        <v>0</v>
      </c>
      <c r="W13" s="34">
        <f t="shared" si="6"/>
        <v>0</v>
      </c>
      <c r="X13" s="34">
        <f t="shared" si="6"/>
        <v>0</v>
      </c>
      <c r="Y13" s="34">
        <f t="shared" si="6"/>
        <v>0</v>
      </c>
      <c r="Z13" s="34">
        <f t="shared" si="6"/>
        <v>0</v>
      </c>
      <c r="AA13" s="34">
        <f t="shared" si="6"/>
        <v>0</v>
      </c>
      <c r="AB13" s="34">
        <f t="shared" si="6"/>
        <v>0</v>
      </c>
      <c r="AC13" s="34">
        <f t="shared" si="6"/>
        <v>0</v>
      </c>
      <c r="AD13" s="34">
        <f t="shared" si="6"/>
        <v>0</v>
      </c>
      <c r="AE13" s="34">
        <f t="shared" si="6"/>
        <v>0</v>
      </c>
      <c r="AF13" s="34">
        <f t="shared" si="6"/>
        <v>0</v>
      </c>
      <c r="AG13" s="34">
        <f t="shared" si="6"/>
        <v>0</v>
      </c>
      <c r="AH13" s="34">
        <f t="shared" si="6"/>
        <v>0</v>
      </c>
      <c r="AI13" s="34">
        <f t="shared" si="6"/>
        <v>0</v>
      </c>
      <c r="AJ13" s="34">
        <f t="shared" si="6"/>
        <v>0</v>
      </c>
      <c r="AK13" s="34">
        <f t="shared" si="6"/>
        <v>0</v>
      </c>
      <c r="AL13" s="34">
        <f t="shared" si="6"/>
        <v>0</v>
      </c>
      <c r="AM13" s="34">
        <f t="shared" si="6"/>
        <v>0</v>
      </c>
      <c r="AN13" s="34">
        <f t="shared" si="6"/>
        <v>0</v>
      </c>
      <c r="AO13" s="34">
        <f t="shared" si="6"/>
        <v>0</v>
      </c>
      <c r="AP13" s="34">
        <f t="shared" si="6"/>
        <v>0</v>
      </c>
      <c r="AQ13" s="34">
        <f t="shared" si="6"/>
        <v>0</v>
      </c>
      <c r="AR13" s="34">
        <f t="shared" si="6"/>
        <v>0</v>
      </c>
      <c r="AS13" s="34">
        <f t="shared" si="6"/>
        <v>0</v>
      </c>
      <c r="AT13" s="34">
        <f t="shared" si="6"/>
        <v>0</v>
      </c>
      <c r="AU13" s="34">
        <f t="shared" si="6"/>
        <v>0</v>
      </c>
      <c r="AV13" s="34">
        <f t="shared" si="6"/>
        <v>0</v>
      </c>
      <c r="AW13" s="34">
        <f t="shared" si="6"/>
        <v>0</v>
      </c>
      <c r="AX13" s="34">
        <f t="shared" si="6"/>
        <v>0</v>
      </c>
      <c r="AY13" s="34">
        <f t="shared" si="6"/>
        <v>0</v>
      </c>
      <c r="AZ13" s="34">
        <f t="shared" si="6"/>
        <v>0</v>
      </c>
      <c r="BA13" s="34">
        <f t="shared" si="6"/>
        <v>0</v>
      </c>
      <c r="BB13" s="34">
        <f t="shared" si="6"/>
        <v>0</v>
      </c>
      <c r="BC13" s="34">
        <f t="shared" si="6"/>
        <v>0</v>
      </c>
    </row>
    <row r="14" spans="1:55" ht="13.15" thickTop="1" x14ac:dyDescent="0.35"/>
    <row r="16" spans="1:55" x14ac:dyDescent="0.35">
      <c r="A16" t="s">
        <v>202</v>
      </c>
    </row>
    <row r="17" spans="1:1" x14ac:dyDescent="0.35">
      <c r="A17" t="s">
        <v>204</v>
      </c>
    </row>
    <row r="18" spans="1:1" x14ac:dyDescent="0.35">
      <c r="A18" t="s">
        <v>206</v>
      </c>
    </row>
    <row r="19" spans="1:1" x14ac:dyDescent="0.35">
      <c r="A19" t="s">
        <v>205</v>
      </c>
    </row>
  </sheetData>
  <mergeCells count="11">
    <mergeCell ref="B12:C12"/>
    <mergeCell ref="B4:C4"/>
    <mergeCell ref="B5:C5"/>
    <mergeCell ref="A1:C1"/>
    <mergeCell ref="B3:C3"/>
    <mergeCell ref="B6:C6"/>
    <mergeCell ref="B7:C7"/>
    <mergeCell ref="B8:C8"/>
    <mergeCell ref="B9:C9"/>
    <mergeCell ref="B10:C10"/>
    <mergeCell ref="B11:C11"/>
  </mergeCells>
  <pageMargins left="0.70866141732283472" right="0.70866141732283472" top="1.5748031496062993" bottom="0.78740157480314965" header="0.31496062992125984" footer="0.31496062992125984"/>
  <pageSetup paperSize="9" scale="72" fitToWidth="4" orientation="landscape" r:id="rId1"/>
  <headerFooter>
    <oddHeader>&amp;L&amp;G&amp;R&amp;"Arial,Fett"&amp;12IHK Köln - das Finanztool&amp;"Arial,Standard"&amp;10
&amp;A</oddHeader>
    <oddFooter xml:space="preserve">&amp;L&amp;8&amp;Z&amp;F\&amp;A\&amp;D\&amp;T&amp;RRelease 3.10
</oddFooter>
  </headerFooter>
  <colBreaks count="3" manualBreakCount="3">
    <brk id="16" max="1048575" man="1"/>
    <brk id="29" max="1048575" man="1"/>
    <brk id="42" max="1048575" man="1"/>
  </colBreaks>
  <legacyDrawingHF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22</vt:i4>
      </vt:variant>
      <vt:variant>
        <vt:lpstr>Benannte Bereiche</vt:lpstr>
      </vt:variant>
      <vt:variant>
        <vt:i4>26</vt:i4>
      </vt:variant>
    </vt:vector>
  </HeadingPairs>
  <TitlesOfParts>
    <vt:vector size="48" baseType="lpstr">
      <vt:lpstr>Infos vor dem Start</vt:lpstr>
      <vt:lpstr>Umsatzplan Dienstleistungen</vt:lpstr>
      <vt:lpstr>Rentabilitätsvorschau</vt:lpstr>
      <vt:lpstr>Liquiditätsplan</vt:lpstr>
      <vt:lpstr>Investitionsplan</vt:lpstr>
      <vt:lpstr>Finanzierungsplan</vt:lpstr>
      <vt:lpstr>Daten Liquiditätskurve</vt:lpstr>
      <vt:lpstr>Privater Finanzbedarf</vt:lpstr>
      <vt:lpstr>Priv. Finanzb. 2. Gründ.</vt:lpstr>
      <vt:lpstr>Priv. Finanzb. 3. Gründ</vt:lpstr>
      <vt:lpstr>Priv. Finanzbed. Summe</vt:lpstr>
      <vt:lpstr>Übersicht Rentabilitätsvorschau</vt:lpstr>
      <vt:lpstr>Kapitaldienst</vt:lpstr>
      <vt:lpstr>Parameter</vt:lpstr>
      <vt:lpstr>Tabelle1</vt:lpstr>
      <vt:lpstr>Tabelle2</vt:lpstr>
      <vt:lpstr>Tabelle3</vt:lpstr>
      <vt:lpstr>Tabelle4</vt:lpstr>
      <vt:lpstr>Tabelle6</vt:lpstr>
      <vt:lpstr>Tabelle7</vt:lpstr>
      <vt:lpstr>Zins- und Tilgungsrechner</vt:lpstr>
      <vt:lpstr>Eigene Nebenrechnungen</vt:lpstr>
      <vt:lpstr>afadrei</vt:lpstr>
      <vt:lpstr>afaeins</vt:lpstr>
      <vt:lpstr>afavier</vt:lpstr>
      <vt:lpstr>afazwei</vt:lpstr>
      <vt:lpstr>'Umsatzplan Dienstleistungen'!Druckbereich</vt:lpstr>
      <vt:lpstr>'Eigene Nebenrechnungen'!Drucktitel</vt:lpstr>
      <vt:lpstr>Liquiditätsplan!Drucktitel</vt:lpstr>
      <vt:lpstr>Rentabilitätsvorschau!Drucktitel</vt:lpstr>
      <vt:lpstr>'Umsatzplan Dienstleistungen'!Drucktitel</vt:lpstr>
      <vt:lpstr>gj</vt:lpstr>
      <vt:lpstr>gwg</vt:lpstr>
      <vt:lpstr>gwgeins</vt:lpstr>
      <vt:lpstr>kapges</vt:lpstr>
      <vt:lpstr>Monat</vt:lpstr>
      <vt:lpstr>rechnung</vt:lpstr>
      <vt:lpstr>USt</vt:lpstr>
      <vt:lpstr>USt1neu</vt:lpstr>
      <vt:lpstr>USteins</vt:lpstr>
      <vt:lpstr>USterm</vt:lpstr>
      <vt:lpstr>UStermeins</vt:lpstr>
      <vt:lpstr>VSt</vt:lpstr>
      <vt:lpstr>VSteins</vt:lpstr>
      <vt:lpstr>VSterm</vt:lpstr>
      <vt:lpstr>VStermeins</vt:lpstr>
      <vt:lpstr>VStWE</vt:lpstr>
      <vt:lpstr>VStWEeins</vt:lpstr>
    </vt:vector>
  </TitlesOfParts>
  <Company>IHK Koeln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IHK Köln Gründungstool</dc:title>
  <dc:creator>Angelika Nolting</dc:creator>
  <cp:lastModifiedBy>Dirk Ahrens</cp:lastModifiedBy>
  <cp:lastPrinted>2024-02-23T09:29:45Z</cp:lastPrinted>
  <dcterms:created xsi:type="dcterms:W3CDTF">2015-05-27T09:34:23Z</dcterms:created>
  <dcterms:modified xsi:type="dcterms:W3CDTF">2026-08-17T08:29:08Z</dcterms:modified>
</cp:coreProperties>
</file>